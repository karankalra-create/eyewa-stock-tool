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inal_UAE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C9DAF8"/>
        <bgColor rgb="FFC9DAF8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3" fillId="0" borderId="0"/>
    <xf numFmtId="0" fontId="4" fillId="0" borderId="0"/>
    <xf numFmtId="0" fontId="5" fillId="0" borderId="2"/>
    <xf numFmtId="0" fontId="6" fillId="0" borderId="3"/>
    <xf numFmtId="0" fontId="7" fillId="0" borderId="4"/>
    <xf numFmtId="0" fontId="7" fillId="0" borderId="0"/>
    <xf numFmtId="0" fontId="8" fillId="7" borderId="0"/>
    <xf numFmtId="0" fontId="9" fillId="8" borderId="0"/>
    <xf numFmtId="0" fontId="10" fillId="9" borderId="0"/>
    <xf numFmtId="0" fontId="11" fillId="10" borderId="5"/>
    <xf numFmtId="0" fontId="12" fillId="11" borderId="6"/>
    <xf numFmtId="0" fontId="13" fillId="11" borderId="5"/>
    <xf numFmtId="0" fontId="14" fillId="0" borderId="7"/>
    <xf numFmtId="0" fontId="15" fillId="12" borderId="8"/>
    <xf numFmtId="0" fontId="16" fillId="0" borderId="0"/>
    <xf numFmtId="0" fontId="3" fillId="13" borderId="9"/>
    <xf numFmtId="0" fontId="17" fillId="0" borderId="0"/>
    <xf numFmtId="0" fontId="1" fillId="0" borderId="10"/>
    <xf numFmtId="0" fontId="18" fillId="14" borderId="0"/>
    <xf numFmtId="0" fontId="3" fillId="15" borderId="0"/>
    <xf numFmtId="0" fontId="3" fillId="16" borderId="0"/>
    <xf numFmtId="0" fontId="3" fillId="17" borderId="0"/>
    <xf numFmtId="0" fontId="18" fillId="18" borderId="0"/>
    <xf numFmtId="0" fontId="3" fillId="19" borderId="0"/>
    <xf numFmtId="0" fontId="3" fillId="20" borderId="0"/>
    <xf numFmtId="0" fontId="3" fillId="21" borderId="0"/>
    <xf numFmtId="0" fontId="18" fillId="22" borderId="0"/>
    <xf numFmtId="0" fontId="3" fillId="23" borderId="0"/>
    <xf numFmtId="0" fontId="3" fillId="24" borderId="0"/>
    <xf numFmtId="0" fontId="3" fillId="25" borderId="0"/>
    <xf numFmtId="0" fontId="18" fillId="26" borderId="0"/>
    <xf numFmtId="0" fontId="3" fillId="27" borderId="0"/>
    <xf numFmtId="0" fontId="3" fillId="28" borderId="0"/>
    <xf numFmtId="0" fontId="3" fillId="29" borderId="0"/>
    <xf numFmtId="0" fontId="18" fillId="30" borderId="0"/>
    <xf numFmtId="0" fontId="3" fillId="31" borderId="0"/>
    <xf numFmtId="0" fontId="3" fillId="32" borderId="0"/>
    <xf numFmtId="0" fontId="3" fillId="33" borderId="0"/>
    <xf numFmtId="0" fontId="18" fillId="34" borderId="0"/>
    <xf numFmtId="0" fontId="3" fillId="35" borderId="0"/>
    <xf numFmtId="0" fontId="3" fillId="36" borderId="0"/>
    <xf numFmtId="0" fontId="3" fillId="37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Downloads/UAE-Master%20file_6th%20street,%20Trendyol%20and%20Amazon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rendyol"/>
      <sheetName val="6th Street"/>
      <sheetName val="Namshi"/>
      <sheetName val="amazon"/>
      <sheetName val="Noon"/>
    </sheetNames>
    <sheetDataSet>
      <sheetData sheetId="0"/>
      <sheetData sheetId="1"/>
      <sheetData sheetId="2">
        <row r="1">
          <cell r="A1" t="str">
            <v>partner_sku</v>
          </cell>
          <cell r="B1" t="str">
            <v>Brand</v>
          </cell>
        </row>
        <row r="2">
          <cell r="A2" t="str">
            <v>clstmon-eve-prom-p01-sn1000</v>
          </cell>
          <cell r="B2" t="str">
            <v>Everva</v>
          </cell>
        </row>
        <row r="3">
          <cell r="A3" t="str">
            <v>sw100107-30s-000401-0107-55</v>
          </cell>
          <cell r="B3" t="str">
            <v>30Sunday</v>
          </cell>
        </row>
        <row r="4">
          <cell r="A4" t="str">
            <v>sc50207-bab-000542-0207-45</v>
          </cell>
          <cell r="B4" t="str">
            <v>Babamio</v>
          </cell>
        </row>
        <row r="5">
          <cell r="A5" t="str">
            <v>sw100404-30s-000415-0404-54</v>
          </cell>
          <cell r="B5" t="str">
            <v>30Sunday</v>
          </cell>
        </row>
        <row r="6">
          <cell r="A6" t="str">
            <v>su42907-30s-000463-2907-53</v>
          </cell>
          <cell r="B6" t="str">
            <v>30Sunday</v>
          </cell>
        </row>
        <row r="7">
          <cell r="A7" t="str">
            <v>sc50202-bab-000524-0202d-46</v>
          </cell>
          <cell r="B7" t="str">
            <v>Babamio</v>
          </cell>
        </row>
        <row r="8">
          <cell r="A8" t="str">
            <v>sm52502-30s-000205-0202-55</v>
          </cell>
          <cell r="B8" t="str">
            <v>30Sunday</v>
          </cell>
        </row>
        <row r="9">
          <cell r="A9" t="str">
            <v>sm102906-30s-000464-2906-53</v>
          </cell>
          <cell r="B9" t="str">
            <v>30Sunday</v>
          </cell>
        </row>
        <row r="10">
          <cell r="A10" t="str">
            <v>sc40202-bab-000519-0202d-51</v>
          </cell>
          <cell r="B10" t="str">
            <v>Babamio</v>
          </cell>
        </row>
        <row r="11">
          <cell r="A11" t="str">
            <v>clstdai-eve-pure-p05-sn0400</v>
          </cell>
          <cell r="B11" t="str">
            <v>Everva</v>
          </cell>
        </row>
        <row r="12">
          <cell r="A12" t="str">
            <v>fc40118-bab-000546-0118-47</v>
          </cell>
          <cell r="B12" t="str">
            <v>Babamio</v>
          </cell>
        </row>
        <row r="13">
          <cell r="A13" t="str">
            <v>clstmon-eve-prom-p01-sn0850</v>
          </cell>
          <cell r="B13" t="str">
            <v>Everva</v>
          </cell>
        </row>
        <row r="14">
          <cell r="A14" t="str">
            <v>clstdai-eve-pure-p30-sp0400</v>
          </cell>
          <cell r="B14" t="str">
            <v>Everva</v>
          </cell>
        </row>
        <row r="15">
          <cell r="A15" t="str">
            <v>sc40606-bab-000504-0606-51</v>
          </cell>
          <cell r="B15" t="str">
            <v>Babamio</v>
          </cell>
        </row>
        <row r="16">
          <cell r="A16" t="str">
            <v>sc20907-bab-000517-0907d-43</v>
          </cell>
          <cell r="B16" t="str">
            <v>Babamio</v>
          </cell>
        </row>
        <row r="17">
          <cell r="A17" t="str">
            <v>clstdai-lay-cont-p90-dazzle-black-sp0000</v>
          </cell>
          <cell r="B17" t="str">
            <v>Layala</v>
          </cell>
        </row>
        <row r="18">
          <cell r="A18" t="str">
            <v>sw102304-30s-000415-2304-54</v>
          </cell>
          <cell r="B18" t="str">
            <v>30Sunday</v>
          </cell>
        </row>
        <row r="19">
          <cell r="A19" t="str">
            <v>sm51406-30s-000466-1406-52</v>
          </cell>
          <cell r="B19" t="str">
            <v>30Sunday</v>
          </cell>
        </row>
        <row r="20">
          <cell r="A20" t="str">
            <v>clstmon-eve-prom-p01-sn0125</v>
          </cell>
          <cell r="B20" t="str">
            <v>Everva</v>
          </cell>
        </row>
        <row r="21">
          <cell r="A21" t="str">
            <v>su20107-30s-000461-0107-54</v>
          </cell>
          <cell r="B21" t="str">
            <v>30Sunday</v>
          </cell>
        </row>
        <row r="22">
          <cell r="A22" t="str">
            <v>sc20607-bab-000526-0607-43</v>
          </cell>
          <cell r="B22" t="str">
            <v>Babamio</v>
          </cell>
        </row>
        <row r="23">
          <cell r="A23" t="str">
            <v>sc30804-bab-00536-0804d-45</v>
          </cell>
          <cell r="B23" t="str">
            <v>Babamio</v>
          </cell>
        </row>
        <row r="24">
          <cell r="A24" t="str">
            <v>sw30107-30s-000418-0107-52</v>
          </cell>
          <cell r="B24" t="str">
            <v>30Sunday</v>
          </cell>
        </row>
        <row r="25">
          <cell r="A25" t="str">
            <v>sm110107-30s-000451-0107-49</v>
          </cell>
          <cell r="B25" t="str">
            <v>30Sunday</v>
          </cell>
        </row>
        <row r="26">
          <cell r="A26" t="str">
            <v>sc51407-bab-00537-1407d-46</v>
          </cell>
          <cell r="B26" t="str">
            <v>Babamio</v>
          </cell>
        </row>
        <row r="27">
          <cell r="A27" t="str">
            <v>sm40106-30s-000409-0106p-56</v>
          </cell>
          <cell r="B27" t="str">
            <v>30Sunday</v>
          </cell>
        </row>
        <row r="28">
          <cell r="A28" t="str">
            <v>sm100106-30s-000407-0106-52</v>
          </cell>
          <cell r="B28" t="str">
            <v>30Sunday</v>
          </cell>
        </row>
        <row r="29">
          <cell r="A29" t="str">
            <v>clstdai-eve-pure-p30-sp0050</v>
          </cell>
          <cell r="B29" t="str">
            <v>Everva</v>
          </cell>
        </row>
        <row r="30">
          <cell r="A30" t="str">
            <v>sc21007-bab-000526-1007-43</v>
          </cell>
          <cell r="B30" t="str">
            <v>Babamio</v>
          </cell>
        </row>
        <row r="31">
          <cell r="A31" t="str">
            <v>sc21007-bab-000544-1007-44</v>
          </cell>
          <cell r="B31" t="str">
            <v>Babamio</v>
          </cell>
        </row>
        <row r="32">
          <cell r="A32" t="str">
            <v>sc50107-bab-00538-0107d-51</v>
          </cell>
          <cell r="B32" t="str">
            <v>Babamio</v>
          </cell>
        </row>
        <row r="33">
          <cell r="A33" t="str">
            <v>sc21407-bab-000547-1407-47</v>
          </cell>
          <cell r="B33" t="str">
            <v>Babamio</v>
          </cell>
        </row>
        <row r="34">
          <cell r="A34" t="str">
            <v>sm100702-30s-000410-0702-55</v>
          </cell>
          <cell r="B34" t="str">
            <v>30Sunday</v>
          </cell>
        </row>
        <row r="35">
          <cell r="A35" t="str">
            <v>sw40106-30s-000400-0106-53</v>
          </cell>
          <cell r="B35" t="str">
            <v>30Sunday</v>
          </cell>
        </row>
        <row r="36">
          <cell r="A36" t="str">
            <v>clstmon-eve-prom-p01-sn0400</v>
          </cell>
          <cell r="B36" t="str">
            <v>Everva</v>
          </cell>
        </row>
        <row r="37">
          <cell r="A37" t="str">
            <v>sw32607-30s-000412-2607-50</v>
          </cell>
          <cell r="B37" t="str">
            <v>30Sunday</v>
          </cell>
        </row>
        <row r="38">
          <cell r="A38" t="str">
            <v>clstdai-eve-pure-p05-sn0100</v>
          </cell>
          <cell r="B38" t="str">
            <v>Everva</v>
          </cell>
        </row>
        <row r="39">
          <cell r="A39" t="str">
            <v>clstdai-eve-pure-p05-sn0375</v>
          </cell>
          <cell r="B39" t="str">
            <v>Everva</v>
          </cell>
        </row>
        <row r="40">
          <cell r="A40" t="str">
            <v>sm50107-30s-000466-0107-52</v>
          </cell>
          <cell r="B40" t="str">
            <v>30Sunday</v>
          </cell>
        </row>
        <row r="41">
          <cell r="A41" t="str">
            <v>sw32404-30s-000458-2404-56</v>
          </cell>
          <cell r="B41" t="str">
            <v>30Sunday</v>
          </cell>
        </row>
        <row r="42">
          <cell r="A42" t="str">
            <v>clstdai-lay-cont-p60-dazzle-brown-sn0050</v>
          </cell>
          <cell r="B42" t="str">
            <v>Layala</v>
          </cell>
        </row>
        <row r="43">
          <cell r="A43" t="str">
            <v>sc20707-bab-000539-0707-38</v>
          </cell>
          <cell r="B43" t="str">
            <v>Babamio</v>
          </cell>
        </row>
        <row r="44">
          <cell r="A44" t="str">
            <v>fc51418-bab-000549-1418-50</v>
          </cell>
          <cell r="B44" t="str">
            <v>Babamio</v>
          </cell>
        </row>
        <row r="45">
          <cell r="A45" t="str">
            <v>sc50107-bab-000506-0107-48</v>
          </cell>
          <cell r="B45" t="str">
            <v>Babamio</v>
          </cell>
        </row>
        <row r="46">
          <cell r="A46" t="str">
            <v>sc21010-bab-000517-1010d-43</v>
          </cell>
          <cell r="B46" t="str">
            <v>Babamio</v>
          </cell>
        </row>
        <row r="47">
          <cell r="A47" t="str">
            <v>sc21007-bab-000527-1007-48</v>
          </cell>
          <cell r="B47" t="str">
            <v>Babamio</v>
          </cell>
        </row>
        <row r="48">
          <cell r="A48" t="str">
            <v>sw102907-30s-000424-2907-55</v>
          </cell>
          <cell r="B48" t="str">
            <v>30Sunday</v>
          </cell>
        </row>
        <row r="49">
          <cell r="A49" t="str">
            <v>clstdai-eve-pure-p30-sp0375</v>
          </cell>
          <cell r="B49" t="str">
            <v>Everva</v>
          </cell>
        </row>
        <row r="50">
          <cell r="A50" t="str">
            <v>sm40504-30s-000409-2904p-56</v>
          </cell>
          <cell r="B50" t="str">
            <v>30Sunday</v>
          </cell>
        </row>
        <row r="51">
          <cell r="A51" t="str">
            <v>sc40107-bab-000521-1101d-46</v>
          </cell>
          <cell r="B51" t="str">
            <v>Babamio</v>
          </cell>
        </row>
        <row r="52">
          <cell r="A52" t="str">
            <v>sc41406-bab-000521-1406d-46</v>
          </cell>
          <cell r="B52" t="str">
            <v>Babamio</v>
          </cell>
        </row>
        <row r="53">
          <cell r="A53" t="str">
            <v>sm40506-30s-000419-0506-52</v>
          </cell>
          <cell r="B53" t="str">
            <v>30Sunday</v>
          </cell>
        </row>
        <row r="54">
          <cell r="A54" t="str">
            <v>sw40607-30s-000400-0607-53</v>
          </cell>
          <cell r="B54" t="str">
            <v>30Sunday</v>
          </cell>
        </row>
        <row r="55">
          <cell r="A55" t="str">
            <v>clstdai-eve-pure-p30-sp0100</v>
          </cell>
          <cell r="B55" t="str">
            <v>Everva</v>
          </cell>
        </row>
        <row r="56">
          <cell r="A56" t="str">
            <v>sm100607-30s-000421-0607-49</v>
          </cell>
          <cell r="B56" t="str">
            <v>30Sunday</v>
          </cell>
        </row>
        <row r="57">
          <cell r="A57" t="str">
            <v>clstdai-eve-pure-p30-sp0500</v>
          </cell>
          <cell r="B57" t="str">
            <v>Everva</v>
          </cell>
        </row>
        <row r="58">
          <cell r="A58" t="str">
            <v>sc22007-bab-000541-2007-35</v>
          </cell>
          <cell r="B58" t="str">
            <v>Babamio</v>
          </cell>
        </row>
        <row r="59">
          <cell r="A59" t="str">
            <v>sc30607-bab-000543-0607-43</v>
          </cell>
          <cell r="B59" t="str">
            <v>Babamio</v>
          </cell>
        </row>
        <row r="60">
          <cell r="A60" t="str">
            <v>sc20707-bab-000540-0707-37</v>
          </cell>
          <cell r="B60" t="str">
            <v>Babamio</v>
          </cell>
        </row>
        <row r="61">
          <cell r="A61" t="str">
            <v>sc50207-bab-000505-0207-43</v>
          </cell>
          <cell r="B61" t="str">
            <v>Babamio</v>
          </cell>
        </row>
        <row r="62">
          <cell r="A62" t="str">
            <v>sc50107-bab-00537-0107d-46</v>
          </cell>
          <cell r="B62" t="str">
            <v>Babamio</v>
          </cell>
        </row>
        <row r="63">
          <cell r="A63" t="str">
            <v>sm100706-bla-000354-0706-54</v>
          </cell>
          <cell r="B63" t="str">
            <v>BlackOut</v>
          </cell>
        </row>
        <row r="64">
          <cell r="A64" t="str">
            <v>sc41007-bab-000504-1007-51</v>
          </cell>
          <cell r="B64" t="str">
            <v>Babamio</v>
          </cell>
        </row>
        <row r="65">
          <cell r="A65" t="str">
            <v>sm50207-30s-000428-0207-48</v>
          </cell>
          <cell r="B65" t="str">
            <v>30Sunday</v>
          </cell>
        </row>
        <row r="66">
          <cell r="A66" t="str">
            <v>sc21007-bab-000500-1007-40</v>
          </cell>
          <cell r="B66" t="str">
            <v>Babamio</v>
          </cell>
        </row>
        <row r="67">
          <cell r="A67" t="str">
            <v>sm40107-bla-000363-0107-50</v>
          </cell>
          <cell r="B67" t="str">
            <v>BlackOut</v>
          </cell>
        </row>
        <row r="68">
          <cell r="A68" t="str">
            <v>cost3mo-lay-2025-p02-emerald-glow-sn0050</v>
          </cell>
          <cell r="B68" t="str">
            <v>Layala</v>
          </cell>
        </row>
        <row r="69">
          <cell r="A69" t="str">
            <v>sw42604-30s-000300-2604-50</v>
          </cell>
          <cell r="B69" t="str">
            <v>30Sunday</v>
          </cell>
        </row>
        <row r="70">
          <cell r="A70" t="str">
            <v>cost3mo-lay-lens-p02-chestnut-brown-sn0025</v>
          </cell>
          <cell r="B70" t="str">
            <v>Layala</v>
          </cell>
        </row>
        <row r="71">
          <cell r="A71" t="str">
            <v>clstmon-eve-prom-p01-sn0500</v>
          </cell>
          <cell r="B71" t="str">
            <v>Everva</v>
          </cell>
        </row>
        <row r="72">
          <cell r="A72" t="str">
            <v>sm40404-30s-000423-0404-55</v>
          </cell>
          <cell r="B72" t="str">
            <v>30Sunday</v>
          </cell>
        </row>
        <row r="73">
          <cell r="A73" t="str">
            <v>sc20907-bab-000547-0907-47</v>
          </cell>
          <cell r="B73" t="str">
            <v>Babamio</v>
          </cell>
        </row>
        <row r="74">
          <cell r="A74" t="str">
            <v>sm100701-30s-000407-0701-52</v>
          </cell>
          <cell r="B74" t="str">
            <v>30Sunday</v>
          </cell>
        </row>
        <row r="75">
          <cell r="A75" t="str">
            <v>sc20907-bab-000500-0907-40</v>
          </cell>
          <cell r="B75" t="str">
            <v>Babamio</v>
          </cell>
        </row>
        <row r="76">
          <cell r="A76" t="str">
            <v>sm21207-30s-000426-1207-53</v>
          </cell>
          <cell r="B76" t="str">
            <v>30Sunday</v>
          </cell>
        </row>
        <row r="77">
          <cell r="A77" t="str">
            <v>sw40404-30s-000427-0404-50</v>
          </cell>
          <cell r="B77" t="str">
            <v>30Sunday</v>
          </cell>
        </row>
        <row r="78">
          <cell r="A78" t="str">
            <v>su101204-bla-000355-1204-51</v>
          </cell>
          <cell r="B78" t="str">
            <v>BlackOut</v>
          </cell>
        </row>
        <row r="79">
          <cell r="A79" t="str">
            <v>fc21418-bab-000547-1418-47</v>
          </cell>
          <cell r="B79" t="str">
            <v>Babamio</v>
          </cell>
        </row>
        <row r="80">
          <cell r="A80" t="str">
            <v>sm40104-30s-000462-0104-54</v>
          </cell>
          <cell r="B80" t="str">
            <v>30Sunday</v>
          </cell>
        </row>
        <row r="81">
          <cell r="A81" t="str">
            <v>sc50907-bab-000505-0907-43</v>
          </cell>
          <cell r="B81" t="str">
            <v>Babamio</v>
          </cell>
        </row>
        <row r="82">
          <cell r="A82" t="str">
            <v>sw50506-30s-000406-2906p-56</v>
          </cell>
          <cell r="B82" t="str">
            <v>30Sunday</v>
          </cell>
        </row>
        <row r="83">
          <cell r="A83" t="str">
            <v>sw30107-30s-000458-0107-56</v>
          </cell>
          <cell r="B83" t="str">
            <v>30Sunday</v>
          </cell>
        </row>
        <row r="84">
          <cell r="A84" t="str">
            <v>sm100107-30s-000403-0107-49</v>
          </cell>
          <cell r="B84" t="str">
            <v>30Sunday</v>
          </cell>
        </row>
        <row r="85">
          <cell r="A85" t="str">
            <v>sc50907-bab-000506-0907-48</v>
          </cell>
          <cell r="B85" t="str">
            <v>Babamio</v>
          </cell>
        </row>
        <row r="86">
          <cell r="A86" t="str">
            <v>sm20106-30s-000426-0106-53</v>
          </cell>
          <cell r="B86" t="str">
            <v>30Sunday</v>
          </cell>
        </row>
        <row r="87">
          <cell r="A87" t="str">
            <v>sm40107-30s-000423-0107-55</v>
          </cell>
          <cell r="B87" t="str">
            <v>30Sunday</v>
          </cell>
        </row>
        <row r="88">
          <cell r="A88" t="str">
            <v>clstmon-eve-prom-p01-sn0225</v>
          </cell>
          <cell r="B88" t="str">
            <v>Everva</v>
          </cell>
        </row>
        <row r="89">
          <cell r="A89" t="str">
            <v>sc50207-bab-000506-0207-48</v>
          </cell>
          <cell r="B89" t="str">
            <v>Babamio</v>
          </cell>
        </row>
        <row r="90">
          <cell r="A90" t="str">
            <v>sw100904-30s-000413-0904-53</v>
          </cell>
          <cell r="B90" t="str">
            <v>30Sunday</v>
          </cell>
        </row>
        <row r="91">
          <cell r="A91" t="str">
            <v>clstdai-eve-pure-p05-sn0300</v>
          </cell>
          <cell r="B91" t="str">
            <v>Everva</v>
          </cell>
        </row>
        <row r="92">
          <cell r="A92" t="str">
            <v>sm100906-30s-000403-0906-49</v>
          </cell>
          <cell r="B92" t="str">
            <v>30Sunday</v>
          </cell>
        </row>
        <row r="93">
          <cell r="A93" t="str">
            <v>sm100107-30s-000421-0107-49</v>
          </cell>
          <cell r="B93" t="str">
            <v>30Sunday</v>
          </cell>
        </row>
        <row r="94">
          <cell r="A94" t="str">
            <v>sc20901-bab-000500-0901-40</v>
          </cell>
          <cell r="B94" t="str">
            <v>Babamio</v>
          </cell>
        </row>
        <row r="95">
          <cell r="A95" t="str">
            <v>clstdai-eve-pure-p30-sp0250</v>
          </cell>
          <cell r="B95" t="str">
            <v>Everva</v>
          </cell>
        </row>
        <row r="96">
          <cell r="A96" t="str">
            <v>sm40404-30s-000404-0404-54</v>
          </cell>
          <cell r="B96" t="str">
            <v>30Sunday</v>
          </cell>
        </row>
        <row r="97">
          <cell r="A97" t="str">
            <v>clstdai-eve-pure-p30-sp0300</v>
          </cell>
          <cell r="B97" t="str">
            <v>Everva</v>
          </cell>
        </row>
        <row r="98">
          <cell r="A98" t="str">
            <v>su100107-30s-000457-0107-49</v>
          </cell>
          <cell r="B98" t="str">
            <v>30Sunday</v>
          </cell>
        </row>
        <row r="99">
          <cell r="A99" t="str">
            <v>sc40606-bab-000503-0606-46</v>
          </cell>
          <cell r="B99" t="str">
            <v>Babamio</v>
          </cell>
        </row>
        <row r="100">
          <cell r="A100" t="str">
            <v>sc20607-bab-000527-0607-48</v>
          </cell>
          <cell r="B100" t="str">
            <v>Babamio</v>
          </cell>
        </row>
        <row r="101">
          <cell r="A101" t="str">
            <v>sw30404-30s-000418-0404-52</v>
          </cell>
          <cell r="B101" t="str">
            <v>30Sunday</v>
          </cell>
        </row>
        <row r="102">
          <cell r="A102" t="str">
            <v>cost3mo-lay-2025-p02-desert-topaz-sp0000</v>
          </cell>
          <cell r="B102" t="str">
            <v>Layala</v>
          </cell>
        </row>
        <row r="103">
          <cell r="A103" t="str">
            <v>clstdai-eve-pure-p05-sn0425</v>
          </cell>
          <cell r="B103" t="str">
            <v>Everva</v>
          </cell>
        </row>
        <row r="104">
          <cell r="A104" t="str">
            <v>clstdai-eve-pure-p05-sn0125</v>
          </cell>
          <cell r="B104" t="str">
            <v>Everva</v>
          </cell>
        </row>
        <row r="105">
          <cell r="A105" t="str">
            <v>costdai-ama-dail-p10-shadow-sn0125</v>
          </cell>
          <cell r="B105" t="str">
            <v>Amara</v>
          </cell>
        </row>
        <row r="106">
          <cell r="A106" t="str">
            <v>cost3mo-lay-2025-p02-emerald-glow-sn0225</v>
          </cell>
          <cell r="B106" t="str">
            <v>Layala</v>
          </cell>
        </row>
        <row r="107">
          <cell r="A107" t="str">
            <v>clstdai-lay-cont-p10-dazzle-bkack-sn0050</v>
          </cell>
          <cell r="B107" t="str">
            <v>Layala</v>
          </cell>
        </row>
        <row r="108">
          <cell r="A108" t="str">
            <v>sm50107-opc-130020-0107-49</v>
          </cell>
          <cell r="B108" t="str">
            <v>Optical Club</v>
          </cell>
        </row>
        <row r="109">
          <cell r="A109" t="str">
            <v>sc50207-bab-000230-0207-45</v>
          </cell>
          <cell r="B109" t="str">
            <v>Babamio</v>
          </cell>
        </row>
        <row r="110">
          <cell r="A110" t="str">
            <v>sc40606-bab-000518-0606d-46</v>
          </cell>
          <cell r="B110" t="str">
            <v>Babamio</v>
          </cell>
        </row>
        <row r="111">
          <cell r="A111" t="str">
            <v>sc40606-bab-000515-2106d-46</v>
          </cell>
          <cell r="B111" t="str">
            <v>Babamio</v>
          </cell>
        </row>
        <row r="112">
          <cell r="A112" t="str">
            <v>sm40107-30s-000417-1707-49</v>
          </cell>
          <cell r="B112" t="str">
            <v>30Sunday</v>
          </cell>
        </row>
        <row r="113">
          <cell r="A113" t="str">
            <v>sw100507-30s-000401-2907-55</v>
          </cell>
          <cell r="B113" t="str">
            <v>30Sunday</v>
          </cell>
        </row>
        <row r="114">
          <cell r="A114" t="str">
            <v>sc50607-bab-000503-0607-46</v>
          </cell>
          <cell r="B114" t="str">
            <v>Babamio</v>
          </cell>
        </row>
        <row r="115">
          <cell r="A115" t="str">
            <v>sc20904-bab-000514-0904d-43</v>
          </cell>
          <cell r="B115" t="str">
            <v>Babamio</v>
          </cell>
        </row>
        <row r="116">
          <cell r="A116" t="str">
            <v>sc40107-bab-000507-0107d-46</v>
          </cell>
          <cell r="B116" t="str">
            <v>Babamio</v>
          </cell>
        </row>
        <row r="117">
          <cell r="A117" t="str">
            <v>sc22007-opc-190007-2007-39</v>
          </cell>
          <cell r="B117" t="str">
            <v>Optical Club</v>
          </cell>
        </row>
        <row r="118">
          <cell r="A118" t="str">
            <v>su20101-opc-110094-0101-53</v>
          </cell>
          <cell r="B118" t="str">
            <v>Optical Club</v>
          </cell>
        </row>
        <row r="119">
          <cell r="A119" t="str">
            <v>sc50202-bab-000505-0202-43</v>
          </cell>
          <cell r="B119" t="str">
            <v>Babamio</v>
          </cell>
        </row>
        <row r="120">
          <cell r="A120" t="str">
            <v>sm40701-30s-000409-0701p-56</v>
          </cell>
          <cell r="B120" t="str">
            <v>30Sunday</v>
          </cell>
        </row>
        <row r="121">
          <cell r="A121" t="str">
            <v>sc40202-bab-000518-0202d-46</v>
          </cell>
          <cell r="B121" t="str">
            <v>Babamio</v>
          </cell>
        </row>
        <row r="122">
          <cell r="A122" t="str">
            <v>sm22704-30s-000207-2704p-53</v>
          </cell>
          <cell r="B122" t="str">
            <v>30Sunday</v>
          </cell>
        </row>
        <row r="123">
          <cell r="A123" t="str">
            <v>sc50202-bab-000506-0202-48</v>
          </cell>
          <cell r="B123" t="str">
            <v>Babamio</v>
          </cell>
        </row>
        <row r="124">
          <cell r="A124" t="str">
            <v>sc50107-opc-190006-0107-43</v>
          </cell>
          <cell r="B124" t="str">
            <v>Optical Club</v>
          </cell>
        </row>
        <row r="125">
          <cell r="A125" t="str">
            <v>sm50706-30s-000428-0706-48</v>
          </cell>
          <cell r="B125" t="str">
            <v>30Sunday</v>
          </cell>
        </row>
        <row r="126">
          <cell r="A126" t="str">
            <v>sw101304-30s-000301-1304-54</v>
          </cell>
          <cell r="B126" t="str">
            <v>30Sunday</v>
          </cell>
        </row>
        <row r="127">
          <cell r="A127" t="str">
            <v>clstdai-eve-pure-p30-sp0175</v>
          </cell>
          <cell r="B127" t="str">
            <v>Everva</v>
          </cell>
        </row>
        <row r="128">
          <cell r="A128" t="str">
            <v>sc40207-bab-000507-0207d-46</v>
          </cell>
          <cell r="B128" t="str">
            <v>Babamio</v>
          </cell>
        </row>
        <row r="129">
          <cell r="A129" t="str">
            <v>sc21010-bab-000514-1010d-43</v>
          </cell>
          <cell r="B129" t="str">
            <v>Babamio</v>
          </cell>
        </row>
        <row r="130">
          <cell r="A130" t="str">
            <v>sc50907-opc-190006-0907-43</v>
          </cell>
          <cell r="B130" t="str">
            <v>Optical Club</v>
          </cell>
        </row>
        <row r="131">
          <cell r="A131" t="str">
            <v>su20104-30s-000206-0104p-52</v>
          </cell>
          <cell r="B131" t="str">
            <v>30Sunday</v>
          </cell>
        </row>
        <row r="132">
          <cell r="A132" t="str">
            <v>sc30904-bab-000523-0904d-45</v>
          </cell>
          <cell r="B132" t="str">
            <v>Babamio</v>
          </cell>
        </row>
        <row r="133">
          <cell r="A133" t="str">
            <v>sm41207-30s-000422-1207-50</v>
          </cell>
          <cell r="B133" t="str">
            <v>30Sunday</v>
          </cell>
        </row>
        <row r="134">
          <cell r="A134" t="str">
            <v>sc20107-bab-000237-0107-48</v>
          </cell>
          <cell r="B134" t="str">
            <v>Babamio</v>
          </cell>
        </row>
        <row r="135">
          <cell r="A135" t="str">
            <v>clstdai-eve-pure-p30-sp0350</v>
          </cell>
          <cell r="B135" t="str">
            <v>Everva</v>
          </cell>
        </row>
        <row r="136">
          <cell r="A136" t="str">
            <v>sc31010-bab-00536-1010d-45</v>
          </cell>
          <cell r="B136" t="str">
            <v>Babamio</v>
          </cell>
        </row>
        <row r="137">
          <cell r="A137" t="str">
            <v>sc31010-bab-000523-1010d-45</v>
          </cell>
          <cell r="B137" t="str">
            <v>Babamio</v>
          </cell>
        </row>
        <row r="138">
          <cell r="A138" t="str">
            <v>clstdai-eve-pure-p30-sp0600</v>
          </cell>
          <cell r="B138" t="str">
            <v>Everva</v>
          </cell>
        </row>
        <row r="139">
          <cell r="A139" t="str">
            <v>sm10104-bla-000360-0104-55</v>
          </cell>
          <cell r="B139" t="str">
            <v>BlackOut</v>
          </cell>
        </row>
        <row r="140">
          <cell r="A140" t="str">
            <v>sc40107-bab-000522-0101d-51</v>
          </cell>
          <cell r="B140" t="str">
            <v>Babamio</v>
          </cell>
        </row>
        <row r="141">
          <cell r="A141" t="str">
            <v>sw40207-30s-000427-0207-50</v>
          </cell>
          <cell r="B141" t="str">
            <v>30Sunday</v>
          </cell>
        </row>
        <row r="142">
          <cell r="A142" t="str">
            <v>sc30904-bab-00536-0904d-45</v>
          </cell>
          <cell r="B142" t="str">
            <v>Babamio</v>
          </cell>
        </row>
        <row r="143">
          <cell r="A143" t="str">
            <v>clstdai-eve-pure-p30-sp0125</v>
          </cell>
          <cell r="B143" t="str">
            <v>Everva</v>
          </cell>
        </row>
        <row r="144">
          <cell r="A144" t="str">
            <v>sc20807-bab-000541-0807-35</v>
          </cell>
          <cell r="B144" t="str">
            <v>Babamio</v>
          </cell>
        </row>
        <row r="145">
          <cell r="A145" t="str">
            <v>clstdai-eve-pure-p30-sp0425</v>
          </cell>
          <cell r="B145" t="str">
            <v>Everva</v>
          </cell>
        </row>
        <row r="146">
          <cell r="A146" t="str">
            <v>sw30504-30s-000420-0504-57</v>
          </cell>
          <cell r="B146" t="str">
            <v>30Sunday</v>
          </cell>
        </row>
        <row r="147">
          <cell r="A147" t="str">
            <v>sc50107-bab-000505-0107-43</v>
          </cell>
          <cell r="B147" t="str">
            <v>Babamio</v>
          </cell>
        </row>
        <row r="148">
          <cell r="A148" t="str">
            <v>su102904-30s-000457-2904-49</v>
          </cell>
          <cell r="B148" t="str">
            <v>30Sunday</v>
          </cell>
        </row>
        <row r="149">
          <cell r="A149" t="str">
            <v>sw101207-30s-000424-1207-55</v>
          </cell>
          <cell r="B149" t="str">
            <v>30Sunday</v>
          </cell>
        </row>
        <row r="150">
          <cell r="A150" t="str">
            <v>sw70404-30s-000267-0404-54</v>
          </cell>
          <cell r="B150" t="str">
            <v>30Sunday</v>
          </cell>
        </row>
        <row r="151">
          <cell r="A151" t="str">
            <v>sc50107-bab-000525-0107d-51</v>
          </cell>
          <cell r="B151" t="str">
            <v>Babamio</v>
          </cell>
        </row>
        <row r="152">
          <cell r="A152" t="str">
            <v>sc20907-bab-000539-0907-38</v>
          </cell>
          <cell r="B152" t="str">
            <v>Babamio</v>
          </cell>
        </row>
        <row r="153">
          <cell r="A153" t="str">
            <v>sw102607-30s-000414-2607-47</v>
          </cell>
          <cell r="B153" t="str">
            <v>30Sunday</v>
          </cell>
        </row>
        <row r="154">
          <cell r="A154" t="str">
            <v>sc21007-bab-000540-1007-37</v>
          </cell>
          <cell r="B154" t="str">
            <v>Babamio</v>
          </cell>
        </row>
        <row r="155">
          <cell r="A155" t="str">
            <v>sw30101-30s-000405-0101-54</v>
          </cell>
          <cell r="B155" t="str">
            <v>30Sunday</v>
          </cell>
        </row>
        <row r="156">
          <cell r="A156" t="str">
            <v>sm40107-30s-000422-0107-50</v>
          </cell>
          <cell r="B156" t="str">
            <v>30Sunday</v>
          </cell>
        </row>
        <row r="157">
          <cell r="A157" t="str">
            <v>clstdai-eve-pure-p30-sp0450</v>
          </cell>
          <cell r="B157" t="str">
            <v>Everva</v>
          </cell>
        </row>
        <row r="158">
          <cell r="A158" t="str">
            <v>sw40607-30s-000402-0607-53</v>
          </cell>
          <cell r="B158" t="str">
            <v>30Sunday</v>
          </cell>
        </row>
        <row r="159">
          <cell r="A159" t="str">
            <v>fc101218-bab-000548-1218-49</v>
          </cell>
          <cell r="B159" t="str">
            <v>Babamio</v>
          </cell>
        </row>
        <row r="160">
          <cell r="A160" t="str">
            <v>clstdai-eve-pure-p30-sp0275</v>
          </cell>
          <cell r="B160" t="str">
            <v>Everva</v>
          </cell>
        </row>
        <row r="161">
          <cell r="A161" t="str">
            <v>sc52407-bab-000542-2407-45</v>
          </cell>
          <cell r="B161" t="str">
            <v>Babamio</v>
          </cell>
        </row>
        <row r="162">
          <cell r="A162" t="str">
            <v>sc50202-bab-00537-0202d-46</v>
          </cell>
          <cell r="B162" t="str">
            <v>Babamio</v>
          </cell>
        </row>
        <row r="163">
          <cell r="A163" t="str">
            <v>sw102907-30s-000415-2907-54</v>
          </cell>
          <cell r="B163" t="str">
            <v>30Sunday</v>
          </cell>
        </row>
        <row r="164">
          <cell r="A164" t="str">
            <v>sc20607-bab-000500-0607-40</v>
          </cell>
          <cell r="B164" t="str">
            <v>Babamio</v>
          </cell>
        </row>
        <row r="165">
          <cell r="A165" t="str">
            <v>cost3mo-lay-2025-p02-desert-topaz-sn0050</v>
          </cell>
          <cell r="B165" t="str">
            <v>Layala</v>
          </cell>
        </row>
        <row r="166">
          <cell r="A166" t="str">
            <v>sw42607-30s-000400-2607-53</v>
          </cell>
          <cell r="B166" t="str">
            <v>30Sunday</v>
          </cell>
        </row>
        <row r="167">
          <cell r="A167" t="str">
            <v>fc20918-bab-000545-0918-43</v>
          </cell>
          <cell r="B167" t="str">
            <v>Babamio</v>
          </cell>
        </row>
        <row r="168">
          <cell r="A168" t="str">
            <v>fc40618-bab-000546-0618-47</v>
          </cell>
          <cell r="B168" t="str">
            <v>Babamio</v>
          </cell>
        </row>
        <row r="169">
          <cell r="A169" t="str">
            <v>fc102318-bab-000548-2318-49</v>
          </cell>
          <cell r="B169" t="str">
            <v>Babamio</v>
          </cell>
        </row>
        <row r="170">
          <cell r="A170" t="str">
            <v>clstmon-eve-prom-p01-sn0575</v>
          </cell>
          <cell r="B170" t="str">
            <v>Everva</v>
          </cell>
        </row>
        <row r="171">
          <cell r="A171" t="str">
            <v>fc20718-bab-000539-0718-38</v>
          </cell>
          <cell r="B171" t="str">
            <v>Babamio</v>
          </cell>
        </row>
        <row r="172">
          <cell r="A172" t="str">
            <v>sm41406-30s-000419-1406-52</v>
          </cell>
          <cell r="B172" t="str">
            <v>30Sunday</v>
          </cell>
        </row>
        <row r="173">
          <cell r="A173" t="str">
            <v>sc30807-bab-000543-0807-43</v>
          </cell>
          <cell r="B173" t="str">
            <v>Babamio</v>
          </cell>
        </row>
        <row r="174">
          <cell r="A174" t="str">
            <v>fc50118-bab-000549-0118-50</v>
          </cell>
          <cell r="B174" t="str">
            <v>Babamio</v>
          </cell>
        </row>
        <row r="175">
          <cell r="A175" t="str">
            <v>sc20207-bab-000544-0207-44</v>
          </cell>
          <cell r="B175" t="str">
            <v>Babamio</v>
          </cell>
        </row>
        <row r="176">
          <cell r="A176" t="str">
            <v>clstmon-eve-prom-p01-sn0525</v>
          </cell>
          <cell r="B176" t="str">
            <v>Everva</v>
          </cell>
        </row>
        <row r="177">
          <cell r="A177" t="str">
            <v>su40107-30s-000463-0107-53</v>
          </cell>
          <cell r="B177" t="str">
            <v>30Sunday</v>
          </cell>
        </row>
        <row r="178">
          <cell r="A178" t="str">
            <v>sm50107-30s-000428-0107-48</v>
          </cell>
          <cell r="B178" t="str">
            <v>30Sunday</v>
          </cell>
        </row>
        <row r="179">
          <cell r="A179" t="str">
            <v>clstmon-eve-prom-p01-sn0075</v>
          </cell>
          <cell r="B179" t="str">
            <v>Everva</v>
          </cell>
        </row>
        <row r="180">
          <cell r="A180" t="str">
            <v>sc50904-bab-000505-0904-43</v>
          </cell>
          <cell r="B180" t="str">
            <v>Babamio</v>
          </cell>
        </row>
        <row r="181">
          <cell r="A181" t="str">
            <v>sw32904-30s-000425-2904-60</v>
          </cell>
          <cell r="B181" t="str">
            <v>30Sunday</v>
          </cell>
        </row>
        <row r="182">
          <cell r="A182" t="str">
            <v>sw30107-30s-000420-0107-57</v>
          </cell>
          <cell r="B182" t="str">
            <v>30Sunday</v>
          </cell>
        </row>
        <row r="183">
          <cell r="A183" t="str">
            <v>sw40107-30s-000427-0107-50</v>
          </cell>
          <cell r="B183" t="str">
            <v>30Sunday</v>
          </cell>
        </row>
        <row r="184">
          <cell r="A184" t="str">
            <v>sm40707-30s-000462-0707-54</v>
          </cell>
          <cell r="B184" t="str">
            <v>30Sunday</v>
          </cell>
        </row>
        <row r="185">
          <cell r="A185" t="str">
            <v>sw50101-30s-000406-0101p-56</v>
          </cell>
          <cell r="B185" t="str">
            <v>30Sunday</v>
          </cell>
        </row>
        <row r="186">
          <cell r="A186" t="str">
            <v>clstmon-eve-prom-p01-sn0550</v>
          </cell>
          <cell r="B186" t="str">
            <v>Everva</v>
          </cell>
        </row>
        <row r="187">
          <cell r="A187" t="str">
            <v>sm100101-30s-000411-0101-50</v>
          </cell>
          <cell r="B187" t="str">
            <v>30Sunday</v>
          </cell>
        </row>
        <row r="188">
          <cell r="A188" t="str">
            <v>clstmon-eve-prom-p01-sn0100</v>
          </cell>
          <cell r="B188" t="str">
            <v>Everva</v>
          </cell>
        </row>
        <row r="189">
          <cell r="A189" t="str">
            <v>sm100701-30s-000411-0701-50</v>
          </cell>
          <cell r="B189" t="str">
            <v>30Sunday</v>
          </cell>
        </row>
        <row r="190">
          <cell r="A190" t="str">
            <v>sm40107-30s-000419-0107-52</v>
          </cell>
          <cell r="B190" t="str">
            <v>30Sunday</v>
          </cell>
        </row>
        <row r="191">
          <cell r="A191" t="str">
            <v>su100702-bla-000345-0702-56</v>
          </cell>
          <cell r="B191" t="str">
            <v>BlackOut</v>
          </cell>
        </row>
        <row r="192">
          <cell r="A192" t="str">
            <v>clstmon-eve-prom-p01-sn0325</v>
          </cell>
          <cell r="B192" t="str">
            <v>Everva</v>
          </cell>
        </row>
        <row r="193">
          <cell r="A193" t="str">
            <v>sm100404-30s-000403-0404-49</v>
          </cell>
          <cell r="B193" t="str">
            <v>30Sunday</v>
          </cell>
        </row>
        <row r="194">
          <cell r="A194" t="str">
            <v>sm40106-bla-000347-0106-56</v>
          </cell>
          <cell r="B194" t="str">
            <v>BlackOut</v>
          </cell>
        </row>
        <row r="195">
          <cell r="A195" t="str">
            <v>sm40706-30s-000404-0706-54</v>
          </cell>
          <cell r="B195" t="str">
            <v>30Sunday</v>
          </cell>
        </row>
        <row r="196">
          <cell r="A196" t="str">
            <v>sm100107-bla-000348-0107-50</v>
          </cell>
          <cell r="B196" t="str">
            <v>BlackOut</v>
          </cell>
        </row>
        <row r="197">
          <cell r="A197" t="str">
            <v>sm100104-bla-000354-0104-54</v>
          </cell>
          <cell r="B197" t="str">
            <v>BlackOut</v>
          </cell>
        </row>
        <row r="198">
          <cell r="A198" t="str">
            <v>sm101202-30s-000407-1202-52</v>
          </cell>
          <cell r="B198" t="str">
            <v>30Sunday</v>
          </cell>
        </row>
        <row r="199">
          <cell r="A199" t="str">
            <v>sw100404-30s-000413-0404-53</v>
          </cell>
          <cell r="B199" t="str">
            <v>30Sunday</v>
          </cell>
        </row>
        <row r="200">
          <cell r="A200" t="str">
            <v>clstdai-eve-pure-p05-sn0050</v>
          </cell>
          <cell r="B200" t="str">
            <v>Everva</v>
          </cell>
        </row>
        <row r="201">
          <cell r="A201" t="str">
            <v>su101207-bla-000345-1207-56</v>
          </cell>
          <cell r="B201" t="str">
            <v>BlackOut</v>
          </cell>
        </row>
        <row r="202">
          <cell r="A202" t="str">
            <v>clstmon-eve-prom-p01-sn0375</v>
          </cell>
          <cell r="B202" t="str">
            <v>Everva</v>
          </cell>
        </row>
        <row r="203">
          <cell r="A203" t="str">
            <v>su51806-30s-00448-1806p-51</v>
          </cell>
          <cell r="B203" t="str">
            <v>30Sunday</v>
          </cell>
        </row>
        <row r="204">
          <cell r="A204" t="str">
            <v>clstdai-eve-pure-p05-sn0575</v>
          </cell>
          <cell r="B204" t="str">
            <v>Everva</v>
          </cell>
        </row>
        <row r="205">
          <cell r="A205" t="str">
            <v>sw60107-30s-000449-0107-59</v>
          </cell>
          <cell r="B205" t="str">
            <v>30Sunday</v>
          </cell>
        </row>
        <row r="206">
          <cell r="A206" t="str">
            <v>sm100701-30s-000408-0701-48</v>
          </cell>
          <cell r="B206" t="str">
            <v>30Sunday</v>
          </cell>
        </row>
        <row r="207">
          <cell r="A207" t="str">
            <v>sm40107-30s-000404-0107-54</v>
          </cell>
          <cell r="B207" t="str">
            <v>30Sunday</v>
          </cell>
        </row>
        <row r="208">
          <cell r="A208" t="str">
            <v>su40104-bla-000353-0104-51</v>
          </cell>
          <cell r="B208" t="str">
            <v>BlackOut</v>
          </cell>
        </row>
        <row r="209">
          <cell r="A209" t="str">
            <v>clstmon-eve-prom-p01-sn0300</v>
          </cell>
          <cell r="B209" t="str">
            <v>Everva</v>
          </cell>
        </row>
        <row r="210">
          <cell r="A210" t="str">
            <v>sw100407-30s-000450-0407-53</v>
          </cell>
          <cell r="B210" t="str">
            <v>30Sunday</v>
          </cell>
        </row>
        <row r="211">
          <cell r="A211" t="str">
            <v>sm40604-30s-000416-0604-54</v>
          </cell>
          <cell r="B211" t="str">
            <v>30Sunday</v>
          </cell>
        </row>
        <row r="212">
          <cell r="A212" t="str">
            <v>clstmon-eve-prom-p01-sn0175</v>
          </cell>
          <cell r="B212" t="str">
            <v>Everva</v>
          </cell>
        </row>
        <row r="213">
          <cell r="A213" t="str">
            <v>clstmon-eve-prom-p01-sn0250</v>
          </cell>
          <cell r="B213" t="str">
            <v>Everva</v>
          </cell>
        </row>
        <row r="214">
          <cell r="A214" t="str">
            <v>clstdai-eve-pure-p05-sn0550</v>
          </cell>
          <cell r="B214" t="str">
            <v>Everva</v>
          </cell>
        </row>
        <row r="215">
          <cell r="A215" t="str">
            <v>clstmon-eve-prom-p01-sn0350</v>
          </cell>
          <cell r="B215" t="str">
            <v>Everva</v>
          </cell>
        </row>
        <row r="216">
          <cell r="A216" t="str">
            <v>clstdai-eve-pure-p05-sn0075</v>
          </cell>
          <cell r="B216" t="str">
            <v>Everva</v>
          </cell>
        </row>
        <row r="217">
          <cell r="A217" t="str">
            <v>sw42404-30s-000465-2404-60</v>
          </cell>
          <cell r="B217" t="str">
            <v>30Sunday</v>
          </cell>
        </row>
        <row r="218">
          <cell r="A218" t="str">
            <v>clstdai-eve-pure-p05-sn0600</v>
          </cell>
          <cell r="B218" t="str">
            <v>Everva</v>
          </cell>
        </row>
        <row r="219">
          <cell r="A219" t="str">
            <v>clstdai-eve-pure-p05-sn0450</v>
          </cell>
          <cell r="B219" t="str">
            <v>Everva</v>
          </cell>
        </row>
        <row r="220">
          <cell r="A220" t="str">
            <v>clstdai-eve-pure-p05-sn0325</v>
          </cell>
          <cell r="B220" t="str">
            <v>Everva</v>
          </cell>
        </row>
        <row r="221">
          <cell r="A221" t="str">
            <v>clstdai-eve-pure-p05-sn0350</v>
          </cell>
          <cell r="B221" t="str">
            <v>Everva</v>
          </cell>
        </row>
        <row r="222">
          <cell r="A222" t="str">
            <v>clstdai-eve-pure-p05-sn0225</v>
          </cell>
          <cell r="B222" t="str">
            <v>Everva</v>
          </cell>
        </row>
        <row r="223">
          <cell r="A223" t="str">
            <v>clstdai-eve-pure-p05-sn0150</v>
          </cell>
          <cell r="B223" t="str">
            <v>Everva</v>
          </cell>
        </row>
        <row r="224">
          <cell r="A224" t="str">
            <v>clstdai-eve-pure-p05-sn0275</v>
          </cell>
          <cell r="B224" t="str">
            <v>Everva</v>
          </cell>
        </row>
        <row r="225">
          <cell r="A225" t="str">
            <v>clstdai-eve-pure-p05-sn0175</v>
          </cell>
          <cell r="B225" t="str">
            <v>Everva</v>
          </cell>
        </row>
        <row r="226">
          <cell r="A226" t="str">
            <v>clstdai-eve-pure-p05-sn0250</v>
          </cell>
          <cell r="B226" t="str">
            <v>Everva</v>
          </cell>
        </row>
        <row r="227">
          <cell r="A227" t="str">
            <v>sw20404-bla-000107-2604-60</v>
          </cell>
          <cell r="B227" t="str">
            <v>BlackOut</v>
          </cell>
        </row>
        <row r="228">
          <cell r="A228" t="str">
            <v>clstdai-btr-oned-p30-sn0550</v>
          </cell>
          <cell r="B228" t="str">
            <v>Biotrue</v>
          </cell>
        </row>
        <row r="229">
          <cell r="A229" t="str">
            <v>clstbiw-acu-cle-p06-sn0600</v>
          </cell>
          <cell r="B229" t="str">
            <v>Acuvue</v>
          </cell>
        </row>
        <row r="230">
          <cell r="A230" t="str">
            <v>clstdai-acu-omax-p90-sn0350</v>
          </cell>
          <cell r="B230" t="str">
            <v>Acuvue</v>
          </cell>
        </row>
        <row r="231">
          <cell r="A231" t="str">
            <v>cost3mo-lay-lens-p02-platinum-gray-sn0125</v>
          </cell>
          <cell r="B231" t="str">
            <v>Layala</v>
          </cell>
        </row>
        <row r="232">
          <cell r="A232" t="str">
            <v>sacchan-30s-chain108-svr-inu-silver</v>
          </cell>
          <cell r="B232" t="str">
            <v>30Sunday</v>
          </cell>
        </row>
        <row r="233">
          <cell r="A233" t="str">
            <v>clstdai-acu-omax-p90-sn1200</v>
          </cell>
          <cell r="B233" t="str">
            <v>Acuvue</v>
          </cell>
        </row>
        <row r="234">
          <cell r="A234" t="str">
            <v>clstdai-acu-mois-p30-sp0500</v>
          </cell>
          <cell r="B234" t="str">
            <v>Acuvue</v>
          </cell>
        </row>
        <row r="235">
          <cell r="A235" t="str">
            <v>sacchan-30s-chain103-gpl-gold</v>
          </cell>
          <cell r="B235" t="str">
            <v>30Sunday</v>
          </cell>
        </row>
        <row r="236">
          <cell r="A236" t="str">
            <v>cost3mo-lay-2025-p02-desert-topaz-sn0225</v>
          </cell>
          <cell r="B236" t="str">
            <v>Layala</v>
          </cell>
        </row>
        <row r="237">
          <cell r="A237" t="str">
            <v>clstbiw-acu-oasy-p06-sp0325</v>
          </cell>
          <cell r="B237" t="str">
            <v>Acuvue</v>
          </cell>
        </row>
        <row r="238">
          <cell r="A238" t="str">
            <v>costmon-ama-2020-p02-pure-hazel-sn0450</v>
          </cell>
          <cell r="B238" t="str">
            <v>Amara</v>
          </cell>
        </row>
        <row r="239">
          <cell r="A239" t="str">
            <v>cost3mo-lay-lens-p02-forest-green-sn0150</v>
          </cell>
          <cell r="B239" t="str">
            <v>Layala</v>
          </cell>
        </row>
        <row r="240">
          <cell r="A240" t="str">
            <v>sw100107-30s-000271-0101-49</v>
          </cell>
          <cell r="B240" t="str">
            <v>30Sunday</v>
          </cell>
        </row>
        <row r="241">
          <cell r="A241" t="str">
            <v>costdai-acu-dffr-p30-honey-sn0325</v>
          </cell>
          <cell r="B241" t="str">
            <v>Acuvue</v>
          </cell>
        </row>
        <row r="242">
          <cell r="A242" t="str">
            <v>sw21306-30s-000132-1306-46</v>
          </cell>
          <cell r="B242" t="str">
            <v>30Sunday</v>
          </cell>
        </row>
        <row r="243">
          <cell r="A243" t="str">
            <v>clstdai-acu-omax-p90-sp0350</v>
          </cell>
          <cell r="B243" t="str">
            <v>Acuvue</v>
          </cell>
        </row>
        <row r="244">
          <cell r="A244" t="str">
            <v>clstbiw-acu-oasy-p06-sp0200</v>
          </cell>
          <cell r="B244" t="str">
            <v>Acuvue</v>
          </cell>
        </row>
        <row r="245">
          <cell r="A245" t="str">
            <v>clstdai-eve-elit-p90-sp0100</v>
          </cell>
          <cell r="B245" t="str">
            <v>Everva</v>
          </cell>
        </row>
        <row r="246">
          <cell r="A246" t="str">
            <v>cost3mo-lay-2022-p02-sage-gray-sn0075</v>
          </cell>
          <cell r="B246" t="str">
            <v>Layala</v>
          </cell>
        </row>
        <row r="247">
          <cell r="A247" t="str">
            <v>clstdai-acu-mois-p60-sn0250</v>
          </cell>
          <cell r="B247" t="str">
            <v>Acuvue</v>
          </cell>
        </row>
        <row r="248">
          <cell r="A248" t="str">
            <v>sc40606-bab-000515-0506d-46</v>
          </cell>
          <cell r="B248" t="str">
            <v>Babamio</v>
          </cell>
        </row>
        <row r="249">
          <cell r="A249" t="str">
            <v>clstdai-acu-oasy-p30-sn0525</v>
          </cell>
          <cell r="B249" t="str">
            <v>Acuvue</v>
          </cell>
        </row>
        <row r="250">
          <cell r="A250" t="str">
            <v>clstdai-acu-mois-p60-sn0800</v>
          </cell>
          <cell r="B250" t="str">
            <v>Acuvue</v>
          </cell>
        </row>
        <row r="251">
          <cell r="A251" t="str">
            <v>su50104-30s-000494-0104p-51</v>
          </cell>
          <cell r="B251" t="str">
            <v>30Sunday</v>
          </cell>
        </row>
        <row r="252">
          <cell r="A252" t="str">
            <v>clstdai-eve-elit-p90-sn0950</v>
          </cell>
          <cell r="B252" t="str">
            <v>Everva</v>
          </cell>
        </row>
        <row r="253">
          <cell r="A253" t="str">
            <v>clstdai-dai-tot1-p30-sn0300</v>
          </cell>
          <cell r="B253" t="str">
            <v>Dailies</v>
          </cell>
        </row>
        <row r="254">
          <cell r="A254" t="str">
            <v>cost3mo-lay-2023-p02-sable-brown-sn0325</v>
          </cell>
          <cell r="B254" t="str">
            <v>Layala</v>
          </cell>
        </row>
        <row r="255">
          <cell r="A255" t="str">
            <v>clstdai-acu-dfna-p30-sn0550</v>
          </cell>
          <cell r="B255" t="str">
            <v>Acuvue</v>
          </cell>
        </row>
        <row r="256">
          <cell r="A256" t="str">
            <v>costdai-acu-dffr-p30-grayzel-sn0075</v>
          </cell>
          <cell r="B256" t="str">
            <v>Acuvue</v>
          </cell>
        </row>
        <row r="257">
          <cell r="A257" t="str">
            <v>costdai-ama-dail-p10-moon-stone-sn0750</v>
          </cell>
          <cell r="B257" t="str">
            <v>Amara</v>
          </cell>
        </row>
        <row r="258">
          <cell r="A258" t="str">
            <v>cltodai-acu-mois-p30-sn0600-cn0075-a080</v>
          </cell>
          <cell r="B258" t="str">
            <v>Acuvue</v>
          </cell>
        </row>
        <row r="259">
          <cell r="A259" t="str">
            <v>su101007-30s-000501-1007-52</v>
          </cell>
          <cell r="B259" t="str">
            <v>30Sunday</v>
          </cell>
        </row>
        <row r="260">
          <cell r="A260" t="str">
            <v>clstbiw-acu-oasy-p06-sn0450</v>
          </cell>
          <cell r="B260" t="str">
            <v>Acuvue</v>
          </cell>
        </row>
        <row r="261">
          <cell r="A261" t="str">
            <v>clstdai-acu-oasy-p90-sp0350</v>
          </cell>
          <cell r="B261" t="str">
            <v>Acuvue</v>
          </cell>
        </row>
        <row r="262">
          <cell r="A262" t="str">
            <v>clstbiw-acu-0002-p06-sn0075</v>
          </cell>
          <cell r="B262" t="str">
            <v>Acuvue</v>
          </cell>
        </row>
        <row r="263">
          <cell r="A263" t="str">
            <v>cost3mo-lay-lens-p02-platinum-gray-sn0175</v>
          </cell>
          <cell r="B263" t="str">
            <v>Layala</v>
          </cell>
        </row>
        <row r="264">
          <cell r="A264" t="str">
            <v>clstdai-acu-dfvi-p60-sn0150</v>
          </cell>
          <cell r="B264" t="str">
            <v>Acuvue</v>
          </cell>
        </row>
        <row r="265">
          <cell r="A265" t="str">
            <v>clstdai-acu-dfna-p90-sn0600</v>
          </cell>
          <cell r="B265" t="str">
            <v>Acuvue</v>
          </cell>
        </row>
        <row r="266">
          <cell r="A266" t="str">
            <v>clstdai-acu-mois-p30-sn0050</v>
          </cell>
          <cell r="B266" t="str">
            <v>Acuvue</v>
          </cell>
        </row>
        <row r="267">
          <cell r="A267" t="str">
            <v>clstdai-acu-mois-p60-sn0100</v>
          </cell>
          <cell r="B267" t="str">
            <v>Acuvue</v>
          </cell>
        </row>
        <row r="268">
          <cell r="A268" t="str">
            <v>su21707-rov-1003-13-14-51</v>
          </cell>
          <cell r="B268" t="str">
            <v>Roav</v>
          </cell>
        </row>
        <row r="269">
          <cell r="A269" t="str">
            <v>cost3mo-lay-2024-p02-moon-gray-sn0250</v>
          </cell>
          <cell r="B269" t="str">
            <v>Layala</v>
          </cell>
        </row>
        <row r="270">
          <cell r="A270" t="str">
            <v>fw22318-spc-000529-2600-51</v>
          </cell>
          <cell r="B270" t="str">
            <v>Spectus</v>
          </cell>
        </row>
        <row r="271">
          <cell r="A271" t="str">
            <v>clstdai-lay-cont-p60-dazzle-brown-sn1000</v>
          </cell>
          <cell r="B271" t="str">
            <v>Layala</v>
          </cell>
        </row>
        <row r="272">
          <cell r="A272" t="str">
            <v>cost3mo-lay-2020-p02-ash-gray-sn0550</v>
          </cell>
          <cell r="B272" t="str">
            <v>Layala</v>
          </cell>
        </row>
        <row r="273">
          <cell r="A273" t="str">
            <v>clstdai-lay-cont-p30-dazzle-black-sn0600</v>
          </cell>
          <cell r="B273" t="str">
            <v>Layala</v>
          </cell>
        </row>
        <row r="274">
          <cell r="A274" t="str">
            <v>clstdai-dai-aqua-p30-sn0475</v>
          </cell>
          <cell r="B274" t="str">
            <v>Dailies</v>
          </cell>
        </row>
        <row r="275">
          <cell r="A275" t="str">
            <v>clstdai-dai-aqua-p90-sp0450</v>
          </cell>
          <cell r="B275" t="str">
            <v>Dailies</v>
          </cell>
        </row>
        <row r="276">
          <cell r="A276" t="str">
            <v>clstdai-acu-oasy-p30-sp0325</v>
          </cell>
          <cell r="B276" t="str">
            <v>Acuvue</v>
          </cell>
        </row>
        <row r="277">
          <cell r="A277" t="str">
            <v>clstdai-acu-dfna-p60-sn0100</v>
          </cell>
          <cell r="B277" t="str">
            <v>Acuvue</v>
          </cell>
        </row>
        <row r="278">
          <cell r="A278" t="str">
            <v>clstdai-acu-omax-p90-sp0150</v>
          </cell>
          <cell r="B278" t="str">
            <v>Acuvue</v>
          </cell>
        </row>
        <row r="279">
          <cell r="A279" t="str">
            <v>su71206-bla-000103-1206-53</v>
          </cell>
          <cell r="B279" t="str">
            <v>BlackOut</v>
          </cell>
        </row>
        <row r="280">
          <cell r="A280" t="str">
            <v>costdai-acu-dffr-p30-honey-sn0900</v>
          </cell>
          <cell r="B280" t="str">
            <v>Acuvue</v>
          </cell>
        </row>
        <row r="281">
          <cell r="A281" t="str">
            <v>costmon-ama-2024-p02-nmr-sn0400</v>
          </cell>
          <cell r="B281" t="str">
            <v>Amara</v>
          </cell>
        </row>
        <row r="282">
          <cell r="A282" t="str">
            <v>cost3mo-lay-2022-p02-sweet-hazel-sn0075</v>
          </cell>
          <cell r="B282" t="str">
            <v>Layala</v>
          </cell>
        </row>
        <row r="283">
          <cell r="A283" t="str">
            <v>saccase-30s-red-beige</v>
          </cell>
          <cell r="B283" t="str">
            <v>30Sunday</v>
          </cell>
        </row>
        <row r="284">
          <cell r="A284" t="str">
            <v>sw30702-bla-000104-0702-59</v>
          </cell>
          <cell r="B284" t="str">
            <v>BlackOut</v>
          </cell>
        </row>
        <row r="285">
          <cell r="A285" t="str">
            <v>cost3mo-lay-2020-p02-hazel-brown-sn0150</v>
          </cell>
          <cell r="B285" t="str">
            <v>Layala</v>
          </cell>
        </row>
        <row r="286">
          <cell r="A286" t="str">
            <v>clstdai-acu-dfvi-p90-sn0125</v>
          </cell>
          <cell r="B286" t="str">
            <v>Acuvue</v>
          </cell>
        </row>
        <row r="287">
          <cell r="A287" t="str">
            <v>clstdai-acu-omax-p30-sn0375</v>
          </cell>
          <cell r="B287" t="str">
            <v>Acuvue</v>
          </cell>
        </row>
        <row r="288">
          <cell r="A288" t="str">
            <v>clstbiw-acu-0002-p06-sp0500</v>
          </cell>
          <cell r="B288" t="str">
            <v>Acuvue</v>
          </cell>
        </row>
        <row r="289">
          <cell r="A289" t="str">
            <v>sw30404-30s-000117-0404-57</v>
          </cell>
          <cell r="B289" t="str">
            <v>30Sunday</v>
          </cell>
        </row>
        <row r="290">
          <cell r="A290" t="str">
            <v>costmon-ama-2024-p02-barbie-brown-sn0100</v>
          </cell>
          <cell r="B290" t="str">
            <v>Amara</v>
          </cell>
        </row>
        <row r="291">
          <cell r="A291" t="str">
            <v>cost3mo-lay-lens-p02-chestnut-brown-sn0150</v>
          </cell>
          <cell r="B291" t="str">
            <v>Layala</v>
          </cell>
        </row>
        <row r="292">
          <cell r="A292" t="str">
            <v>clstdai-sof-sdai-p90-sn0450</v>
          </cell>
          <cell r="B292" t="str">
            <v>Soflens</v>
          </cell>
        </row>
        <row r="293">
          <cell r="A293" t="str">
            <v>sw50202-30s-000115-0202-61</v>
          </cell>
          <cell r="B293" t="str">
            <v>30Sunday</v>
          </cell>
        </row>
        <row r="294">
          <cell r="A294" t="str">
            <v>clstbiw-acu-0002-p06-sp0275</v>
          </cell>
          <cell r="B294" t="str">
            <v>Acuvue</v>
          </cell>
        </row>
        <row r="295">
          <cell r="A295" t="str">
            <v>sc70907-bab-000513-0907-46</v>
          </cell>
          <cell r="B295" t="str">
            <v>Babamio</v>
          </cell>
        </row>
        <row r="296">
          <cell r="A296" t="str">
            <v>cltobiw-acu-oasy-p06-sn0650-cn0075-a030</v>
          </cell>
          <cell r="B296" t="str">
            <v>Acuvue</v>
          </cell>
        </row>
        <row r="297">
          <cell r="A297" t="str">
            <v>clstdai-acu-oasy-p30-sp0650</v>
          </cell>
          <cell r="B297" t="str">
            <v>Acuvue</v>
          </cell>
        </row>
        <row r="298">
          <cell r="A298" t="str">
            <v>clstmon-sof-sl59-p06-sn0325</v>
          </cell>
          <cell r="B298" t="str">
            <v>Soflens</v>
          </cell>
        </row>
        <row r="299">
          <cell r="A299" t="str">
            <v>clstdai-acu-mois-p120-sn1200</v>
          </cell>
          <cell r="B299" t="str">
            <v>Acuvue</v>
          </cell>
        </row>
        <row r="300">
          <cell r="A300" t="str">
            <v>sm11304-30s-000222-1304-54</v>
          </cell>
          <cell r="B300" t="str">
            <v>30Sunday</v>
          </cell>
        </row>
        <row r="301">
          <cell r="A301" t="str">
            <v>clstdai-sof-sdai-p30-sn0575</v>
          </cell>
          <cell r="B301" t="str">
            <v>Soflens</v>
          </cell>
        </row>
        <row r="302">
          <cell r="A302" t="str">
            <v>clstdai-dai-aqua-p90-sp0050</v>
          </cell>
          <cell r="B302" t="str">
            <v>Dailies</v>
          </cell>
        </row>
        <row r="303">
          <cell r="A303" t="str">
            <v>clstmon-ava-avai-p06-sp0275</v>
          </cell>
          <cell r="B303" t="str">
            <v>Avaira</v>
          </cell>
        </row>
        <row r="304">
          <cell r="A304" t="str">
            <v>su101204-bla-000383-1204-53</v>
          </cell>
          <cell r="B304" t="str">
            <v>BlackOut</v>
          </cell>
        </row>
        <row r="305">
          <cell r="A305" t="str">
            <v>cost3mo-lay-lens-p02-golden-brown-sn0150</v>
          </cell>
          <cell r="B305" t="str">
            <v>Layala</v>
          </cell>
        </row>
        <row r="306">
          <cell r="A306" t="str">
            <v>clstbiw-acu-oasy-p06-sn0200</v>
          </cell>
          <cell r="B306" t="str">
            <v>Acuvue</v>
          </cell>
        </row>
        <row r="307">
          <cell r="A307" t="str">
            <v>costmon-ama-2024-p02-barbie-brown-sn0400</v>
          </cell>
          <cell r="B307" t="str">
            <v>Amara</v>
          </cell>
        </row>
        <row r="308">
          <cell r="A308" t="str">
            <v>sw41504-bla-000341-1504-55</v>
          </cell>
          <cell r="B308" t="str">
            <v>BlackOut</v>
          </cell>
        </row>
        <row r="309">
          <cell r="A309" t="str">
            <v>clstbiw-acu-oasy-p06-sn0100</v>
          </cell>
          <cell r="B309" t="str">
            <v>Acuvue</v>
          </cell>
        </row>
        <row r="310">
          <cell r="A310" t="str">
            <v>costmon-ama-lens-p02-mocca-sn0350</v>
          </cell>
          <cell r="B310" t="str">
            <v>Amara</v>
          </cell>
        </row>
        <row r="311">
          <cell r="A311" t="str">
            <v>costdai-acu-dffr-p30-grayzel-sn0250</v>
          </cell>
          <cell r="B311" t="str">
            <v>Acuvue</v>
          </cell>
        </row>
        <row r="312">
          <cell r="A312" t="str">
            <v>clstdai-lay-cont-p30-dazzle-black-sn0225</v>
          </cell>
          <cell r="B312" t="str">
            <v>Layala</v>
          </cell>
        </row>
        <row r="313">
          <cell r="A313" t="str">
            <v>clstdai-lay-cont-p10-dazzle-black-sn0600</v>
          </cell>
          <cell r="B313" t="str">
            <v>Layala</v>
          </cell>
        </row>
        <row r="314">
          <cell r="A314" t="str">
            <v>costmon-ama-2024-p02-barbie-brown-sn0350</v>
          </cell>
          <cell r="B314" t="str">
            <v>Amara</v>
          </cell>
        </row>
        <row r="315">
          <cell r="A315" t="str">
            <v>clstdai-acu-dfrb-p30-sn0525</v>
          </cell>
          <cell r="B315" t="str">
            <v>Acuvue</v>
          </cell>
        </row>
        <row r="316">
          <cell r="A316" t="str">
            <v>clstdai-acu-omax-p30-sn1150</v>
          </cell>
          <cell r="B316" t="str">
            <v>Acuvue</v>
          </cell>
        </row>
        <row r="317">
          <cell r="A317" t="str">
            <v>costdai-acu-dffr-p10-hazel-sn0250</v>
          </cell>
          <cell r="B317" t="str">
            <v>Acuvue</v>
          </cell>
        </row>
        <row r="318">
          <cell r="A318" t="str">
            <v>su11304-30s-000203-1304-58</v>
          </cell>
          <cell r="B318" t="str">
            <v>30Sunday</v>
          </cell>
        </row>
        <row r="319">
          <cell r="A319" t="str">
            <v>sw30102-30s-000243-0102-57</v>
          </cell>
          <cell r="B319" t="str">
            <v>30Sunday</v>
          </cell>
        </row>
        <row r="320">
          <cell r="A320" t="str">
            <v>clstdai-eve-pure-p90-sn0750</v>
          </cell>
          <cell r="B320" t="str">
            <v>Everva</v>
          </cell>
        </row>
        <row r="321">
          <cell r="A321" t="str">
            <v>sm60106-30s-000235-0106-46</v>
          </cell>
          <cell r="B321" t="str">
            <v>30Sunday</v>
          </cell>
        </row>
        <row r="322">
          <cell r="A322" t="str">
            <v>sm40701-30s-000297-0701-54</v>
          </cell>
          <cell r="B322" t="str">
            <v>30Sunday</v>
          </cell>
        </row>
        <row r="323">
          <cell r="A323" t="str">
            <v>clstdai-dai-aqua-p30-sn0225</v>
          </cell>
          <cell r="B323" t="str">
            <v>Dailies</v>
          </cell>
        </row>
        <row r="324">
          <cell r="A324" t="str">
            <v>clstdai-dai-aqua-p90-sn0475</v>
          </cell>
          <cell r="B324" t="str">
            <v>Dailies</v>
          </cell>
        </row>
        <row r="325">
          <cell r="A325" t="str">
            <v>clstdai-acu-dfna-p90-sn0150</v>
          </cell>
          <cell r="B325" t="str">
            <v>Acuvue</v>
          </cell>
        </row>
        <row r="326">
          <cell r="A326" t="str">
            <v>costmon-ama-2020-p02-charcoal-gray-sn0275</v>
          </cell>
          <cell r="B326" t="str">
            <v>Amara</v>
          </cell>
        </row>
        <row r="327">
          <cell r="A327" t="str">
            <v>clstdai-dai-tot1-p30-sp0125</v>
          </cell>
          <cell r="B327" t="str">
            <v>Dailies</v>
          </cell>
        </row>
        <row r="328">
          <cell r="A328" t="str">
            <v>sw10506-30s-000288-2906-49</v>
          </cell>
          <cell r="B328" t="str">
            <v>30Sunday</v>
          </cell>
        </row>
        <row r="329">
          <cell r="A329" t="str">
            <v>clstdai-acu-mois-p120-sn0050</v>
          </cell>
          <cell r="B329" t="str">
            <v>Acuvue</v>
          </cell>
        </row>
        <row r="330">
          <cell r="A330" t="str">
            <v>clstdai-eve-elit-p90-sn0700</v>
          </cell>
          <cell r="B330" t="str">
            <v>Everva</v>
          </cell>
        </row>
        <row r="331">
          <cell r="A331" t="str">
            <v>clstdai-acu-omax-p30-sp0350</v>
          </cell>
          <cell r="B331" t="str">
            <v>Acuvue</v>
          </cell>
        </row>
        <row r="332">
          <cell r="A332" t="str">
            <v>cost3mo-lay-2023-p02-selene-green-sn0325</v>
          </cell>
          <cell r="B332" t="str">
            <v>Layala</v>
          </cell>
        </row>
        <row r="333">
          <cell r="A333" t="str">
            <v>clstdai-eve-elit-p30-sn0950</v>
          </cell>
          <cell r="B333" t="str">
            <v>Everva</v>
          </cell>
        </row>
        <row r="334">
          <cell r="A334" t="str">
            <v>su60707-bla-000319-0707-54</v>
          </cell>
          <cell r="B334" t="str">
            <v>BlackOut</v>
          </cell>
        </row>
        <row r="335">
          <cell r="A335" t="str">
            <v>cost3mo-lay-2022-p02-crescent-gray-sn0450</v>
          </cell>
          <cell r="B335" t="str">
            <v>Layala</v>
          </cell>
        </row>
        <row r="336">
          <cell r="A336" t="str">
            <v>su50702-bla-000249-0702-51</v>
          </cell>
          <cell r="B336" t="str">
            <v>BlackOut</v>
          </cell>
        </row>
        <row r="337">
          <cell r="A337" t="str">
            <v>clstdai-eve-pure-p90-sp0175</v>
          </cell>
          <cell r="B337" t="str">
            <v>Everva</v>
          </cell>
        </row>
        <row r="338">
          <cell r="A338" t="str">
            <v>clstdai-acu-dfrb-p60-sn0275</v>
          </cell>
          <cell r="B338" t="str">
            <v>Acuvue</v>
          </cell>
        </row>
        <row r="339">
          <cell r="A339" t="str">
            <v>cost3mo-lay-lens-p02-crystal-brown-sn0450</v>
          </cell>
          <cell r="B339" t="str">
            <v>Layala</v>
          </cell>
        </row>
        <row r="340">
          <cell r="A340" t="str">
            <v>sw100107-30s-000414-0107-47</v>
          </cell>
          <cell r="B340" t="str">
            <v>30Sunday</v>
          </cell>
        </row>
        <row r="341">
          <cell r="A341" t="str">
            <v>costmon-ama-lens-p02-mocca-sn0425</v>
          </cell>
          <cell r="B341" t="str">
            <v>Amara</v>
          </cell>
        </row>
        <row r="342">
          <cell r="A342" t="str">
            <v>clstbiw-acu-cle-p06-sn0850</v>
          </cell>
          <cell r="B342" t="str">
            <v>Acuvue</v>
          </cell>
        </row>
        <row r="343">
          <cell r="A343" t="str">
            <v>clstbiw-acu-0002-p06-sn0325</v>
          </cell>
          <cell r="B343" t="str">
            <v>Acuvue</v>
          </cell>
        </row>
        <row r="344">
          <cell r="A344" t="str">
            <v>cost3mo-lay-lens-p02-ocean-blue-sn0550</v>
          </cell>
          <cell r="B344" t="str">
            <v>Layala</v>
          </cell>
        </row>
        <row r="345">
          <cell r="A345" t="str">
            <v>su51306-30s-000231-1306-62</v>
          </cell>
          <cell r="B345" t="str">
            <v>30Sunday</v>
          </cell>
        </row>
        <row r="346">
          <cell r="A346" t="str">
            <v>cost3mo-cel-natu-p01-real-shade-sp0150</v>
          </cell>
          <cell r="B346" t="str">
            <v>Celena</v>
          </cell>
        </row>
        <row r="347">
          <cell r="A347" t="str">
            <v>cost3mo-lay-lens-p02-cloudy-gray-sn0350</v>
          </cell>
          <cell r="B347" t="str">
            <v>Layala</v>
          </cell>
        </row>
        <row r="348">
          <cell r="A348" t="str">
            <v>cost3mo-cel-natu-p01-light-grey-sp0150</v>
          </cell>
          <cell r="B348" t="str">
            <v>Celena</v>
          </cell>
        </row>
        <row r="349">
          <cell r="A349" t="str">
            <v>cost3mo-lay-2022-p02-royal-green-sn0400</v>
          </cell>
          <cell r="B349" t="str">
            <v>Layala</v>
          </cell>
        </row>
        <row r="350">
          <cell r="A350" t="str">
            <v>cost3mo-lay-lens-p02-chestnut-brown-sn0250</v>
          </cell>
          <cell r="B350" t="str">
            <v>Layala</v>
          </cell>
        </row>
        <row r="351">
          <cell r="A351" t="str">
            <v>sm20101-30s-000249-0101-53</v>
          </cell>
          <cell r="B351" t="str">
            <v>30Sunday</v>
          </cell>
        </row>
        <row r="352">
          <cell r="A352" t="str">
            <v>clstdai-eve-pure-p90-sn0575</v>
          </cell>
          <cell r="B352" t="str">
            <v>Everva</v>
          </cell>
        </row>
        <row r="353">
          <cell r="A353" t="str">
            <v>clstdai-lay-cont-p90-dazzle-brown-sn0325</v>
          </cell>
          <cell r="B353" t="str">
            <v>Layala</v>
          </cell>
        </row>
        <row r="354">
          <cell r="A354" t="str">
            <v>clstdai-eve-pure-p30-sn0550</v>
          </cell>
          <cell r="B354" t="str">
            <v>Everva</v>
          </cell>
        </row>
        <row r="355">
          <cell r="A355" t="str">
            <v>cost3mo-lay-lens-p02-chestnut-brown-sn0375</v>
          </cell>
          <cell r="B355" t="str">
            <v>Layala</v>
          </cell>
        </row>
        <row r="356">
          <cell r="A356" t="str">
            <v>sw50507-30s-000242-2901-58</v>
          </cell>
          <cell r="B356" t="str">
            <v>30Sunday</v>
          </cell>
        </row>
        <row r="357">
          <cell r="A357" t="str">
            <v>cost3mo-lay-2023-p02-selene-green-sn0075</v>
          </cell>
          <cell r="B357" t="str">
            <v>Layala</v>
          </cell>
        </row>
        <row r="358">
          <cell r="A358" t="str">
            <v>fu72318-spc-000814-2318-52</v>
          </cell>
          <cell r="B358" t="str">
            <v>Spectus</v>
          </cell>
        </row>
        <row r="359">
          <cell r="A359" t="str">
            <v>cost3mo-lay-2024-p02-terra-brown-sn0200</v>
          </cell>
          <cell r="B359" t="str">
            <v>Layala</v>
          </cell>
        </row>
        <row r="360">
          <cell r="A360" t="str">
            <v>su100107-bla-000322-0107-48</v>
          </cell>
          <cell r="B360" t="str">
            <v>BlackOut</v>
          </cell>
        </row>
        <row r="361">
          <cell r="A361" t="str">
            <v>cost3mo-lay-2022-p02-sweet-hazel-sn0125</v>
          </cell>
          <cell r="B361" t="str">
            <v>Layala</v>
          </cell>
        </row>
        <row r="362">
          <cell r="A362" t="str">
            <v>sw30107-30s-000491-0107p-53</v>
          </cell>
          <cell r="B362" t="str">
            <v>30Sunday</v>
          </cell>
        </row>
        <row r="363">
          <cell r="A363" t="str">
            <v>sw70507-bla-000251-0507-62</v>
          </cell>
          <cell r="B363" t="str">
            <v>BlackOut</v>
          </cell>
        </row>
        <row r="364">
          <cell r="A364" t="str">
            <v>cost3mo-lay-2021-p02-willow-green-sn0350</v>
          </cell>
          <cell r="B364" t="str">
            <v>Layala</v>
          </cell>
        </row>
        <row r="365">
          <cell r="A365" t="str">
            <v>sm21202-30s-000207-1202-52</v>
          </cell>
          <cell r="B365" t="str">
            <v>30Sunday</v>
          </cell>
        </row>
        <row r="366">
          <cell r="A366" t="str">
            <v>clstdai-eve-elit-p30-sn0100</v>
          </cell>
          <cell r="B366" t="str">
            <v>Everva</v>
          </cell>
        </row>
        <row r="367">
          <cell r="A367" t="str">
            <v>clstdai-eve-elit-p90-sp0500</v>
          </cell>
          <cell r="B367" t="str">
            <v>Everva</v>
          </cell>
        </row>
        <row r="368">
          <cell r="A368" t="str">
            <v>cost3mo-lay-2021-p02-golden-gray-sp0000</v>
          </cell>
          <cell r="B368" t="str">
            <v>Layala</v>
          </cell>
        </row>
        <row r="369">
          <cell r="A369" t="str">
            <v>clstdai-acu-mois-p60-sn0125</v>
          </cell>
          <cell r="B369" t="str">
            <v>Acuvue</v>
          </cell>
        </row>
        <row r="370">
          <cell r="A370" t="str">
            <v>fc40618-bab-000249-0600-45</v>
          </cell>
          <cell r="B370" t="str">
            <v>Babamio</v>
          </cell>
        </row>
        <row r="371">
          <cell r="A371" t="str">
            <v>sw30808-bla-000256-0808-51</v>
          </cell>
          <cell r="B371" t="str">
            <v>BlackOut</v>
          </cell>
        </row>
        <row r="372">
          <cell r="A372" t="str">
            <v>sw32904-30s-000263-2904-56</v>
          </cell>
          <cell r="B372" t="str">
            <v>30Sunday</v>
          </cell>
        </row>
        <row r="373">
          <cell r="A373" t="str">
            <v>sacchan-30s-emmy-yellow-gold</v>
          </cell>
          <cell r="B373" t="str">
            <v>30Sunday</v>
          </cell>
        </row>
        <row r="374">
          <cell r="A374" t="str">
            <v>fw72918-spc-000514-2900-53</v>
          </cell>
          <cell r="B374" t="str">
            <v>Spectus</v>
          </cell>
        </row>
        <row r="375">
          <cell r="A375" t="str">
            <v>cost3mo-lay-2023-p02-selene-green-sn0100</v>
          </cell>
          <cell r="B375" t="str">
            <v>Layala</v>
          </cell>
        </row>
        <row r="376">
          <cell r="A376" t="str">
            <v>cost3mo-lay-2025-p02-emerald-glow-sn0375</v>
          </cell>
          <cell r="B376" t="str">
            <v>Layala</v>
          </cell>
        </row>
        <row r="377">
          <cell r="A377" t="str">
            <v>clstdai-dai-aqua-p30-sn1400</v>
          </cell>
          <cell r="B377" t="str">
            <v>Dailies</v>
          </cell>
        </row>
        <row r="378">
          <cell r="A378" t="str">
            <v>clstdai-eve-pure-p30-sn0450</v>
          </cell>
          <cell r="B378" t="str">
            <v>Everva</v>
          </cell>
        </row>
        <row r="379">
          <cell r="A379" t="str">
            <v>sm100706-30s-000304-0706-54</v>
          </cell>
          <cell r="B379" t="str">
            <v>30Sunday</v>
          </cell>
        </row>
        <row r="380">
          <cell r="A380" t="str">
            <v>costmon-ama-lens-p02-mocca-sn0375</v>
          </cell>
          <cell r="B380" t="str">
            <v>Amara</v>
          </cell>
        </row>
        <row r="381">
          <cell r="A381" t="str">
            <v>cost3mo-lay-lens-p02-chocolate-brown-sn0225</v>
          </cell>
          <cell r="B381" t="str">
            <v>Layala</v>
          </cell>
        </row>
        <row r="382">
          <cell r="A382" t="str">
            <v>clstdai-acu-mois-p90-sn0100</v>
          </cell>
          <cell r="B382" t="str">
            <v>Acuvue</v>
          </cell>
        </row>
        <row r="383">
          <cell r="A383" t="str">
            <v>fw52318-spc-000522-2300-52</v>
          </cell>
          <cell r="B383" t="str">
            <v>Spectus</v>
          </cell>
        </row>
        <row r="384">
          <cell r="A384" t="str">
            <v>su50707-30s-00237-0707p-51</v>
          </cell>
          <cell r="B384" t="str">
            <v>30Sunday</v>
          </cell>
        </row>
        <row r="385">
          <cell r="A385" t="str">
            <v>cost3mo-lay-2022-p02-royal-green-sn0300</v>
          </cell>
          <cell r="B385" t="str">
            <v>Layala</v>
          </cell>
        </row>
        <row r="386">
          <cell r="A386" t="str">
            <v>clstdai-dai-aqua-p90-sn0850</v>
          </cell>
          <cell r="B386" t="str">
            <v>Dailies</v>
          </cell>
        </row>
        <row r="387">
          <cell r="A387" t="str">
            <v>fm52418-spc-000557-2400-49</v>
          </cell>
          <cell r="B387" t="str">
            <v>Spectus</v>
          </cell>
        </row>
        <row r="388">
          <cell r="A388" t="str">
            <v>su10101-bla-000270-0101-55</v>
          </cell>
          <cell r="B388" t="str">
            <v>BlackOut</v>
          </cell>
        </row>
        <row r="389">
          <cell r="A389" t="str">
            <v>sm50106-30s-000251-2906-51</v>
          </cell>
          <cell r="B389" t="str">
            <v>30Sunday</v>
          </cell>
        </row>
        <row r="390">
          <cell r="A390" t="str">
            <v>cost3mo-lay-2020-p02-hazel-brown-sn0175</v>
          </cell>
          <cell r="B390" t="str">
            <v>Layala</v>
          </cell>
        </row>
        <row r="391">
          <cell r="A391" t="str">
            <v>clstdai-dai-tot1-p90-sn0300</v>
          </cell>
          <cell r="B391" t="str">
            <v>Dailies</v>
          </cell>
        </row>
        <row r="392">
          <cell r="A392" t="str">
            <v>clstdai-acu-dfna-p60-sn0400</v>
          </cell>
          <cell r="B392" t="str">
            <v>Acuvue</v>
          </cell>
        </row>
        <row r="393">
          <cell r="A393" t="str">
            <v>clstdai-acu-dfvi-p30-sn0475</v>
          </cell>
          <cell r="B393" t="str">
            <v>Acuvue</v>
          </cell>
        </row>
        <row r="394">
          <cell r="A394" t="str">
            <v>costdai-acu-dffr-p30-hazel-sn0650</v>
          </cell>
          <cell r="B394" t="str">
            <v>Acuvue</v>
          </cell>
        </row>
        <row r="395">
          <cell r="A395" t="str">
            <v>clstdai-lay-cont-p60-dazzle-black-sn0325</v>
          </cell>
          <cell r="B395" t="str">
            <v>Layala</v>
          </cell>
        </row>
        <row r="396">
          <cell r="A396" t="str">
            <v>clstbiw-acu-oasy-p06-sp0050</v>
          </cell>
          <cell r="B396" t="str">
            <v>Acuvue</v>
          </cell>
        </row>
        <row r="397">
          <cell r="A397" t="str">
            <v>costmon-ama-2020-p02-pure-hazel-sn0075</v>
          </cell>
          <cell r="B397" t="str">
            <v>Amara</v>
          </cell>
        </row>
        <row r="398">
          <cell r="A398" t="str">
            <v>cost3mo-cel-natu-p01-desert-grey-sp0400</v>
          </cell>
          <cell r="B398" t="str">
            <v>Celena</v>
          </cell>
        </row>
        <row r="399">
          <cell r="A399" t="str">
            <v>clstbiw-acu-oasy-p18-sn0550</v>
          </cell>
          <cell r="B399" t="str">
            <v>Acuvue</v>
          </cell>
        </row>
        <row r="400">
          <cell r="A400" t="str">
            <v>clstdai-sof-sdai-p30-sn0375</v>
          </cell>
          <cell r="B400" t="str">
            <v>Soflens</v>
          </cell>
        </row>
        <row r="401">
          <cell r="A401" t="str">
            <v>clstmon-sof-sl59-p06-sn0150</v>
          </cell>
          <cell r="B401" t="str">
            <v>Soflens</v>
          </cell>
        </row>
        <row r="402">
          <cell r="A402" t="str">
            <v>sw30710-30s-000270-1010-53</v>
          </cell>
          <cell r="B402" t="str">
            <v>30Sunday</v>
          </cell>
        </row>
        <row r="403">
          <cell r="A403" t="str">
            <v>clstdai-acu-omax-p90-sp0300</v>
          </cell>
          <cell r="B403" t="str">
            <v>Acuvue</v>
          </cell>
        </row>
        <row r="404">
          <cell r="A404" t="str">
            <v>clstdai-acu-omax-p30-sn1050</v>
          </cell>
          <cell r="B404" t="str">
            <v>Acuvue</v>
          </cell>
        </row>
        <row r="405">
          <cell r="A405" t="str">
            <v>costdai-ama-dail-p10-honey-sn0325</v>
          </cell>
          <cell r="B405" t="str">
            <v>Amara</v>
          </cell>
        </row>
        <row r="406">
          <cell r="A406" t="str">
            <v>clstmon-ava-avai-p06-sp0325</v>
          </cell>
          <cell r="B406" t="str">
            <v>Avaira</v>
          </cell>
        </row>
        <row r="407">
          <cell r="A407" t="str">
            <v>sacchan-30s-chain135-blk-bluebell-black</v>
          </cell>
          <cell r="B407" t="str">
            <v>30Sunday</v>
          </cell>
        </row>
        <row r="408">
          <cell r="A408" t="str">
            <v>cost3mo-lay-lens-p02-ocean-blue-sn0150</v>
          </cell>
          <cell r="B408" t="str">
            <v>Layala</v>
          </cell>
        </row>
        <row r="409">
          <cell r="A409" t="str">
            <v>sw30506-bla-000215-2706-61</v>
          </cell>
          <cell r="B409" t="str">
            <v>BlackOut</v>
          </cell>
        </row>
        <row r="410">
          <cell r="A410" t="str">
            <v>su20404-30s-000232-0404-63</v>
          </cell>
          <cell r="B410" t="str">
            <v>30Sunday</v>
          </cell>
        </row>
        <row r="411">
          <cell r="A411" t="str">
            <v>fw40918-spc-000698-0918-51</v>
          </cell>
          <cell r="B411" t="str">
            <v>Spectus</v>
          </cell>
        </row>
        <row r="412">
          <cell r="A412" t="str">
            <v>cost3mo-lay-2022-p02-sage-gray-sn0275</v>
          </cell>
          <cell r="B412" t="str">
            <v>Layala</v>
          </cell>
        </row>
        <row r="413">
          <cell r="A413" t="str">
            <v>clstdai-acu-mois-p120-sn0375</v>
          </cell>
          <cell r="B413" t="str">
            <v>Acuvue</v>
          </cell>
        </row>
        <row r="414">
          <cell r="A414" t="str">
            <v>clstdai-eve-elit-p90-sp0250</v>
          </cell>
          <cell r="B414" t="str">
            <v>Everva</v>
          </cell>
        </row>
        <row r="415">
          <cell r="A415" t="str">
            <v>cost3mo-lay-2023-p02-selene-green-sn0350</v>
          </cell>
          <cell r="B415" t="str">
            <v>Layala</v>
          </cell>
        </row>
        <row r="416">
          <cell r="A416" t="str">
            <v>clstdai-eve-pure-p90-sn0100</v>
          </cell>
          <cell r="B416" t="str">
            <v>Everva</v>
          </cell>
        </row>
        <row r="417">
          <cell r="A417" t="str">
            <v>clstdai-acu-mois-p90-sn0650</v>
          </cell>
          <cell r="B417" t="str">
            <v>Acuvue</v>
          </cell>
        </row>
        <row r="418">
          <cell r="A418" t="str">
            <v>cost3mo-lay-lens-p02-cloudy-gray-sn0375</v>
          </cell>
          <cell r="B418" t="str">
            <v>Layala</v>
          </cell>
        </row>
        <row r="419">
          <cell r="A419" t="str">
            <v>clstdai-dai-tot1-p90-sn0350</v>
          </cell>
          <cell r="B419" t="str">
            <v>Dailies</v>
          </cell>
        </row>
        <row r="420">
          <cell r="A420" t="str">
            <v>cost3mo-lay-2022-p02-sage-gray-sn0100</v>
          </cell>
          <cell r="B420" t="str">
            <v>Layala</v>
          </cell>
        </row>
        <row r="421">
          <cell r="A421" t="str">
            <v>clstdai-acu-dfvi-p90-sn0750</v>
          </cell>
          <cell r="B421" t="str">
            <v>Acuvue</v>
          </cell>
        </row>
        <row r="422">
          <cell r="A422" t="str">
            <v>clstdai-acu-oasy-p30-sn1000</v>
          </cell>
          <cell r="B422" t="str">
            <v>Acuvue</v>
          </cell>
        </row>
        <row r="423">
          <cell r="A423" t="str">
            <v>cost3mo-lay-2021-p02-sunkiss-brown-sn0175</v>
          </cell>
          <cell r="B423" t="str">
            <v>Layala</v>
          </cell>
        </row>
        <row r="424">
          <cell r="A424" t="str">
            <v>clstdai-acu-dfvi-p30-sn0900</v>
          </cell>
          <cell r="B424" t="str">
            <v>Acuvue</v>
          </cell>
        </row>
        <row r="425">
          <cell r="A425" t="str">
            <v>cost3mo-lay-lens-p02-ocean-blue-sn0600</v>
          </cell>
          <cell r="B425" t="str">
            <v>Layala</v>
          </cell>
        </row>
        <row r="426">
          <cell r="A426" t="str">
            <v>sw50101-bla-000262-0101-56</v>
          </cell>
          <cell r="B426" t="str">
            <v>BlackOut</v>
          </cell>
        </row>
        <row r="427">
          <cell r="A427" t="str">
            <v>costmon-ama-lens-p02-dark-sepia-sn0550</v>
          </cell>
          <cell r="B427" t="str">
            <v>Amara</v>
          </cell>
        </row>
        <row r="428">
          <cell r="A428" t="str">
            <v>fw22418-spc-000545-2400-51</v>
          </cell>
          <cell r="B428" t="str">
            <v>Spectus</v>
          </cell>
        </row>
        <row r="429">
          <cell r="A429" t="str">
            <v>costdai-ama-dail-p10-moon-stone-sn0350</v>
          </cell>
          <cell r="B429" t="str">
            <v>Amara</v>
          </cell>
        </row>
        <row r="430">
          <cell r="A430" t="str">
            <v>clstdai-acu-dfrb-p30-sn0800</v>
          </cell>
          <cell r="B430" t="str">
            <v>Acuvue</v>
          </cell>
        </row>
        <row r="431">
          <cell r="A431" t="str">
            <v>clstdai-dai-aqua-p90-sp0425</v>
          </cell>
          <cell r="B431" t="str">
            <v>Dailies</v>
          </cell>
        </row>
        <row r="432">
          <cell r="A432" t="str">
            <v>clstdai-dai-aqua-p90-sn0650</v>
          </cell>
          <cell r="B432" t="str">
            <v>Dailies</v>
          </cell>
        </row>
        <row r="433">
          <cell r="A433" t="str">
            <v>clstbiw-acu-cle-p06-sn0475</v>
          </cell>
          <cell r="B433" t="str">
            <v>Acuvue</v>
          </cell>
        </row>
        <row r="434">
          <cell r="A434" t="str">
            <v>clstdai-dai-aqua-p90-sn1300</v>
          </cell>
          <cell r="B434" t="str">
            <v>Dailies</v>
          </cell>
        </row>
        <row r="435">
          <cell r="A435" t="str">
            <v>fw100518-spc-000300-0500-52</v>
          </cell>
          <cell r="B435" t="str">
            <v>Spectus</v>
          </cell>
        </row>
        <row r="436">
          <cell r="A436" t="str">
            <v>su20106-bla-000238-0506-49</v>
          </cell>
          <cell r="B436" t="str">
            <v>BlackOut</v>
          </cell>
        </row>
        <row r="437">
          <cell r="A437" t="str">
            <v>costdai-acu-dffr-p10-grayzel-sn0050</v>
          </cell>
          <cell r="B437" t="str">
            <v>Acuvue</v>
          </cell>
        </row>
        <row r="438">
          <cell r="A438" t="str">
            <v>cost3mo-lay-lens-p02-golden-brown-sn0450</v>
          </cell>
          <cell r="B438" t="str">
            <v>Layala</v>
          </cell>
        </row>
        <row r="439">
          <cell r="A439" t="str">
            <v>clstdai-acu-oasy-p90-sn0700</v>
          </cell>
          <cell r="B439" t="str">
            <v>Acuvue</v>
          </cell>
        </row>
        <row r="440">
          <cell r="A440" t="str">
            <v>clstbiw-acu-oasy-p06-sn0075</v>
          </cell>
          <cell r="B440" t="str">
            <v>Acuvue</v>
          </cell>
        </row>
        <row r="441">
          <cell r="A441" t="str">
            <v>clstdai-acu-omax-p30-sn0650</v>
          </cell>
          <cell r="B441" t="str">
            <v>Acuvue</v>
          </cell>
        </row>
        <row r="442">
          <cell r="A442" t="str">
            <v>clstbiw-acu-cle-p06-sn0750</v>
          </cell>
          <cell r="B442" t="str">
            <v>Acuvue</v>
          </cell>
        </row>
        <row r="443">
          <cell r="A443" t="str">
            <v>clstdai-lay-cont-p10-dazzle-black-sn0500</v>
          </cell>
          <cell r="B443" t="str">
            <v>Layala</v>
          </cell>
        </row>
        <row r="444">
          <cell r="A444" t="str">
            <v>cost3mo-lay-2025-p02-desert-topaz-sn0275</v>
          </cell>
          <cell r="B444" t="str">
            <v>Layala</v>
          </cell>
        </row>
        <row r="445">
          <cell r="A445" t="str">
            <v>clstdai-acu-mois-p30-sp0250</v>
          </cell>
          <cell r="B445" t="str">
            <v>Acuvue</v>
          </cell>
        </row>
        <row r="446">
          <cell r="A446" t="str">
            <v>costmon-ama-2024-p02-barbie-brown-sn0250</v>
          </cell>
          <cell r="B446" t="str">
            <v>Amara</v>
          </cell>
        </row>
        <row r="447">
          <cell r="A447" t="str">
            <v>sw30107-bla-000256-0101-51</v>
          </cell>
          <cell r="B447" t="str">
            <v>BlackOut</v>
          </cell>
        </row>
        <row r="448">
          <cell r="A448" t="str">
            <v>clstdai-lay-cont-p10-dazzle-black-sn0175</v>
          </cell>
          <cell r="B448" t="str">
            <v>Layala</v>
          </cell>
        </row>
        <row r="449">
          <cell r="A449" t="str">
            <v>cost3mo-lay-2021-p02-willow-green-sn0300</v>
          </cell>
          <cell r="B449" t="str">
            <v>Layala</v>
          </cell>
        </row>
        <row r="450">
          <cell r="A450" t="str">
            <v>costmon-ama-2022-p02-dream-sn0375</v>
          </cell>
          <cell r="B450" t="str">
            <v>Amara</v>
          </cell>
        </row>
        <row r="451">
          <cell r="A451" t="str">
            <v>clstdai-lay-cont-p10-dazzle-brown-sn0125</v>
          </cell>
          <cell r="B451" t="str">
            <v>Layala</v>
          </cell>
        </row>
        <row r="452">
          <cell r="A452" t="str">
            <v>sw40101-bla-000232-0101-52</v>
          </cell>
          <cell r="B452" t="str">
            <v>BlackOut</v>
          </cell>
        </row>
        <row r="453">
          <cell r="A453" t="str">
            <v>clstdai-lay-cont-p90-dazzle-brown-sn0500</v>
          </cell>
          <cell r="B453" t="str">
            <v>Layala</v>
          </cell>
        </row>
        <row r="454">
          <cell r="A454" t="str">
            <v>sacchan-30s-chain138-grn-starla-green-blue-green</v>
          </cell>
          <cell r="B454" t="str">
            <v>30Sunday</v>
          </cell>
        </row>
        <row r="455">
          <cell r="A455" t="str">
            <v>sw30404-bla-000243-0404-58</v>
          </cell>
          <cell r="B455" t="str">
            <v>BlackOut</v>
          </cell>
        </row>
        <row r="456">
          <cell r="A456" t="str">
            <v>sm50702-30s-000248-0702-53</v>
          </cell>
          <cell r="B456" t="str">
            <v>30Sunday</v>
          </cell>
        </row>
        <row r="457">
          <cell r="A457" t="str">
            <v>cost3mo-lay-2024-p02-terra-brown-sn0050</v>
          </cell>
          <cell r="B457" t="str">
            <v>Layala</v>
          </cell>
        </row>
        <row r="458">
          <cell r="A458" t="str">
            <v>sc22007-bab-000500-2007-40</v>
          </cell>
          <cell r="B458" t="str">
            <v>Babamio</v>
          </cell>
        </row>
        <row r="459">
          <cell r="A459" t="str">
            <v>sw51104-30s-000429-1107-48</v>
          </cell>
          <cell r="B459" t="str">
            <v>30Sunday</v>
          </cell>
        </row>
        <row r="460">
          <cell r="A460" t="str">
            <v>clstdai-dai-tot1-p90-sn0175</v>
          </cell>
          <cell r="B460" t="str">
            <v>Dailies</v>
          </cell>
        </row>
        <row r="461">
          <cell r="A461" t="str">
            <v>cost3mo-lay-2023-p02-sable-brown-sn0275</v>
          </cell>
          <cell r="B461" t="str">
            <v>Layala</v>
          </cell>
        </row>
        <row r="462">
          <cell r="A462" t="str">
            <v>clstdai-dai-aqua-p90-sn0150</v>
          </cell>
          <cell r="B462" t="str">
            <v>Dailies</v>
          </cell>
        </row>
        <row r="463">
          <cell r="A463" t="str">
            <v>sw100907-bla-000315-0907-52</v>
          </cell>
          <cell r="B463" t="str">
            <v>BlackOut</v>
          </cell>
        </row>
        <row r="464">
          <cell r="A464" t="str">
            <v>sm70107-30s-000252-0107-56</v>
          </cell>
          <cell r="B464" t="str">
            <v>30Sunday</v>
          </cell>
        </row>
        <row r="465">
          <cell r="A465" t="str">
            <v>clstbiw-acu-0002-p06-sp0075</v>
          </cell>
          <cell r="B465" t="str">
            <v>Acuvue</v>
          </cell>
        </row>
        <row r="466">
          <cell r="A466" t="str">
            <v>fm52918-spc-000818-2918-55</v>
          </cell>
          <cell r="B466" t="str">
            <v>Spectus</v>
          </cell>
        </row>
        <row r="467">
          <cell r="A467" t="str">
            <v>clstdai-acu-dfna-p30-sn0750</v>
          </cell>
          <cell r="B467" t="str">
            <v>Acuvue</v>
          </cell>
        </row>
        <row r="468">
          <cell r="A468" t="str">
            <v>clstdai-acu-dfvi-p30-sn0500</v>
          </cell>
          <cell r="B468" t="str">
            <v>Acuvue</v>
          </cell>
        </row>
        <row r="469">
          <cell r="A469" t="str">
            <v>costdai-acu-dffr-p10-grayzel-sn0650</v>
          </cell>
          <cell r="B469" t="str">
            <v>Acuvue</v>
          </cell>
        </row>
        <row r="470">
          <cell r="A470" t="str">
            <v>clstdai-lay-cont-p60-dazzle-brown-sn0550</v>
          </cell>
          <cell r="B470" t="str">
            <v>Layala</v>
          </cell>
        </row>
        <row r="471">
          <cell r="A471" t="str">
            <v>cost3mo-lay-lens-p02-ocean-blue-sn0400</v>
          </cell>
          <cell r="B471" t="str">
            <v>Layala</v>
          </cell>
        </row>
        <row r="472">
          <cell r="A472" t="str">
            <v>clstdai-acu-dfvi-p30-sn0100</v>
          </cell>
          <cell r="B472" t="str">
            <v>Acuvue</v>
          </cell>
        </row>
        <row r="473">
          <cell r="A473" t="str">
            <v>costdai-acu-dffr-p30-green-sn0300</v>
          </cell>
          <cell r="B473" t="str">
            <v>Acuvue</v>
          </cell>
        </row>
        <row r="474">
          <cell r="A474" t="str">
            <v>sm70404-30s-000246-0404-61</v>
          </cell>
          <cell r="B474" t="str">
            <v>30Sunday</v>
          </cell>
        </row>
        <row r="475">
          <cell r="A475" t="str">
            <v>clstdai-lay-cont-p30-dazzle-brown-sn0750</v>
          </cell>
          <cell r="B475" t="str">
            <v>Layala</v>
          </cell>
        </row>
        <row r="476">
          <cell r="A476" t="str">
            <v>su50506-bla-000105-2706-59</v>
          </cell>
          <cell r="B476" t="str">
            <v>BlackOut</v>
          </cell>
        </row>
        <row r="477">
          <cell r="A477" t="str">
            <v>clstdai-eve-elit-p90-sn0275</v>
          </cell>
          <cell r="B477" t="str">
            <v>Everva</v>
          </cell>
        </row>
        <row r="478">
          <cell r="A478" t="str">
            <v>clstdai-dai-aqua-p90-sn0550</v>
          </cell>
          <cell r="B478" t="str">
            <v>Dailies</v>
          </cell>
        </row>
        <row r="479">
          <cell r="A479" t="str">
            <v>clstmon-sof-sl59-p06-sn0175</v>
          </cell>
          <cell r="B479" t="str">
            <v>Soflens</v>
          </cell>
        </row>
        <row r="480">
          <cell r="A480" t="str">
            <v>fm40418-spc-000561-0400-52</v>
          </cell>
          <cell r="B480" t="str">
            <v>Spectus</v>
          </cell>
        </row>
        <row r="481">
          <cell r="A481" t="str">
            <v>clstdai-acu-oasy-p120-sn1100</v>
          </cell>
          <cell r="B481" t="str">
            <v>Acuvue</v>
          </cell>
        </row>
        <row r="482">
          <cell r="A482" t="str">
            <v>clstdai-acu-oasy-p30-sn0475</v>
          </cell>
          <cell r="B482" t="str">
            <v>Acuvue</v>
          </cell>
        </row>
        <row r="483">
          <cell r="A483" t="str">
            <v>sc20904-bab-000517-1504d-43</v>
          </cell>
          <cell r="B483" t="str">
            <v>Babamio</v>
          </cell>
        </row>
        <row r="484">
          <cell r="A484" t="str">
            <v>fm20118-spc-000610-0118-48</v>
          </cell>
          <cell r="B484" t="str">
            <v>Spectus</v>
          </cell>
        </row>
        <row r="485">
          <cell r="A485" t="str">
            <v>clstdai-lay-cont-p10-dazzle-brown-sn0800</v>
          </cell>
          <cell r="B485" t="str">
            <v>Layala</v>
          </cell>
        </row>
        <row r="486">
          <cell r="A486" t="str">
            <v>cltobiw-acu-oasy-p06-sn0750-cn0075-a040</v>
          </cell>
          <cell r="B486" t="str">
            <v>Acuvue</v>
          </cell>
        </row>
        <row r="487">
          <cell r="A487" t="str">
            <v>costmon-ama-2020-p02-charcoal-gray-sn0150</v>
          </cell>
          <cell r="B487" t="str">
            <v>Amara</v>
          </cell>
        </row>
        <row r="488">
          <cell r="A488" t="str">
            <v>sunglasses-30Sundays-30s-00448-1806p</v>
          </cell>
          <cell r="B488" t="str">
            <v>30Sunday</v>
          </cell>
        </row>
        <row r="489">
          <cell r="A489" t="str">
            <v>cost3mo-lay-lens-p02-chocolate-brown-sn0050</v>
          </cell>
          <cell r="B489" t="str">
            <v>Layala</v>
          </cell>
        </row>
        <row r="490">
          <cell r="A490" t="str">
            <v>costdai-acu-dffr-p10-hazel-sn0225</v>
          </cell>
          <cell r="B490" t="str">
            <v>Acuvue</v>
          </cell>
        </row>
        <row r="491">
          <cell r="A491" t="str">
            <v>sw30707-30s-000455-0707-54</v>
          </cell>
          <cell r="B491" t="str">
            <v>30Sunday</v>
          </cell>
        </row>
        <row r="492">
          <cell r="A492" t="str">
            <v>costdai-acu-dffr-p30-grayzel-sn0150</v>
          </cell>
          <cell r="B492" t="str">
            <v>Acuvue</v>
          </cell>
        </row>
        <row r="493">
          <cell r="A493" t="str">
            <v>cost3mo-lay-2021-p02-stardust-gray-sn0450</v>
          </cell>
          <cell r="B493" t="str">
            <v>Layala</v>
          </cell>
        </row>
        <row r="494">
          <cell r="A494" t="str">
            <v>clstdai-acu-oasy-p90-sn0800</v>
          </cell>
          <cell r="B494" t="str">
            <v>Acuvue</v>
          </cell>
        </row>
        <row r="495">
          <cell r="A495" t="str">
            <v>clstdai-acu-dfrb-p90-sn0300</v>
          </cell>
          <cell r="B495" t="str">
            <v>Acuvue</v>
          </cell>
        </row>
        <row r="496">
          <cell r="A496" t="str">
            <v>costdai-ama-dail-p10-amber-sn0350</v>
          </cell>
          <cell r="B496" t="str">
            <v>Amara</v>
          </cell>
        </row>
        <row r="497">
          <cell r="A497" t="str">
            <v>cost3mo-lay-2022-p02-crescent-gray-sn0600</v>
          </cell>
          <cell r="B497" t="str">
            <v>Layala</v>
          </cell>
        </row>
        <row r="498">
          <cell r="A498" t="str">
            <v>clstdai-sof-sdai-p90-sn0150</v>
          </cell>
          <cell r="B498" t="str">
            <v>Soflens</v>
          </cell>
        </row>
        <row r="499">
          <cell r="A499" t="str">
            <v>sw40107-bla-000302-0107-54</v>
          </cell>
          <cell r="B499" t="str">
            <v>BlackOut</v>
          </cell>
        </row>
        <row r="500">
          <cell r="A500" t="str">
            <v>sw30107-bla-000248-0101-52</v>
          </cell>
          <cell r="B500" t="str">
            <v>BlackOut</v>
          </cell>
        </row>
        <row r="501">
          <cell r="A501" t="str">
            <v>costmon-ama-2023-p02-chai-sn0100</v>
          </cell>
          <cell r="B501" t="str">
            <v>Amara</v>
          </cell>
        </row>
        <row r="502">
          <cell r="A502" t="str">
            <v>clstdai-acu-omax-p30-sp0150</v>
          </cell>
          <cell r="B502" t="str">
            <v>Acuvue</v>
          </cell>
        </row>
        <row r="503">
          <cell r="A503" t="str">
            <v>clstdai-eve-elit-p30-sn0475</v>
          </cell>
          <cell r="B503" t="str">
            <v>Everva</v>
          </cell>
        </row>
        <row r="504">
          <cell r="A504" t="str">
            <v>clstdai-lay-cont-p60-dazzle-brown-sn0125</v>
          </cell>
          <cell r="B504" t="str">
            <v>Layala</v>
          </cell>
        </row>
        <row r="505">
          <cell r="A505" t="str">
            <v>costmon-ama-2022-p02-dream-sn0550</v>
          </cell>
          <cell r="B505" t="str">
            <v>Amara</v>
          </cell>
        </row>
        <row r="506">
          <cell r="A506" t="str">
            <v>clstdai-dai-tot1-p90-sp0250</v>
          </cell>
          <cell r="B506" t="str">
            <v>Dailies</v>
          </cell>
        </row>
        <row r="507">
          <cell r="A507" t="str">
            <v>costmon-ama-lens-p02-mocca-sn0550</v>
          </cell>
          <cell r="B507" t="str">
            <v>Amara</v>
          </cell>
        </row>
        <row r="508">
          <cell r="A508" t="str">
            <v>costmon-ama-lens-p02-crocodile-green-sn0425</v>
          </cell>
          <cell r="B508" t="str">
            <v>Amara</v>
          </cell>
        </row>
        <row r="509">
          <cell r="A509" t="str">
            <v>clstdai-lay-cont-p10-dazzle-black-sn0850</v>
          </cell>
          <cell r="B509" t="str">
            <v>Layala</v>
          </cell>
        </row>
        <row r="510">
          <cell r="A510" t="str">
            <v>clstdai-eve-elit-p90-sn0475</v>
          </cell>
          <cell r="B510" t="str">
            <v>Everva</v>
          </cell>
        </row>
        <row r="511">
          <cell r="A511" t="str">
            <v>fc20218-bab-000252-0200-42</v>
          </cell>
          <cell r="B511" t="str">
            <v>Babamio</v>
          </cell>
        </row>
        <row r="512">
          <cell r="A512" t="str">
            <v>clstmon-ava-avai-p06-sn0350</v>
          </cell>
          <cell r="B512" t="str">
            <v>Avaira</v>
          </cell>
        </row>
        <row r="513">
          <cell r="A513" t="str">
            <v>sw40107-bla-000209-0107-51</v>
          </cell>
          <cell r="B513" t="str">
            <v>BlackOut</v>
          </cell>
        </row>
        <row r="514">
          <cell r="A514" t="str">
            <v>clstdai-sof-sdai-p30-sn0425</v>
          </cell>
          <cell r="B514" t="str">
            <v>Soflens</v>
          </cell>
        </row>
        <row r="515">
          <cell r="A515" t="str">
            <v>sw62906-bla-000300-2906-53</v>
          </cell>
          <cell r="B515" t="str">
            <v>BlackOut</v>
          </cell>
        </row>
        <row r="516">
          <cell r="A516" t="str">
            <v>clstdai-acu-omax-p30-sp0550</v>
          </cell>
          <cell r="B516" t="str">
            <v>Acuvue</v>
          </cell>
        </row>
        <row r="517">
          <cell r="A517" t="str">
            <v>sw32404-30s-000272-2404-49</v>
          </cell>
          <cell r="B517" t="str">
            <v>30Sunday</v>
          </cell>
        </row>
        <row r="518">
          <cell r="A518" t="str">
            <v>clstdai-eve-pure-p90-sn0525</v>
          </cell>
          <cell r="B518" t="str">
            <v>Everva</v>
          </cell>
        </row>
        <row r="519">
          <cell r="A519" t="str">
            <v>sw42404-bla-000305-2404-54</v>
          </cell>
          <cell r="B519" t="str">
            <v>BlackOut</v>
          </cell>
        </row>
        <row r="520">
          <cell r="A520" t="str">
            <v>clstdai-acu-mois-p90-sn0475</v>
          </cell>
          <cell r="B520" t="str">
            <v>Acuvue</v>
          </cell>
        </row>
        <row r="521">
          <cell r="A521" t="str">
            <v>clstdai-acu-mois-p90-sp0300</v>
          </cell>
          <cell r="B521" t="str">
            <v>Acuvue</v>
          </cell>
        </row>
        <row r="522">
          <cell r="A522" t="str">
            <v>costdai-acu-dffr-p30-rose-sn0250</v>
          </cell>
          <cell r="B522" t="str">
            <v>Acuvue</v>
          </cell>
        </row>
        <row r="523">
          <cell r="A523" t="str">
            <v>cost3mo-lay-2020-p02-hazel-brown-sp0000</v>
          </cell>
          <cell r="B523" t="str">
            <v>Layala</v>
          </cell>
        </row>
        <row r="524">
          <cell r="A524" t="str">
            <v>clstbiw-acu-0002-p06-sp0250</v>
          </cell>
          <cell r="B524" t="str">
            <v>Acuvue</v>
          </cell>
        </row>
        <row r="525">
          <cell r="A525" t="str">
            <v>clstdai-dai-tot1-p90-sn0800</v>
          </cell>
          <cell r="B525" t="str">
            <v>Dailies</v>
          </cell>
        </row>
        <row r="526">
          <cell r="A526" t="str">
            <v>sw32404-30s-000262-2404-50</v>
          </cell>
          <cell r="B526" t="str">
            <v>30Sunday</v>
          </cell>
        </row>
        <row r="527">
          <cell r="A527" t="str">
            <v>clstdai-acu-dfvi-p60-sn0100</v>
          </cell>
          <cell r="B527" t="str">
            <v>Acuvue</v>
          </cell>
        </row>
        <row r="528">
          <cell r="A528" t="str">
            <v>sw22306-30s-000226-2306-54</v>
          </cell>
          <cell r="B528" t="str">
            <v>30Sunday</v>
          </cell>
        </row>
        <row r="529">
          <cell r="A529" t="str">
            <v>clstdai-lay-cont-p10-dazzle-brown-sn0200</v>
          </cell>
          <cell r="B529" t="str">
            <v>Layala</v>
          </cell>
        </row>
        <row r="530">
          <cell r="A530" t="str">
            <v>sc22507-bab-000502-0207-50</v>
          </cell>
          <cell r="B530" t="str">
            <v>Babamio</v>
          </cell>
        </row>
        <row r="531">
          <cell r="A531" t="str">
            <v>costmon-ama-2024-p02-nmr-sn0275</v>
          </cell>
          <cell r="B531" t="str">
            <v>Amara</v>
          </cell>
        </row>
        <row r="532">
          <cell r="A532" t="str">
            <v>sw62904-bla-000382-2904-54</v>
          </cell>
          <cell r="B532" t="str">
            <v>BlackOut</v>
          </cell>
        </row>
        <row r="533">
          <cell r="A533" t="str">
            <v>clstdai-lay-cont-p10-dazzle-brown-sn0100</v>
          </cell>
          <cell r="B533" t="str">
            <v>Layala</v>
          </cell>
        </row>
        <row r="534">
          <cell r="A534" t="str">
            <v>costdai-ama-dail-p10-honey-sn0250</v>
          </cell>
          <cell r="B534" t="str">
            <v>Amara</v>
          </cell>
        </row>
        <row r="535">
          <cell r="A535" t="str">
            <v>cost3mo-lay-2021-p02-skye-blue-sn0175</v>
          </cell>
          <cell r="B535" t="str">
            <v>Layala</v>
          </cell>
        </row>
        <row r="536">
          <cell r="A536" t="str">
            <v>costdai-ama-dail-p10-moon-stone-sn0200</v>
          </cell>
          <cell r="B536" t="str">
            <v>Amara</v>
          </cell>
        </row>
        <row r="537">
          <cell r="A537" t="str">
            <v>costmon-ama-lens-p02-crocodile-green-sn0075</v>
          </cell>
          <cell r="B537" t="str">
            <v>Amara</v>
          </cell>
        </row>
        <row r="538">
          <cell r="A538" t="str">
            <v>ru40218-spc-000850-0218-49-sp0200</v>
          </cell>
          <cell r="B538" t="str">
            <v>Spectus</v>
          </cell>
        </row>
        <row r="539">
          <cell r="A539" t="str">
            <v>sm101202-30s-000284-1202-60</v>
          </cell>
          <cell r="B539" t="str">
            <v>30Sunday</v>
          </cell>
        </row>
        <row r="540">
          <cell r="A540" t="str">
            <v>sw52904-bla-000221-2904-61</v>
          </cell>
          <cell r="B540" t="str">
            <v>BlackOut</v>
          </cell>
        </row>
        <row r="541">
          <cell r="A541" t="str">
            <v>cost3mo-lay-2025-p02-desert-topaz-sn0150</v>
          </cell>
          <cell r="B541" t="str">
            <v>Layala</v>
          </cell>
        </row>
        <row r="542">
          <cell r="A542" t="str">
            <v>cost3mo-lay-lens-p02-forest-green-sn0425</v>
          </cell>
          <cell r="B542" t="str">
            <v>Layala</v>
          </cell>
        </row>
        <row r="543">
          <cell r="A543" t="str">
            <v>bc51318-bab-000503-1318-46</v>
          </cell>
          <cell r="B543" t="str">
            <v>Babamio</v>
          </cell>
        </row>
        <row r="544">
          <cell r="A544" t="str">
            <v>clstdai-eve-pure-p30-sn0225</v>
          </cell>
          <cell r="B544" t="str">
            <v>Everva</v>
          </cell>
        </row>
        <row r="545">
          <cell r="A545" t="str">
            <v>bc20218-bab-000501-2818-46</v>
          </cell>
          <cell r="B545" t="str">
            <v>Babamio</v>
          </cell>
        </row>
        <row r="546">
          <cell r="A546" t="str">
            <v>cost3mo-lay-lens-p02-forest-green-sn0475</v>
          </cell>
          <cell r="B546" t="str">
            <v>Layala</v>
          </cell>
        </row>
        <row r="547">
          <cell r="A547" t="str">
            <v>sw60107-bla-000340-0107-53</v>
          </cell>
          <cell r="B547" t="str">
            <v>BlackOut</v>
          </cell>
        </row>
        <row r="548">
          <cell r="A548" t="str">
            <v>sw30107-bla-000104-0107-59</v>
          </cell>
          <cell r="B548" t="str">
            <v>BlackOut</v>
          </cell>
        </row>
        <row r="549">
          <cell r="A549" t="str">
            <v>fw32318-spc-000867-0918-53</v>
          </cell>
          <cell r="B549" t="str">
            <v>Spectus</v>
          </cell>
        </row>
        <row r="550">
          <cell r="A550" t="str">
            <v>saccase-30s-case104-blk-blk-black</v>
          </cell>
          <cell r="B550" t="str">
            <v>30Sunday</v>
          </cell>
        </row>
        <row r="551">
          <cell r="A551" t="str">
            <v>sc20107-bab-000509-0107d-48</v>
          </cell>
          <cell r="B551" t="str">
            <v>Babamio</v>
          </cell>
        </row>
        <row r="552">
          <cell r="A552" t="str">
            <v>sw51306-30s-000130-1306-53</v>
          </cell>
          <cell r="B552" t="str">
            <v>30Sunday</v>
          </cell>
        </row>
        <row r="553">
          <cell r="A553" t="str">
            <v>clstdai-acu-mois-p120-sn0400</v>
          </cell>
          <cell r="B553" t="str">
            <v>Acuvue</v>
          </cell>
        </row>
        <row r="554">
          <cell r="A554" t="str">
            <v>costdai-ama-dail-p10-amber-sn0225</v>
          </cell>
          <cell r="B554" t="str">
            <v>Amara</v>
          </cell>
        </row>
        <row r="555">
          <cell r="A555" t="str">
            <v>cost3mo-lay-lens-p02-ocean-blue-sn0250</v>
          </cell>
          <cell r="B555" t="str">
            <v>Layala</v>
          </cell>
        </row>
        <row r="556">
          <cell r="A556" t="str">
            <v>clstbiw-acu-0002-p06-sp0375</v>
          </cell>
          <cell r="B556" t="str">
            <v>Acuvue</v>
          </cell>
        </row>
        <row r="557">
          <cell r="A557" t="str">
            <v>su20106-30s-000206p-52</v>
          </cell>
          <cell r="B557" t="str">
            <v>30Sunday</v>
          </cell>
        </row>
        <row r="558">
          <cell r="A558" t="str">
            <v>sm22904-30s-000249-2904-53</v>
          </cell>
          <cell r="B558" t="str">
            <v>30Sunday</v>
          </cell>
        </row>
        <row r="559">
          <cell r="A559" t="str">
            <v>cost3mo-cel-natu-p01-desert-grey-sp0300</v>
          </cell>
          <cell r="B559" t="str">
            <v>Celena</v>
          </cell>
        </row>
        <row r="560">
          <cell r="A560" t="str">
            <v>clstdai-lay-cont-p90-dazzle-black-sn0450</v>
          </cell>
          <cell r="B560" t="str">
            <v>Layala</v>
          </cell>
        </row>
        <row r="561">
          <cell r="A561" t="str">
            <v>fu71318-spc-000637-1318-52</v>
          </cell>
          <cell r="B561" t="str">
            <v>Spectus</v>
          </cell>
        </row>
        <row r="562">
          <cell r="A562" t="str">
            <v>bc51418-bab-000504-1418-51</v>
          </cell>
          <cell r="B562" t="str">
            <v>Babamio</v>
          </cell>
        </row>
        <row r="563">
          <cell r="A563" t="str">
            <v>clstdai-acu-dfna-p60-sn0225</v>
          </cell>
          <cell r="B563" t="str">
            <v>Acuvue</v>
          </cell>
        </row>
        <row r="564">
          <cell r="A564" t="str">
            <v>clstdai-acu-mois-p90-sn0350</v>
          </cell>
          <cell r="B564" t="str">
            <v>Acuvue</v>
          </cell>
        </row>
        <row r="565">
          <cell r="A565" t="str">
            <v>clstdai-acu-mois-p90-sn0075</v>
          </cell>
          <cell r="B565" t="str">
            <v>Acuvue</v>
          </cell>
        </row>
        <row r="566">
          <cell r="A566" t="str">
            <v>clstdai-acu-oasy-p30-sn0300</v>
          </cell>
          <cell r="B566" t="str">
            <v>Acuvue</v>
          </cell>
        </row>
        <row r="567">
          <cell r="A567" t="str">
            <v>clstdai-dai-aqua-p30-sp0450</v>
          </cell>
          <cell r="B567" t="str">
            <v>Dailies</v>
          </cell>
        </row>
        <row r="568">
          <cell r="A568" t="str">
            <v>clstdai-sof-sdai-p90-sn0400</v>
          </cell>
          <cell r="B568" t="str">
            <v>Soflens</v>
          </cell>
        </row>
        <row r="569">
          <cell r="A569" t="str">
            <v>clstdai-acu-dfvi-p30-sn0750</v>
          </cell>
          <cell r="B569" t="str">
            <v>Acuvue</v>
          </cell>
        </row>
        <row r="570">
          <cell r="A570" t="str">
            <v>clstdai-sof-sdai-p30-sn0400</v>
          </cell>
          <cell r="B570" t="str">
            <v>Soflens</v>
          </cell>
        </row>
        <row r="571">
          <cell r="A571" t="str">
            <v>clstdai-dai-tot1-p90-sp0425</v>
          </cell>
          <cell r="B571" t="str">
            <v>Dailies</v>
          </cell>
        </row>
        <row r="572">
          <cell r="A572" t="str">
            <v>costdai-acu-dffr-p10-blue-sn0225</v>
          </cell>
          <cell r="B572" t="str">
            <v>Acuvue</v>
          </cell>
        </row>
        <row r="573">
          <cell r="A573" t="str">
            <v>fm42118-spc-000702-2118-54</v>
          </cell>
          <cell r="B573" t="str">
            <v>Spectus</v>
          </cell>
        </row>
        <row r="574">
          <cell r="A574" t="str">
            <v>clstdai-dai-aqua-p90-sp0175</v>
          </cell>
          <cell r="B574" t="str">
            <v>Dailies</v>
          </cell>
        </row>
        <row r="575">
          <cell r="A575" t="str">
            <v>sm41807-bla-000347-1807-56</v>
          </cell>
          <cell r="B575" t="str">
            <v>BlackOut</v>
          </cell>
        </row>
        <row r="576">
          <cell r="A576" t="str">
            <v>su50202-30s-000281-1202-55</v>
          </cell>
          <cell r="B576" t="str">
            <v>30Sunday</v>
          </cell>
        </row>
        <row r="577">
          <cell r="A577" t="str">
            <v>fm11318-spc-000636-1318-53</v>
          </cell>
          <cell r="B577" t="str">
            <v>Spectus</v>
          </cell>
        </row>
        <row r="578">
          <cell r="A578" t="str">
            <v>costdai-ama-dail-p10-sugar-sn0350</v>
          </cell>
          <cell r="B578" t="str">
            <v>Amara</v>
          </cell>
        </row>
        <row r="579">
          <cell r="A579" t="str">
            <v>sw30107-bla-000332-0107-53</v>
          </cell>
          <cell r="B579" t="str">
            <v>BlackOut</v>
          </cell>
        </row>
        <row r="580">
          <cell r="A580" t="str">
            <v>clstdai-acu-mois-p90-sn0450</v>
          </cell>
          <cell r="B580" t="str">
            <v>Acuvue</v>
          </cell>
        </row>
        <row r="581">
          <cell r="A581" t="str">
            <v>clstdai-lay-cont-p10-dazzle-black-sn0400</v>
          </cell>
          <cell r="B581" t="str">
            <v>Layala</v>
          </cell>
        </row>
        <row r="582">
          <cell r="A582" t="str">
            <v>clstbiw-acu-oasy-p18-sn0800</v>
          </cell>
          <cell r="B582" t="str">
            <v>Acuvue</v>
          </cell>
        </row>
        <row r="583">
          <cell r="A583" t="str">
            <v>sm10701-30s-000286-0701p-55</v>
          </cell>
          <cell r="B583" t="str">
            <v>30Sunday</v>
          </cell>
        </row>
        <row r="584">
          <cell r="A584" t="str">
            <v>clstbiw-acu-oasy-p18-sn0475</v>
          </cell>
          <cell r="B584" t="str">
            <v>Acuvue</v>
          </cell>
        </row>
        <row r="585">
          <cell r="A585" t="str">
            <v>clstdai-lay-cont-p10-dazzle-brown-sn0550</v>
          </cell>
          <cell r="B585" t="str">
            <v>Layala</v>
          </cell>
        </row>
        <row r="586">
          <cell r="A586" t="str">
            <v>su100404-30s-000268-0404-53</v>
          </cell>
          <cell r="B586" t="str">
            <v>30Sunday</v>
          </cell>
        </row>
        <row r="587">
          <cell r="A587" t="str">
            <v>clstdai-acu-omax-p90-sp0225</v>
          </cell>
          <cell r="B587" t="str">
            <v>Acuvue</v>
          </cell>
        </row>
        <row r="588">
          <cell r="A588" t="str">
            <v>sw50404-bla-000225-0404-55</v>
          </cell>
          <cell r="B588" t="str">
            <v>BlackOut</v>
          </cell>
        </row>
        <row r="589">
          <cell r="A589" t="str">
            <v>fw70518-spc-000667-0518-57</v>
          </cell>
          <cell r="B589" t="str">
            <v>Spectus</v>
          </cell>
        </row>
        <row r="590">
          <cell r="A590" t="str">
            <v>clstmon-bio-biof-p06-sn0350</v>
          </cell>
          <cell r="B590" t="str">
            <v>Biofinity</v>
          </cell>
        </row>
        <row r="591">
          <cell r="A591" t="str">
            <v>clstdai-dai-tot1-p90-sn0325</v>
          </cell>
          <cell r="B591" t="str">
            <v>Dailies</v>
          </cell>
        </row>
        <row r="592">
          <cell r="A592" t="str">
            <v>clstdai-acu-mois-p30-sn0325</v>
          </cell>
          <cell r="B592" t="str">
            <v>Acuvue</v>
          </cell>
        </row>
        <row r="593">
          <cell r="A593" t="str">
            <v>clstdai-acu-dfvi-p60-sn0525</v>
          </cell>
          <cell r="B593" t="str">
            <v>Acuvue</v>
          </cell>
        </row>
        <row r="594">
          <cell r="A594" t="str">
            <v>clstdai-btr-oned-p30-sn0400</v>
          </cell>
          <cell r="B594" t="str">
            <v>Biotrue</v>
          </cell>
        </row>
        <row r="595">
          <cell r="A595" t="str">
            <v>clstbiw-acu-oasy-p06-sp0000</v>
          </cell>
          <cell r="B595" t="str">
            <v>Acuvue</v>
          </cell>
        </row>
        <row r="596">
          <cell r="A596" t="str">
            <v>sm50406-30s-000241-0402-52</v>
          </cell>
          <cell r="B596" t="str">
            <v>30Sunday</v>
          </cell>
        </row>
        <row r="597">
          <cell r="A597" t="str">
            <v>su21207-30s-000206-1207-52</v>
          </cell>
          <cell r="B597" t="str">
            <v>30Sunday</v>
          </cell>
        </row>
        <row r="598">
          <cell r="A598" t="str">
            <v>clstdai-dai-tot1-p30-sn1050</v>
          </cell>
          <cell r="B598" t="str">
            <v>Dailies</v>
          </cell>
        </row>
        <row r="599">
          <cell r="A599" t="str">
            <v>sacchan-30s-chain126-rsg-kai-rose-gold</v>
          </cell>
          <cell r="B599" t="str">
            <v>30Sunday</v>
          </cell>
        </row>
        <row r="600">
          <cell r="A600" t="str">
            <v>clstdai-acu-dfvi-p90-sn0450</v>
          </cell>
          <cell r="B600" t="str">
            <v>Acuvue</v>
          </cell>
        </row>
        <row r="601">
          <cell r="A601" t="str">
            <v>clstmon-sof-sl59-p06-sn0350</v>
          </cell>
          <cell r="B601" t="str">
            <v>Soflens</v>
          </cell>
        </row>
        <row r="602">
          <cell r="A602" t="str">
            <v>clstdai-dai-tot1-p90-sp0600</v>
          </cell>
          <cell r="B602" t="str">
            <v>Dailies</v>
          </cell>
        </row>
        <row r="603">
          <cell r="A603" t="str">
            <v>cost3mo-lay-2021-p02-polar-gray-sn0275</v>
          </cell>
          <cell r="B603" t="str">
            <v>Layala</v>
          </cell>
        </row>
        <row r="604">
          <cell r="A604" t="str">
            <v>clstmon-sof-sl59-p06-sn0400</v>
          </cell>
          <cell r="B604" t="str">
            <v>Soflens</v>
          </cell>
        </row>
        <row r="605">
          <cell r="A605" t="str">
            <v>cost3mo-lay-lens-p02-chestnut-brown-sn0500</v>
          </cell>
          <cell r="B605" t="str">
            <v>Layala</v>
          </cell>
        </row>
        <row r="606">
          <cell r="A606" t="str">
            <v>fu70118-spc-000757-0118-51</v>
          </cell>
          <cell r="B606" t="str">
            <v>Spectus</v>
          </cell>
        </row>
        <row r="607">
          <cell r="A607" t="str">
            <v>sm12706-30s-000202-2706-59</v>
          </cell>
          <cell r="B607" t="str">
            <v>30Sunday</v>
          </cell>
        </row>
        <row r="608">
          <cell r="A608" t="str">
            <v>clstdai-acu-oasy-p90-sn0100</v>
          </cell>
          <cell r="B608" t="str">
            <v>Acuvue</v>
          </cell>
        </row>
        <row r="609">
          <cell r="A609" t="str">
            <v>cost3mo-lay-2021-p02-sunkiss-brown-sn0200</v>
          </cell>
          <cell r="B609" t="str">
            <v>Layala</v>
          </cell>
        </row>
        <row r="610">
          <cell r="A610" t="str">
            <v>bc50618-bab-000506-0618-48</v>
          </cell>
          <cell r="B610" t="str">
            <v>Babamio</v>
          </cell>
        </row>
        <row r="611">
          <cell r="A611" t="str">
            <v>costdai-acu-dffr-p10-green-sn0200</v>
          </cell>
          <cell r="B611" t="str">
            <v>Acuvue</v>
          </cell>
        </row>
        <row r="612">
          <cell r="A612" t="str">
            <v>clstdai-acu-oasy-p30-sn0950</v>
          </cell>
          <cell r="B612" t="str">
            <v>Acuvue</v>
          </cell>
        </row>
        <row r="613">
          <cell r="A613" t="str">
            <v>costdai-acu-dffr-p30-hazel-sn0275</v>
          </cell>
          <cell r="B613" t="str">
            <v>Acuvue</v>
          </cell>
        </row>
        <row r="614">
          <cell r="A614" t="str">
            <v>clstdai-lay-cont-p90-dazzle-black-sn0175</v>
          </cell>
          <cell r="B614" t="str">
            <v>Layala</v>
          </cell>
        </row>
        <row r="615">
          <cell r="A615" t="str">
            <v>clstdai-dai-aqua-p30-sp0100</v>
          </cell>
          <cell r="B615" t="str">
            <v>Dailies</v>
          </cell>
        </row>
        <row r="616">
          <cell r="A616" t="str">
            <v>clstbiw-acu-0002-p06-sp0175</v>
          </cell>
          <cell r="B616" t="str">
            <v>Acuvue</v>
          </cell>
        </row>
        <row r="617">
          <cell r="A617" t="str">
            <v>cost3mo-lay-2023-p02-selene-green-sn0500</v>
          </cell>
          <cell r="B617" t="str">
            <v>Layala</v>
          </cell>
        </row>
        <row r="618">
          <cell r="A618" t="str">
            <v>sw70101-30s-000245-0101-55</v>
          </cell>
          <cell r="B618" t="str">
            <v>30Sunday</v>
          </cell>
        </row>
        <row r="619">
          <cell r="A619" t="str">
            <v>clstdai-acu-dfna-p90-sn0450</v>
          </cell>
          <cell r="B619" t="str">
            <v>Acuvue</v>
          </cell>
        </row>
        <row r="620">
          <cell r="A620" t="str">
            <v>sm100107-30s-000303-0101-52</v>
          </cell>
          <cell r="B620" t="str">
            <v>30Sunday</v>
          </cell>
        </row>
        <row r="621">
          <cell r="A621" t="str">
            <v>clstdai-lay-cont-p60-dazzle-black-sn0475</v>
          </cell>
          <cell r="B621" t="str">
            <v>Layala</v>
          </cell>
        </row>
        <row r="622">
          <cell r="A622" t="str">
            <v>sacchan-30s-chain125-gld-lyra-gold</v>
          </cell>
          <cell r="B622" t="str">
            <v>30Sunday</v>
          </cell>
        </row>
        <row r="623">
          <cell r="A623" t="str">
            <v>clstdai-lay-cont-p90-dazzle-brown-sn0475</v>
          </cell>
          <cell r="B623" t="str">
            <v>Layala</v>
          </cell>
        </row>
        <row r="624">
          <cell r="A624" t="str">
            <v>sm70406-30s-000252-0406-56</v>
          </cell>
          <cell r="B624" t="str">
            <v>30Sunday</v>
          </cell>
        </row>
        <row r="625">
          <cell r="A625" t="str">
            <v>clstdai-lay-cont-p60-dazzle-black-sn0200</v>
          </cell>
          <cell r="B625" t="str">
            <v>Layala</v>
          </cell>
        </row>
        <row r="626">
          <cell r="A626" t="str">
            <v>clstdai-dai-aqua-p90-sn0100</v>
          </cell>
          <cell r="B626" t="str">
            <v>Dailies</v>
          </cell>
        </row>
        <row r="627">
          <cell r="A627" t="str">
            <v>clstdai-btr-oned-p90-sn0550</v>
          </cell>
          <cell r="B627" t="str">
            <v>Biotrue</v>
          </cell>
        </row>
        <row r="628">
          <cell r="A628" t="str">
            <v>fw32318-spc-000862-2318-53</v>
          </cell>
          <cell r="B628" t="str">
            <v>Spectus</v>
          </cell>
        </row>
        <row r="629">
          <cell r="A629" t="str">
            <v>costdai-acu-dffr-p30-grayzel-sn0125</v>
          </cell>
          <cell r="B629" t="str">
            <v>Acuvue</v>
          </cell>
        </row>
        <row r="630">
          <cell r="A630" t="str">
            <v>cost3mo-lay-2025-p02-desert-topaz-sn0075</v>
          </cell>
          <cell r="B630" t="str">
            <v>Layala</v>
          </cell>
        </row>
        <row r="631">
          <cell r="A631" t="str">
            <v>costmon-ama-2024-p02-matcha-sn0325</v>
          </cell>
          <cell r="B631" t="str">
            <v>Amara</v>
          </cell>
        </row>
        <row r="632">
          <cell r="A632" t="str">
            <v>cost3mo-lay-2022-p02-avena-brown-sn0125</v>
          </cell>
          <cell r="B632" t="str">
            <v>Layala</v>
          </cell>
        </row>
        <row r="633">
          <cell r="A633" t="str">
            <v>clstdai-acu-dfna-p90-sn0500</v>
          </cell>
          <cell r="B633" t="str">
            <v>Acuvue</v>
          </cell>
        </row>
        <row r="634">
          <cell r="A634" t="str">
            <v>cost3mo-lay-lens-p02-golden-brown-sn0500</v>
          </cell>
          <cell r="B634" t="str">
            <v>Layala</v>
          </cell>
        </row>
        <row r="635">
          <cell r="A635" t="str">
            <v>costmon-ama-lens-p02-crocodile-green-sn0225</v>
          </cell>
          <cell r="B635" t="str">
            <v>Amara</v>
          </cell>
        </row>
        <row r="636">
          <cell r="A636" t="str">
            <v>cost3mo-lay-2021-p02-sunkiss-brown-sn0250</v>
          </cell>
          <cell r="B636" t="str">
            <v>Layala</v>
          </cell>
        </row>
        <row r="637">
          <cell r="A637" t="str">
            <v>sm10107-30s-000253-0107-57</v>
          </cell>
          <cell r="B637" t="str">
            <v>30Sunday</v>
          </cell>
        </row>
        <row r="638">
          <cell r="A638" t="str">
            <v>clstmon-eve-prom-p06-sn0200</v>
          </cell>
          <cell r="B638" t="str">
            <v>Everva</v>
          </cell>
        </row>
        <row r="639">
          <cell r="A639" t="str">
            <v>sm40702-30s-000285-0702-53</v>
          </cell>
          <cell r="B639" t="str">
            <v>30Sunday</v>
          </cell>
        </row>
        <row r="640">
          <cell r="A640" t="str">
            <v>costmon-ama-2020-p02-pure-hazel-sn0375</v>
          </cell>
          <cell r="B640" t="str">
            <v>Amara</v>
          </cell>
        </row>
        <row r="641">
          <cell r="A641" t="str">
            <v>cost3mo-lay-2023-p02-sable-brown-sn0200</v>
          </cell>
          <cell r="B641" t="str">
            <v>Layala</v>
          </cell>
        </row>
        <row r="642">
          <cell r="A642" t="str">
            <v>sw42904-bla-000333-2904-57</v>
          </cell>
          <cell r="B642" t="str">
            <v>BlackOut</v>
          </cell>
        </row>
        <row r="643">
          <cell r="A643" t="str">
            <v>sw100107-30s-000306-0101-49</v>
          </cell>
          <cell r="B643" t="str">
            <v>30Sunday</v>
          </cell>
        </row>
        <row r="644">
          <cell r="A644" t="str">
            <v>ru20418-spc-000881-0418-48-sp0300</v>
          </cell>
          <cell r="B644" t="str">
            <v>Spectus</v>
          </cell>
        </row>
        <row r="645">
          <cell r="A645" t="str">
            <v>costmon-ama-lens-p02-crocodile-green-sn0250</v>
          </cell>
          <cell r="B645" t="str">
            <v>Amara</v>
          </cell>
        </row>
        <row r="646">
          <cell r="A646" t="str">
            <v>cost3mo-lay-2020-p02-ash-gray-sn0275</v>
          </cell>
          <cell r="B646" t="str">
            <v>Layala</v>
          </cell>
        </row>
        <row r="647">
          <cell r="A647" t="str">
            <v>fu20506-spc-000848-0506-52</v>
          </cell>
          <cell r="B647" t="str">
            <v>Spectus</v>
          </cell>
        </row>
        <row r="648">
          <cell r="A648" t="str">
            <v>costdai-ama-dail-p10-honey-sn0350</v>
          </cell>
          <cell r="B648" t="str">
            <v>Amara</v>
          </cell>
        </row>
        <row r="649">
          <cell r="A649" t="str">
            <v>ru40218-spc-000850-0218-49-sp0100</v>
          </cell>
          <cell r="B649" t="str">
            <v>Spectus</v>
          </cell>
        </row>
        <row r="650">
          <cell r="A650" t="str">
            <v>cost3mo-lay-2021-p02-golden-gray-sn0450</v>
          </cell>
          <cell r="B650" t="str">
            <v>Layala</v>
          </cell>
        </row>
        <row r="651">
          <cell r="A651" t="str">
            <v>clstdai-acu-omax-p30-sn0250</v>
          </cell>
          <cell r="B651" t="str">
            <v>Acuvue</v>
          </cell>
        </row>
        <row r="652">
          <cell r="A652" t="str">
            <v>cost3mo-lay-lens-p02-chestnut-brown-sn0450</v>
          </cell>
          <cell r="B652" t="str">
            <v>Layala</v>
          </cell>
        </row>
        <row r="653">
          <cell r="A653" t="str">
            <v>clstdai-acu-dfna-p60-sn0600</v>
          </cell>
          <cell r="B653" t="str">
            <v>Acuvue</v>
          </cell>
        </row>
        <row r="654">
          <cell r="A654" t="str">
            <v>su100202-30s-000277-0202-52</v>
          </cell>
          <cell r="B654" t="str">
            <v>30Sunday</v>
          </cell>
        </row>
        <row r="655">
          <cell r="A655" t="str">
            <v>sw100107-bla-000356-0107-52</v>
          </cell>
          <cell r="B655" t="str">
            <v>BlackOut</v>
          </cell>
        </row>
        <row r="656">
          <cell r="A656" t="str">
            <v>fm71218-spc-000513-1200-52</v>
          </cell>
          <cell r="B656" t="str">
            <v>Spectus</v>
          </cell>
        </row>
        <row r="657">
          <cell r="A657" t="str">
            <v>clstdai-acu-omax-p90-sn0250</v>
          </cell>
          <cell r="B657" t="str">
            <v>Acuvue</v>
          </cell>
        </row>
        <row r="658">
          <cell r="A658" t="str">
            <v>clstdai-acu-mois-p30-sn0150</v>
          </cell>
          <cell r="B658" t="str">
            <v>Acuvue</v>
          </cell>
        </row>
        <row r="659">
          <cell r="A659" t="str">
            <v>cost3mo-lay-2022-p02-cosmo-gray-sn0400</v>
          </cell>
          <cell r="B659" t="str">
            <v>Layala</v>
          </cell>
        </row>
        <row r="660">
          <cell r="A660" t="str">
            <v>sw30107-bla-000253-0101-50</v>
          </cell>
          <cell r="B660" t="str">
            <v>BlackOut</v>
          </cell>
        </row>
        <row r="661">
          <cell r="A661" t="str">
            <v>clstdai-acu-dfna-p30-sn0075</v>
          </cell>
          <cell r="B661" t="str">
            <v>Acuvue</v>
          </cell>
        </row>
        <row r="662">
          <cell r="A662" t="str">
            <v>clstdai-dai-aqua-p90-sn0075</v>
          </cell>
          <cell r="B662" t="str">
            <v>Dailies</v>
          </cell>
        </row>
        <row r="663">
          <cell r="A663" t="str">
            <v>cost3mo-lay-2021-p02-polar-gray-sn0550</v>
          </cell>
          <cell r="B663" t="str">
            <v>Layala</v>
          </cell>
        </row>
        <row r="664">
          <cell r="A664" t="str">
            <v>clstdai-dai-tot1-p90-sn0150</v>
          </cell>
          <cell r="B664" t="str">
            <v>Dailies</v>
          </cell>
        </row>
        <row r="665">
          <cell r="A665" t="str">
            <v>sw62907-30s-000435-2907-54</v>
          </cell>
          <cell r="B665" t="str">
            <v>30Sunday</v>
          </cell>
        </row>
        <row r="666">
          <cell r="A666" t="str">
            <v>fw71218-spc-000514-1200-53</v>
          </cell>
          <cell r="B666" t="str">
            <v>Spectus</v>
          </cell>
        </row>
        <row r="667">
          <cell r="A667" t="str">
            <v>fm70118-spc-000508-0100-50</v>
          </cell>
          <cell r="B667" t="str">
            <v>Spectus</v>
          </cell>
        </row>
        <row r="668">
          <cell r="A668" t="str">
            <v>clstdai-lay-cont-p30-dazzle-brown-sn0250</v>
          </cell>
          <cell r="B668" t="str">
            <v>Layala</v>
          </cell>
        </row>
        <row r="669">
          <cell r="A669" t="str">
            <v>clstbiw-acu-0002-p06-sp0600</v>
          </cell>
          <cell r="B669" t="str">
            <v>Acuvue</v>
          </cell>
        </row>
        <row r="670">
          <cell r="A670" t="str">
            <v>bc20218-bab-000501-0218-46</v>
          </cell>
          <cell r="B670" t="str">
            <v>Babamio</v>
          </cell>
        </row>
        <row r="671">
          <cell r="A671" t="str">
            <v>sc20107-bab-000501-0107-46</v>
          </cell>
          <cell r="B671" t="str">
            <v>Babamio</v>
          </cell>
        </row>
        <row r="672">
          <cell r="A672" t="str">
            <v>sc20607-bab-000502-0607-50</v>
          </cell>
          <cell r="B672" t="str">
            <v>Babamio</v>
          </cell>
        </row>
        <row r="673">
          <cell r="A673" t="str">
            <v>clstdai-dai-aqua-p90-sn1450</v>
          </cell>
          <cell r="B673" t="str">
            <v>Dailies</v>
          </cell>
        </row>
        <row r="674">
          <cell r="A674" t="str">
            <v>sw102404-30s-000306-2404-49</v>
          </cell>
          <cell r="B674" t="str">
            <v>30Sunday</v>
          </cell>
        </row>
        <row r="675">
          <cell r="A675" t="str">
            <v>costmon-ama-2024-p02-barbie-brown-sp0000</v>
          </cell>
          <cell r="B675" t="str">
            <v>Amara</v>
          </cell>
        </row>
        <row r="676">
          <cell r="A676" t="str">
            <v>sw32404-bla-000308-2404-61</v>
          </cell>
          <cell r="B676" t="str">
            <v>BlackOut</v>
          </cell>
        </row>
        <row r="677">
          <cell r="A677" t="str">
            <v>sw100206-bla-000268-2906-56</v>
          </cell>
          <cell r="B677" t="str">
            <v>BlackOut</v>
          </cell>
        </row>
        <row r="678">
          <cell r="A678" t="str">
            <v>clstdai-sof-sdai-p30-sp0500</v>
          </cell>
          <cell r="B678" t="str">
            <v>Soflens</v>
          </cell>
        </row>
        <row r="679">
          <cell r="A679" t="str">
            <v>clstdai-dai-aqua-p30-sn0425</v>
          </cell>
          <cell r="B679" t="str">
            <v>Dailies</v>
          </cell>
        </row>
        <row r="680">
          <cell r="A680" t="str">
            <v>sw32604-30s-000239-2604-53</v>
          </cell>
          <cell r="B680" t="str">
            <v>30Sunday</v>
          </cell>
        </row>
        <row r="681">
          <cell r="A681" t="str">
            <v>cost3mo-lay-2020-p02-ash-gray-sn0350</v>
          </cell>
          <cell r="B681" t="str">
            <v>Layala</v>
          </cell>
        </row>
        <row r="682">
          <cell r="A682" t="str">
            <v>clstdai-acu-mois-p30-sn0600</v>
          </cell>
          <cell r="B682" t="str">
            <v>Acuvue</v>
          </cell>
        </row>
        <row r="683">
          <cell r="A683" t="str">
            <v>sw60107-bla-000382-0107-54</v>
          </cell>
          <cell r="B683" t="str">
            <v>BlackOut</v>
          </cell>
        </row>
        <row r="684">
          <cell r="A684" t="str">
            <v>costmon-ama-lens-p02-dark-sepia-sn0700</v>
          </cell>
          <cell r="B684" t="str">
            <v>Amara</v>
          </cell>
        </row>
        <row r="685">
          <cell r="A685" t="str">
            <v>clstdai-eve-pure-p90-sn0275</v>
          </cell>
          <cell r="B685" t="str">
            <v>Everva</v>
          </cell>
        </row>
        <row r="686">
          <cell r="A686" t="str">
            <v>clstdai-lay-cont-p10-dazzle-black-sn0200</v>
          </cell>
          <cell r="B686" t="str">
            <v>Layala</v>
          </cell>
        </row>
        <row r="687">
          <cell r="A687" t="str">
            <v>cltodai-acu-mois-p30-sn0025-cn0075-a020</v>
          </cell>
          <cell r="B687" t="str">
            <v>Acuvue</v>
          </cell>
        </row>
        <row r="688">
          <cell r="A688" t="str">
            <v>su21202-30s-000280-1202-51</v>
          </cell>
          <cell r="B688" t="str">
            <v>30Sunday</v>
          </cell>
        </row>
        <row r="689">
          <cell r="A689" t="str">
            <v>cost3mo-lay-2022-p02-crescent-gray-sn0225</v>
          </cell>
          <cell r="B689" t="str">
            <v>Layala</v>
          </cell>
        </row>
        <row r="690">
          <cell r="A690" t="str">
            <v>sw32404-30s-000265-2404-54</v>
          </cell>
          <cell r="B690" t="str">
            <v>30Sunday</v>
          </cell>
        </row>
        <row r="691">
          <cell r="A691" t="str">
            <v>clstdai-lay-cont-p10-dazzle-brown-sn0525</v>
          </cell>
          <cell r="B691" t="str">
            <v>Layala</v>
          </cell>
        </row>
        <row r="692">
          <cell r="A692" t="str">
            <v>cost3mo-lay-2021-p02-sunkiss-brown-sp0000</v>
          </cell>
          <cell r="B692" t="str">
            <v>Layala</v>
          </cell>
        </row>
        <row r="693">
          <cell r="A693" t="str">
            <v>su20404-30s-000280-0304-51</v>
          </cell>
          <cell r="B693" t="str">
            <v>30Sunday</v>
          </cell>
        </row>
        <row r="694">
          <cell r="A694" t="str">
            <v>fw70918-spc-000503-0900-53</v>
          </cell>
          <cell r="B694" t="str">
            <v>Spectus</v>
          </cell>
        </row>
        <row r="695">
          <cell r="A695" t="str">
            <v>cost3mo-lay-2021-p02-polar-gray-sn0150</v>
          </cell>
          <cell r="B695" t="str">
            <v>Layala</v>
          </cell>
        </row>
        <row r="696">
          <cell r="A696" t="str">
            <v>cost3mo-lay-2022-p02-avena-brown-sn0300</v>
          </cell>
          <cell r="B696" t="str">
            <v>Layala</v>
          </cell>
        </row>
        <row r="697">
          <cell r="A697" t="str">
            <v>costdai-acu-dffr-p30-hazel-sn0600</v>
          </cell>
          <cell r="B697" t="str">
            <v>Acuvue</v>
          </cell>
        </row>
        <row r="698">
          <cell r="A698" t="str">
            <v>costdai-acu-dffr-p10-grayzel-sn0375</v>
          </cell>
          <cell r="B698" t="str">
            <v>Acuvue</v>
          </cell>
        </row>
        <row r="699">
          <cell r="A699" t="str">
            <v>clstdai-eve-elit-p30-sp0475</v>
          </cell>
          <cell r="B699" t="str">
            <v>Everva</v>
          </cell>
        </row>
        <row r="700">
          <cell r="A700" t="str">
            <v>fu20218-spc-000743-0218-49</v>
          </cell>
          <cell r="B700" t="str">
            <v>Spectus</v>
          </cell>
        </row>
        <row r="701">
          <cell r="A701" t="str">
            <v>clstmon-eve-prom-p06-sn0325</v>
          </cell>
          <cell r="B701" t="str">
            <v>Everva</v>
          </cell>
        </row>
        <row r="702">
          <cell r="A702" t="str">
            <v>sc52006-bab-000503-2006-46</v>
          </cell>
          <cell r="B702" t="str">
            <v>Babamio</v>
          </cell>
        </row>
        <row r="703">
          <cell r="A703" t="str">
            <v>cost3mo-lay-lens-p02-chocolate-brown-sn0400</v>
          </cell>
          <cell r="B703" t="str">
            <v>Layala</v>
          </cell>
        </row>
        <row r="704">
          <cell r="A704" t="str">
            <v>clstdai-acu-oasy-p30-sn0275</v>
          </cell>
          <cell r="B704" t="str">
            <v>Acuvue</v>
          </cell>
        </row>
        <row r="705">
          <cell r="A705" t="str">
            <v>costdai-ama-dail-p10-sugar-sn0325</v>
          </cell>
          <cell r="B705" t="str">
            <v>Amara</v>
          </cell>
        </row>
        <row r="706">
          <cell r="A706" t="str">
            <v>clstdai-eve-elit-p30-sn0300</v>
          </cell>
          <cell r="B706" t="str">
            <v>Everva</v>
          </cell>
        </row>
        <row r="707">
          <cell r="A707" t="str">
            <v>fw72918-spc-000823-2918-50</v>
          </cell>
          <cell r="B707" t="str">
            <v>Spectus</v>
          </cell>
        </row>
        <row r="708">
          <cell r="A708" t="str">
            <v>clstdai-lay-cont-p30-dazzle-brown-sn0900</v>
          </cell>
          <cell r="B708" t="str">
            <v>Layala</v>
          </cell>
        </row>
        <row r="709">
          <cell r="A709" t="str">
            <v>costdai-ama-dail-p10-amber-sn0650</v>
          </cell>
          <cell r="B709" t="str">
            <v>Amara</v>
          </cell>
        </row>
        <row r="710">
          <cell r="A710" t="str">
            <v>clstbiw-acu-oasy-p18-sn0325</v>
          </cell>
          <cell r="B710" t="str">
            <v>Acuvue</v>
          </cell>
        </row>
        <row r="711">
          <cell r="A711" t="str">
            <v>cltobiw-acu-oasy-p06-sn0900-cn0075-a010</v>
          </cell>
          <cell r="B711" t="str">
            <v>Acuvue</v>
          </cell>
        </row>
        <row r="712">
          <cell r="A712" t="str">
            <v>cost3mo-lay-2022-p02-cosmo-gray-sn0250</v>
          </cell>
          <cell r="B712" t="str">
            <v>Layala</v>
          </cell>
        </row>
        <row r="713">
          <cell r="A713" t="str">
            <v>saccase-30s-blk-red</v>
          </cell>
          <cell r="B713" t="str">
            <v>30Sunday</v>
          </cell>
        </row>
        <row r="714">
          <cell r="A714" t="str">
            <v>su20404-30s-000206-0404-52</v>
          </cell>
          <cell r="B714" t="str">
            <v>30Sunday</v>
          </cell>
        </row>
        <row r="715">
          <cell r="A715" t="str">
            <v>clstdai-lay-cont-p60-dazzle-brown-sn0175</v>
          </cell>
          <cell r="B715" t="str">
            <v>Layala</v>
          </cell>
        </row>
        <row r="716">
          <cell r="A716" t="str">
            <v>cost3mo-lay-2021-p02-polar-gray-sn0375</v>
          </cell>
          <cell r="B716" t="str">
            <v>Layala</v>
          </cell>
        </row>
        <row r="717">
          <cell r="A717" t="str">
            <v>su50606-30s-000281-2906-55</v>
          </cell>
          <cell r="B717" t="str">
            <v>30Sunday</v>
          </cell>
        </row>
        <row r="718">
          <cell r="A718" t="str">
            <v>cost3mo-lay-2022-p02-sage-gray-sn0550</v>
          </cell>
          <cell r="B718" t="str">
            <v>Layala</v>
          </cell>
        </row>
        <row r="719">
          <cell r="A719" t="str">
            <v>su100104-30s-000501-0104-52</v>
          </cell>
          <cell r="B719" t="str">
            <v>30Sunday</v>
          </cell>
        </row>
        <row r="720">
          <cell r="A720" t="str">
            <v>clstdai-acu-omax-p30-sp0475</v>
          </cell>
          <cell r="B720" t="str">
            <v>Acuvue</v>
          </cell>
        </row>
        <row r="721">
          <cell r="A721" t="str">
            <v>cost3mo-lay-2024-p02-moon-gray-sn0500</v>
          </cell>
          <cell r="B721" t="str">
            <v>Layala</v>
          </cell>
        </row>
        <row r="722">
          <cell r="A722" t="str">
            <v>clstdai-dai-aqua-p30-sp0075</v>
          </cell>
          <cell r="B722" t="str">
            <v>Dailies</v>
          </cell>
        </row>
        <row r="723">
          <cell r="A723" t="str">
            <v>cost3mo-lay-2024-p02-moon-gray-sn0375</v>
          </cell>
          <cell r="B723" t="str">
            <v>Layala</v>
          </cell>
        </row>
        <row r="724">
          <cell r="A724" t="str">
            <v>clstdai-eve-pure-p90-sn0325</v>
          </cell>
          <cell r="B724" t="str">
            <v>Everva</v>
          </cell>
        </row>
        <row r="725">
          <cell r="A725" t="str">
            <v>sacchan-30s-chain142-blk-sky-black</v>
          </cell>
          <cell r="B725" t="str">
            <v>30Sunday</v>
          </cell>
        </row>
        <row r="726">
          <cell r="A726" t="str">
            <v>sw72404-30s-000267-2404-54</v>
          </cell>
          <cell r="B726" t="str">
            <v>30Sunday</v>
          </cell>
        </row>
        <row r="727">
          <cell r="A727" t="str">
            <v>sm10404-30s-000253-0404-57</v>
          </cell>
          <cell r="B727" t="str">
            <v>30Sunday</v>
          </cell>
        </row>
        <row r="728">
          <cell r="A728" t="str">
            <v>clstdai-sof-sdai-p30-sn0200</v>
          </cell>
          <cell r="B728" t="str">
            <v>Soflens</v>
          </cell>
        </row>
        <row r="729">
          <cell r="A729" t="str">
            <v>costdai-acu-dffr-p10-grayzel-sn0400</v>
          </cell>
          <cell r="B729" t="str">
            <v>Acuvue</v>
          </cell>
        </row>
        <row r="730">
          <cell r="A730" t="str">
            <v>cost3mo-lay-2022-p02-sweet-hazel-sn0350</v>
          </cell>
          <cell r="B730" t="str">
            <v>Layala</v>
          </cell>
        </row>
        <row r="731">
          <cell r="A731" t="str">
            <v>clstdai-acu-dfvi-p60-sn0700</v>
          </cell>
          <cell r="B731" t="str">
            <v>Acuvue</v>
          </cell>
        </row>
        <row r="732">
          <cell r="A732" t="str">
            <v>clstdai-lay-cont-p30-dazzle-brown-sn0175</v>
          </cell>
          <cell r="B732" t="str">
            <v>Layala</v>
          </cell>
        </row>
        <row r="733">
          <cell r="A733" t="str">
            <v>clstdai-acu-oasy-p90-sn0400</v>
          </cell>
          <cell r="B733" t="str">
            <v>Acuvue</v>
          </cell>
        </row>
        <row r="734">
          <cell r="A734" t="str">
            <v>sm60102-30s-000235-0102-46</v>
          </cell>
          <cell r="B734" t="str">
            <v>30Sunday</v>
          </cell>
        </row>
        <row r="735">
          <cell r="A735" t="str">
            <v>clstdai-acu-oasy-p60-sn1200</v>
          </cell>
          <cell r="B735" t="str">
            <v>Acuvue</v>
          </cell>
        </row>
        <row r="736">
          <cell r="A736" t="str">
            <v>clstdai-acu-mois-p90-sn1150</v>
          </cell>
          <cell r="B736" t="str">
            <v>Acuvue</v>
          </cell>
        </row>
        <row r="737">
          <cell r="A737" t="str">
            <v>clstdai-acu-oasy-p90-sn0550</v>
          </cell>
          <cell r="B737" t="str">
            <v>Acuvue</v>
          </cell>
        </row>
        <row r="738">
          <cell r="A738" t="str">
            <v>clstdai-dai-aqua-p30-sp0800</v>
          </cell>
          <cell r="B738" t="str">
            <v>Dailies</v>
          </cell>
        </row>
        <row r="739">
          <cell r="A739" t="str">
            <v>cost3mo-lay-lens-p02-platinum-gray-sn0275</v>
          </cell>
          <cell r="B739" t="str">
            <v>Layala</v>
          </cell>
        </row>
        <row r="740">
          <cell r="A740" t="str">
            <v>clstdai-acu-dfrb-p90-sn0525</v>
          </cell>
          <cell r="B740" t="str">
            <v>Acuvue</v>
          </cell>
        </row>
        <row r="741">
          <cell r="A741" t="str">
            <v>clstbiw-acu-0002-p06-sn0700</v>
          </cell>
          <cell r="B741" t="str">
            <v>Acuvue</v>
          </cell>
        </row>
        <row r="742">
          <cell r="A742" t="str">
            <v>clstdai-acu-mois-p90-sp0175</v>
          </cell>
          <cell r="B742" t="str">
            <v>Acuvue</v>
          </cell>
        </row>
        <row r="743">
          <cell r="A743" t="str">
            <v>sw51210-30s-000110-1210-53</v>
          </cell>
          <cell r="B743" t="str">
            <v>30Sunday</v>
          </cell>
        </row>
        <row r="744">
          <cell r="A744" t="str">
            <v>cost3mo-lay-lens-p02-ocean-blue-sn0325</v>
          </cell>
          <cell r="B744" t="str">
            <v>Layala</v>
          </cell>
        </row>
        <row r="745">
          <cell r="A745" t="str">
            <v>clstmon-bio-biof-p06-sn0750</v>
          </cell>
          <cell r="B745" t="str">
            <v>Biofinity</v>
          </cell>
        </row>
        <row r="746">
          <cell r="A746" t="str">
            <v>clstdai-acu-omax-p90-sp0800</v>
          </cell>
          <cell r="B746" t="str">
            <v>Acuvue</v>
          </cell>
        </row>
        <row r="747">
          <cell r="A747" t="str">
            <v>sacchan-30s-chain132-grn-zen-green</v>
          </cell>
          <cell r="B747" t="str">
            <v>30Sunday</v>
          </cell>
        </row>
        <row r="748">
          <cell r="A748" t="str">
            <v>costmon-ama-lens-p02-dark-sepia-sn0100</v>
          </cell>
          <cell r="B748" t="str">
            <v>Amara</v>
          </cell>
        </row>
        <row r="749">
          <cell r="A749" t="str">
            <v>costdai-acu-dffr-p30-blue-sn0200</v>
          </cell>
          <cell r="B749" t="str">
            <v>Acuvue</v>
          </cell>
        </row>
        <row r="750">
          <cell r="A750" t="str">
            <v>costdai-acu-dffr-p10-green-sn0750</v>
          </cell>
          <cell r="B750" t="str">
            <v>Acuvue</v>
          </cell>
        </row>
        <row r="751">
          <cell r="A751" t="str">
            <v>clstdai-dai-aqua-p90-sp0300</v>
          </cell>
          <cell r="B751" t="str">
            <v>Dailies</v>
          </cell>
        </row>
        <row r="752">
          <cell r="A752" t="str">
            <v>clstdai-lay-cont-p60-dazzle-black-sn0400</v>
          </cell>
          <cell r="B752" t="str">
            <v>Layala</v>
          </cell>
        </row>
        <row r="753">
          <cell r="A753" t="str">
            <v>sw52904-30s-000225-2904-59</v>
          </cell>
          <cell r="B753" t="str">
            <v>30Sunday</v>
          </cell>
        </row>
        <row r="754">
          <cell r="A754" t="str">
            <v>fw22618-spc-000532-2600-50</v>
          </cell>
          <cell r="B754" t="str">
            <v>Spectus</v>
          </cell>
        </row>
        <row r="755">
          <cell r="A755" t="str">
            <v>costdai-ama-dail-p10-honey-sn0175</v>
          </cell>
          <cell r="B755" t="str">
            <v>Amara</v>
          </cell>
        </row>
        <row r="756">
          <cell r="A756" t="str">
            <v>sw32904-bla-000218-2309-57</v>
          </cell>
          <cell r="B756" t="str">
            <v>BlackOut</v>
          </cell>
        </row>
        <row r="757">
          <cell r="A757" t="str">
            <v>cost3mo-lay-2022-p02-cosmo-gray-sn0075</v>
          </cell>
          <cell r="B757" t="str">
            <v>Layala</v>
          </cell>
        </row>
        <row r="758">
          <cell r="A758" t="str">
            <v>cost3mo-lay-2022-p02-avena-brown-sn0150</v>
          </cell>
          <cell r="B758" t="str">
            <v>Layala</v>
          </cell>
        </row>
        <row r="759">
          <cell r="A759" t="str">
            <v>clstdai-lay-cont-p30-dazzle-black-sn0050</v>
          </cell>
          <cell r="B759" t="str">
            <v>Layala</v>
          </cell>
        </row>
        <row r="760">
          <cell r="A760" t="str">
            <v>sw10107-bla-000213-0101-61</v>
          </cell>
          <cell r="B760" t="str">
            <v>BlackOut</v>
          </cell>
        </row>
        <row r="761">
          <cell r="A761" t="str">
            <v>clstbiw-acu-cle-p06-sn0550</v>
          </cell>
          <cell r="B761" t="str">
            <v>Acuvue</v>
          </cell>
        </row>
        <row r="762">
          <cell r="A762" t="str">
            <v>clstdai-dai-aqua-p30-sn0800</v>
          </cell>
          <cell r="B762" t="str">
            <v>Dailies</v>
          </cell>
        </row>
        <row r="763">
          <cell r="A763" t="str">
            <v>clstdai-bme-1day-p30-sn0575</v>
          </cell>
          <cell r="B763" t="str">
            <v>Biomedics</v>
          </cell>
        </row>
        <row r="764">
          <cell r="A764" t="str">
            <v>clstdai-acu-dfrb-p90-sn0550</v>
          </cell>
          <cell r="B764" t="str">
            <v>Acuvue</v>
          </cell>
        </row>
        <row r="765">
          <cell r="A765" t="str">
            <v>sw50909-30s-000118-0909-56</v>
          </cell>
          <cell r="B765" t="str">
            <v>30Sunday</v>
          </cell>
        </row>
        <row r="766">
          <cell r="A766" t="str">
            <v>clstdai-eve-elit-p90-sn0525</v>
          </cell>
          <cell r="B766" t="str">
            <v>Everva</v>
          </cell>
        </row>
        <row r="767">
          <cell r="A767" t="str">
            <v>cost3mo-lay-2020-p02-hazel-brown-sn0200</v>
          </cell>
          <cell r="B767" t="str">
            <v>Layala</v>
          </cell>
        </row>
        <row r="768">
          <cell r="A768" t="str">
            <v>clstdai-acu-omax-p30-sn0800</v>
          </cell>
          <cell r="B768" t="str">
            <v>Acuvue</v>
          </cell>
        </row>
        <row r="769">
          <cell r="A769" t="str">
            <v>clstbiw-acu-oasy-p06-sp0600</v>
          </cell>
          <cell r="B769" t="str">
            <v>Acuvue</v>
          </cell>
        </row>
        <row r="770">
          <cell r="A770" t="str">
            <v>ru61118-spc-000790-1118-42-sp0300</v>
          </cell>
          <cell r="B770" t="str">
            <v>Spectus</v>
          </cell>
        </row>
        <row r="771">
          <cell r="A771" t="str">
            <v>clstdai-acu-oasy-p90-sn0475</v>
          </cell>
          <cell r="B771" t="str">
            <v>Acuvue</v>
          </cell>
        </row>
        <row r="772">
          <cell r="A772" t="str">
            <v>sw100204-bla-000267-0204-56</v>
          </cell>
          <cell r="B772" t="str">
            <v>BlackOut</v>
          </cell>
        </row>
        <row r="773">
          <cell r="A773" t="str">
            <v>clstdai-acu-mois-p120-sn0225</v>
          </cell>
          <cell r="B773" t="str">
            <v>Acuvue</v>
          </cell>
        </row>
        <row r="774">
          <cell r="A774" t="str">
            <v>clstbiw-acu-oasy-p18-sn0650</v>
          </cell>
          <cell r="B774" t="str">
            <v>Acuvue</v>
          </cell>
        </row>
        <row r="775">
          <cell r="A775" t="str">
            <v>sw31202-bla-000203-1202-56</v>
          </cell>
          <cell r="B775" t="str">
            <v>BlackOut</v>
          </cell>
        </row>
        <row r="776">
          <cell r="A776" t="str">
            <v>cost3mo-lay-lens-p02-chocolate-brown-sn0300</v>
          </cell>
          <cell r="B776" t="str">
            <v>Layala</v>
          </cell>
        </row>
        <row r="777">
          <cell r="A777" t="str">
            <v>clstbiw-acu-cle-p06-sn0350</v>
          </cell>
          <cell r="B777" t="str">
            <v>Acuvue</v>
          </cell>
        </row>
        <row r="778">
          <cell r="A778" t="str">
            <v>sw50101-bla-000236-0101-56</v>
          </cell>
          <cell r="B778" t="str">
            <v>BlackOut</v>
          </cell>
        </row>
        <row r="779">
          <cell r="A779" t="str">
            <v>clstdai-eve-elit-p90-sn0175</v>
          </cell>
          <cell r="B779" t="str">
            <v>Everva</v>
          </cell>
        </row>
        <row r="780">
          <cell r="A780" t="str">
            <v>clstbiw-acu-cle-p06-sn0275</v>
          </cell>
          <cell r="B780" t="str">
            <v>Acuvue</v>
          </cell>
        </row>
        <row r="781">
          <cell r="A781" t="str">
            <v>cost3mo-cel-natu-p01-hazelwood-sp0350</v>
          </cell>
          <cell r="B781" t="str">
            <v>Celena</v>
          </cell>
        </row>
        <row r="782">
          <cell r="A782" t="str">
            <v>clstdai-dai-tot1-p90-sp0325</v>
          </cell>
          <cell r="B782" t="str">
            <v>Dailies</v>
          </cell>
        </row>
        <row r="783">
          <cell r="A783" t="str">
            <v>clstbiw-acu-cle-p06-sp0550</v>
          </cell>
          <cell r="B783" t="str">
            <v>Acuvue</v>
          </cell>
        </row>
        <row r="784">
          <cell r="A784" t="str">
            <v>costdai-acu-dffr-p30-rose-sn0150</v>
          </cell>
          <cell r="B784" t="str">
            <v>Acuvue</v>
          </cell>
        </row>
        <row r="785">
          <cell r="A785" t="str">
            <v>clstdai-acu-omax-p90-sp0275</v>
          </cell>
          <cell r="B785" t="str">
            <v>Acuvue</v>
          </cell>
        </row>
        <row r="786">
          <cell r="A786" t="str">
            <v>cost3mo-lay-2021-p02-sunkiss-brown-sn0400</v>
          </cell>
          <cell r="B786" t="str">
            <v>Layala</v>
          </cell>
        </row>
        <row r="787">
          <cell r="A787" t="str">
            <v>clstdai-acu-dfvi-p30-sn0525</v>
          </cell>
          <cell r="B787" t="str">
            <v>Acuvue</v>
          </cell>
        </row>
        <row r="788">
          <cell r="A788" t="str">
            <v>clstdai-dai-tot1-p30-sp0200</v>
          </cell>
          <cell r="B788" t="str">
            <v>Dailies</v>
          </cell>
        </row>
        <row r="789">
          <cell r="A789" t="str">
            <v>ru40118-spc-000850-0118-49-sp0200</v>
          </cell>
          <cell r="B789" t="str">
            <v>Spectus</v>
          </cell>
        </row>
        <row r="790">
          <cell r="A790" t="str">
            <v>cost3mo-lay-lens-p02-ocean-blue-sp0000</v>
          </cell>
          <cell r="B790" t="str">
            <v>Layala</v>
          </cell>
        </row>
        <row r="791">
          <cell r="A791" t="str">
            <v>clstdai-eve-elit-p90-sn0850</v>
          </cell>
          <cell r="B791" t="str">
            <v>Everva</v>
          </cell>
        </row>
        <row r="792">
          <cell r="A792" t="str">
            <v>costmon-ama-2024-p02-matcha-sn0600</v>
          </cell>
          <cell r="B792" t="str">
            <v>Amara</v>
          </cell>
        </row>
        <row r="793">
          <cell r="A793" t="str">
            <v>clstdai-acu-dfvi-p90-sn0850</v>
          </cell>
          <cell r="B793" t="str">
            <v>Acuvue</v>
          </cell>
        </row>
        <row r="794">
          <cell r="A794" t="str">
            <v>clstdai-acu-dfrb-p90-sn0850</v>
          </cell>
          <cell r="B794" t="str">
            <v>Acuvue</v>
          </cell>
        </row>
        <row r="795">
          <cell r="A795" t="str">
            <v>clstdai-acu-omax-p30-sn0475</v>
          </cell>
          <cell r="B795" t="str">
            <v>Acuvue</v>
          </cell>
        </row>
        <row r="796">
          <cell r="A796" t="str">
            <v>clstdai-sof-sdai-p90-sn0300</v>
          </cell>
          <cell r="B796" t="str">
            <v>Soflens</v>
          </cell>
        </row>
        <row r="797">
          <cell r="A797" t="str">
            <v>clstdai-lay-cont-p30-dazzle-brown-sn0400</v>
          </cell>
          <cell r="B797" t="str">
            <v>Layala</v>
          </cell>
        </row>
        <row r="798">
          <cell r="A798" t="str">
            <v>clstdai-acu-mois-p90-sn0425</v>
          </cell>
          <cell r="B798" t="str">
            <v>Acuvue</v>
          </cell>
        </row>
        <row r="799">
          <cell r="A799" t="str">
            <v>clstdai-eve-elit-p90-sn1000</v>
          </cell>
          <cell r="B799" t="str">
            <v>Everva</v>
          </cell>
        </row>
        <row r="800">
          <cell r="A800" t="str">
            <v>saccase-30s-case101-pnk-bge-blush-pink</v>
          </cell>
          <cell r="B800" t="str">
            <v>30Sunday</v>
          </cell>
        </row>
        <row r="801">
          <cell r="A801" t="str">
            <v>cost3mo-lay-lens-p02-platinum-gray-sp0000</v>
          </cell>
          <cell r="B801" t="str">
            <v>Layala</v>
          </cell>
        </row>
        <row r="802">
          <cell r="A802" t="str">
            <v>sw50707-bla-000101-0707-62</v>
          </cell>
          <cell r="B802" t="str">
            <v>BlackOut</v>
          </cell>
        </row>
        <row r="803">
          <cell r="A803" t="str">
            <v>clstmon-ava-avai-p06-sn0600</v>
          </cell>
          <cell r="B803" t="str">
            <v>Avaira</v>
          </cell>
        </row>
        <row r="804">
          <cell r="A804" t="str">
            <v>su50504-bla-000249-0504-51</v>
          </cell>
          <cell r="B804" t="str">
            <v>BlackOut</v>
          </cell>
        </row>
        <row r="805">
          <cell r="A805" t="str">
            <v>clstdai-eve-elit-p90-sp0275</v>
          </cell>
          <cell r="B805" t="str">
            <v>Everva</v>
          </cell>
        </row>
        <row r="806">
          <cell r="A806" t="str">
            <v>clstmon-eve-prom-p06-sn0050</v>
          </cell>
          <cell r="B806" t="str">
            <v>Everva</v>
          </cell>
        </row>
        <row r="807">
          <cell r="A807" t="str">
            <v>clstdai-acu-dfvi-p30-sn0225</v>
          </cell>
          <cell r="B807" t="str">
            <v>Acuvue</v>
          </cell>
        </row>
        <row r="808">
          <cell r="A808" t="str">
            <v>fw30918-spc-000634-0918-53</v>
          </cell>
          <cell r="B808" t="str">
            <v>Spectus</v>
          </cell>
        </row>
        <row r="809">
          <cell r="A809" t="str">
            <v>su50101-30s-000231-0101-62</v>
          </cell>
          <cell r="B809" t="str">
            <v>30Sunday</v>
          </cell>
        </row>
        <row r="810">
          <cell r="A810" t="str">
            <v>sw40404-bla-000261-0404-50</v>
          </cell>
          <cell r="B810" t="str">
            <v>BlackOut</v>
          </cell>
        </row>
        <row r="811">
          <cell r="A811" t="str">
            <v>sacchan-30s-chain122-gld-isla-gold</v>
          </cell>
          <cell r="B811" t="str">
            <v>30Sunday</v>
          </cell>
        </row>
        <row r="812">
          <cell r="A812" t="str">
            <v>fu20718-spc-000302-0700-52</v>
          </cell>
          <cell r="B812" t="str">
            <v>Spectus</v>
          </cell>
        </row>
        <row r="813">
          <cell r="A813" t="str">
            <v>sunglasses-30Sundays-30s-000451-0606</v>
          </cell>
          <cell r="B813" t="str">
            <v>30Sunday</v>
          </cell>
        </row>
        <row r="814">
          <cell r="A814" t="str">
            <v>sm50402-30s-000217-0404-54</v>
          </cell>
          <cell r="B814" t="str">
            <v>30Sunday</v>
          </cell>
        </row>
        <row r="815">
          <cell r="A815" t="str">
            <v>sw32302-30s-000263-2302-56</v>
          </cell>
          <cell r="B815" t="str">
            <v>30Sunday</v>
          </cell>
        </row>
        <row r="816">
          <cell r="A816" t="str">
            <v>clstdai-acu-dfna-p90-sn0250</v>
          </cell>
          <cell r="B816" t="str">
            <v>Acuvue</v>
          </cell>
        </row>
        <row r="817">
          <cell r="A817" t="str">
            <v>clstdai-acu-oasy-p120-sn0350</v>
          </cell>
          <cell r="B817" t="str">
            <v>Acuvue</v>
          </cell>
        </row>
        <row r="818">
          <cell r="A818" t="str">
            <v>clstmon-bme-bm55-p06-sn0525</v>
          </cell>
          <cell r="B818" t="str">
            <v>Biomedics</v>
          </cell>
        </row>
        <row r="819">
          <cell r="A819" t="str">
            <v>clstmon-ava-avai-p06-sn0500</v>
          </cell>
          <cell r="B819" t="str">
            <v>Avaira</v>
          </cell>
        </row>
        <row r="820">
          <cell r="A820" t="str">
            <v>cost3mo-lay-2021-p02-stardust-gray-sn0400</v>
          </cell>
          <cell r="B820" t="str">
            <v>Layala</v>
          </cell>
        </row>
        <row r="821">
          <cell r="A821" t="str">
            <v>sm20507-30s-000207-0707-52</v>
          </cell>
          <cell r="B821" t="str">
            <v>30Sunday</v>
          </cell>
        </row>
        <row r="822">
          <cell r="A822" t="str">
            <v>clstdai-acu-omax-p90-sn0325</v>
          </cell>
          <cell r="B822" t="str">
            <v>Acuvue</v>
          </cell>
        </row>
        <row r="823">
          <cell r="A823" t="str">
            <v>sw31304-30s-000122-1304-53</v>
          </cell>
          <cell r="B823" t="str">
            <v>30Sunday</v>
          </cell>
        </row>
        <row r="824">
          <cell r="A824" t="str">
            <v>cost3mo-lay-lens-p02-golden-brown-sn0250</v>
          </cell>
          <cell r="B824" t="str">
            <v>Layala</v>
          </cell>
        </row>
        <row r="825">
          <cell r="A825" t="str">
            <v>fu50118-spc-000751-0118-54</v>
          </cell>
          <cell r="B825" t="str">
            <v>Spectus</v>
          </cell>
        </row>
        <row r="826">
          <cell r="A826" t="str">
            <v>clstdai-acu-oasy-p30-sp0475</v>
          </cell>
          <cell r="B826" t="str">
            <v>Acuvue</v>
          </cell>
        </row>
        <row r="827">
          <cell r="A827" t="str">
            <v>sw20404-bla-000224-0404-51</v>
          </cell>
          <cell r="B827" t="str">
            <v>BlackOut</v>
          </cell>
        </row>
        <row r="828">
          <cell r="A828" t="str">
            <v>clstdai-btr-oned-p90-sp0350</v>
          </cell>
          <cell r="B828" t="str">
            <v>Biotrue</v>
          </cell>
        </row>
        <row r="829">
          <cell r="A829" t="str">
            <v>fc30818-bab-00558-0818d-45</v>
          </cell>
          <cell r="B829" t="str">
            <v>Babamio</v>
          </cell>
        </row>
        <row r="830">
          <cell r="A830" t="str">
            <v>cost3mo-lay-2021-p02-sunkiss-brown-sn0500</v>
          </cell>
          <cell r="B830" t="str">
            <v>Layala</v>
          </cell>
        </row>
        <row r="831">
          <cell r="A831" t="str">
            <v>bc20218-bab-000502-2818-50</v>
          </cell>
          <cell r="B831" t="str">
            <v>Babamio</v>
          </cell>
        </row>
        <row r="832">
          <cell r="A832" t="str">
            <v>clstdai-acu-dfrb-p30-sn0075</v>
          </cell>
          <cell r="B832" t="str">
            <v>Acuvue</v>
          </cell>
        </row>
        <row r="833">
          <cell r="A833" t="str">
            <v>cost3mo-lay-2025-p02-emerald-glow-sn0300</v>
          </cell>
          <cell r="B833" t="str">
            <v>Layala</v>
          </cell>
        </row>
        <row r="834">
          <cell r="A834" t="str">
            <v>cost3mo-lay-2020-p02-ash-gray-sn0125</v>
          </cell>
          <cell r="B834" t="str">
            <v>Layala</v>
          </cell>
        </row>
        <row r="835">
          <cell r="A835" t="str">
            <v>costdai-acu-dffr-p10-honey-sn0175</v>
          </cell>
          <cell r="B835" t="str">
            <v>Acuvue</v>
          </cell>
        </row>
        <row r="836">
          <cell r="A836" t="str">
            <v>sm100707-30s-00439-0707p-50</v>
          </cell>
          <cell r="B836" t="str">
            <v>30Sunday</v>
          </cell>
        </row>
        <row r="837">
          <cell r="A837" t="str">
            <v>clstdai-lay-cont-p60-dazzle-brown-sn0650</v>
          </cell>
          <cell r="B837" t="str">
            <v>Layala</v>
          </cell>
        </row>
        <row r="838">
          <cell r="A838" t="str">
            <v>cost3mo-cel-natu-p01-forest-green-sp0350</v>
          </cell>
          <cell r="B838" t="str">
            <v>Celena</v>
          </cell>
        </row>
        <row r="839">
          <cell r="A839" t="str">
            <v>cost3mo-lay-2021-p02-sunkiss-brown-sn0525</v>
          </cell>
          <cell r="B839" t="str">
            <v>Layala</v>
          </cell>
        </row>
        <row r="840">
          <cell r="A840" t="str">
            <v>clstbiw-acu-oasy-p06-sn0425</v>
          </cell>
          <cell r="B840" t="str">
            <v>Acuvue</v>
          </cell>
        </row>
        <row r="841">
          <cell r="A841" t="str">
            <v>cost3mo-lay-lens-p02-cloudy-gray-sn0450</v>
          </cell>
          <cell r="B841" t="str">
            <v>Layala</v>
          </cell>
        </row>
        <row r="842">
          <cell r="A842" t="str">
            <v>clstdai-acu-oasy-p30-sp0525</v>
          </cell>
          <cell r="B842" t="str">
            <v>Acuvue</v>
          </cell>
        </row>
        <row r="843">
          <cell r="A843" t="str">
            <v>su100107-bla-000313-0107-56</v>
          </cell>
          <cell r="B843" t="str">
            <v>BlackOut</v>
          </cell>
        </row>
        <row r="844">
          <cell r="A844" t="str">
            <v>costdai-acu-dffr-p10-green-sn0550</v>
          </cell>
          <cell r="B844" t="str">
            <v>Acuvue</v>
          </cell>
        </row>
        <row r="845">
          <cell r="A845" t="str">
            <v>costmon-ama-lens-p02-dark-sepia-sn0075</v>
          </cell>
          <cell r="B845" t="str">
            <v>Amara</v>
          </cell>
        </row>
        <row r="846">
          <cell r="A846" t="str">
            <v>cost3mo-lay-lens-p02-platinum-gray-sn0550</v>
          </cell>
          <cell r="B846" t="str">
            <v>Layala</v>
          </cell>
        </row>
        <row r="847">
          <cell r="A847" t="str">
            <v>costmon-ama-2020-p02-charcoal-gray-sn0800</v>
          </cell>
          <cell r="B847" t="str">
            <v>Amara</v>
          </cell>
        </row>
        <row r="848">
          <cell r="A848" t="str">
            <v>clstdai-lay-cont-p60-dazzle-black-sn0550</v>
          </cell>
          <cell r="B848" t="str">
            <v>Layala</v>
          </cell>
        </row>
        <row r="849">
          <cell r="A849" t="str">
            <v>clstbiw-acu-oasy-p06-sp0250</v>
          </cell>
          <cell r="B849" t="str">
            <v>Acuvue</v>
          </cell>
        </row>
        <row r="850">
          <cell r="A850" t="str">
            <v>clstdai-lay-cont-p90-dazzle-brown-sn0200</v>
          </cell>
          <cell r="B850" t="str">
            <v>Layala</v>
          </cell>
        </row>
        <row r="851">
          <cell r="A851" t="str">
            <v>cost3mo-lay-2021-p02-stardust-gray-sn0175</v>
          </cell>
          <cell r="B851" t="str">
            <v>Layala</v>
          </cell>
        </row>
        <row r="852">
          <cell r="A852" t="str">
            <v>sw31207-bla-000204-1207-66</v>
          </cell>
          <cell r="B852" t="str">
            <v>BlackOut</v>
          </cell>
        </row>
        <row r="853">
          <cell r="A853" t="str">
            <v>clstdai-acu-dfna-p30-sn0425</v>
          </cell>
          <cell r="B853" t="str">
            <v>Acuvue</v>
          </cell>
        </row>
        <row r="854">
          <cell r="A854" t="str">
            <v>clstdai-dai-tot1-p90-sn0525</v>
          </cell>
          <cell r="B854" t="str">
            <v>Dailies</v>
          </cell>
        </row>
        <row r="855">
          <cell r="A855" t="str">
            <v>sc20907-bab-000501-0907-46</v>
          </cell>
          <cell r="B855" t="str">
            <v>Babamio</v>
          </cell>
        </row>
        <row r="856">
          <cell r="A856" t="str">
            <v>costdai-acu-dffr-p10-grayzel-sn0100</v>
          </cell>
          <cell r="B856" t="str">
            <v>Acuvue</v>
          </cell>
        </row>
        <row r="857">
          <cell r="A857" t="str">
            <v>clstdai-sof-sdai-p90-sp0650</v>
          </cell>
          <cell r="B857" t="str">
            <v>Soflens</v>
          </cell>
        </row>
        <row r="858">
          <cell r="A858" t="str">
            <v>sw60506-bla-000377-0506-52</v>
          </cell>
          <cell r="B858" t="str">
            <v>BlackOut</v>
          </cell>
        </row>
        <row r="859">
          <cell r="A859" t="str">
            <v>cost3mo-lay-2021-p02-skye-blue-sn0375</v>
          </cell>
          <cell r="B859" t="str">
            <v>Layala</v>
          </cell>
        </row>
        <row r="860">
          <cell r="A860" t="str">
            <v>costmon-ama-2020-p02-pure-hazel-sn0325</v>
          </cell>
          <cell r="B860" t="str">
            <v>Amara</v>
          </cell>
        </row>
        <row r="861">
          <cell r="A861" t="str">
            <v>clstmon-eve-prom-p06-sn0700</v>
          </cell>
          <cell r="B861" t="str">
            <v>Everva</v>
          </cell>
        </row>
        <row r="862">
          <cell r="A862" t="str">
            <v>sw30404-30s-000233-0404-53</v>
          </cell>
          <cell r="B862" t="str">
            <v>30Sunday</v>
          </cell>
        </row>
        <row r="863">
          <cell r="A863" t="str">
            <v>clstmon-eve-prom-p06-sp0300</v>
          </cell>
          <cell r="B863" t="str">
            <v>Everva</v>
          </cell>
        </row>
        <row r="864">
          <cell r="A864" t="str">
            <v>clstdai-lay-cont-p10-dazzle-brown-sn0450</v>
          </cell>
          <cell r="B864" t="str">
            <v>Layala</v>
          </cell>
        </row>
        <row r="865">
          <cell r="A865" t="str">
            <v>costmon-ama-lens-p02-mocca-sn0800</v>
          </cell>
          <cell r="B865" t="str">
            <v>Amara</v>
          </cell>
        </row>
        <row r="866">
          <cell r="A866" t="str">
            <v>clstdai-dai-aqua-p30-sn0175</v>
          </cell>
          <cell r="B866" t="str">
            <v>Dailies</v>
          </cell>
        </row>
        <row r="867">
          <cell r="A867" t="str">
            <v>sw52904-30s-000120-2904-59</v>
          </cell>
          <cell r="B867" t="str">
            <v>30Sunday</v>
          </cell>
        </row>
        <row r="868">
          <cell r="A868" t="str">
            <v>sw32104-30s-000262-2104-50</v>
          </cell>
          <cell r="B868" t="str">
            <v>30Sunday</v>
          </cell>
        </row>
        <row r="869">
          <cell r="A869" t="str">
            <v>cost3mo-lay-lens-p02-chestnut-brown-sn0100</v>
          </cell>
          <cell r="B869" t="str">
            <v>Layala</v>
          </cell>
        </row>
        <row r="870">
          <cell r="A870" t="str">
            <v>bc20218-bab-000527-0218-48</v>
          </cell>
          <cell r="B870" t="str">
            <v>Babamio</v>
          </cell>
        </row>
        <row r="871">
          <cell r="A871" t="str">
            <v>fw30118-spc-000502-0100-54</v>
          </cell>
          <cell r="B871" t="str">
            <v>Spectus</v>
          </cell>
        </row>
        <row r="872">
          <cell r="A872" t="str">
            <v>cost3mo-lay-2022-p02-crescent-gray-sn0175</v>
          </cell>
          <cell r="B872" t="str">
            <v>Layala</v>
          </cell>
        </row>
        <row r="873">
          <cell r="A873" t="str">
            <v>su100107-bla-000381-0107-54</v>
          </cell>
          <cell r="B873" t="str">
            <v>BlackOut</v>
          </cell>
        </row>
        <row r="874">
          <cell r="A874" t="str">
            <v>sm11202-30s-000286-1202-55</v>
          </cell>
          <cell r="B874" t="str">
            <v>30Sunday</v>
          </cell>
        </row>
        <row r="875">
          <cell r="A875" t="str">
            <v>sw31304-30s-000121-2904-49</v>
          </cell>
          <cell r="B875" t="str">
            <v>30Sunday</v>
          </cell>
        </row>
        <row r="876">
          <cell r="A876" t="str">
            <v>cost3mo-lay-2022-p02-royal-green-sn0500</v>
          </cell>
          <cell r="B876" t="str">
            <v>Layala</v>
          </cell>
        </row>
        <row r="877">
          <cell r="A877" t="str">
            <v>costmon-ama-2024-p02-chocolate-sn0200</v>
          </cell>
          <cell r="B877" t="str">
            <v>Amara</v>
          </cell>
        </row>
        <row r="878">
          <cell r="A878" t="str">
            <v>clstdai-dai-tot1-p90-sn0275</v>
          </cell>
          <cell r="B878" t="str">
            <v>Dailies</v>
          </cell>
        </row>
        <row r="879">
          <cell r="A879" t="str">
            <v>clstbiw-acu-oasy-p06-sn1050</v>
          </cell>
          <cell r="B879" t="str">
            <v>Acuvue</v>
          </cell>
        </row>
        <row r="880">
          <cell r="A880" t="str">
            <v>su70406-30s-000268-2106-53</v>
          </cell>
          <cell r="B880" t="str">
            <v>30Sunday</v>
          </cell>
        </row>
        <row r="881">
          <cell r="A881" t="str">
            <v>clstdai-acu-mois-p30-sp0275</v>
          </cell>
          <cell r="B881" t="str">
            <v>Acuvue</v>
          </cell>
        </row>
        <row r="882">
          <cell r="A882" t="str">
            <v>costmon-ama-2022-p02-dream-sn0100</v>
          </cell>
          <cell r="B882" t="str">
            <v>Amara</v>
          </cell>
        </row>
        <row r="883">
          <cell r="A883" t="str">
            <v>clstbiw-acu-0002-p06-sp0125</v>
          </cell>
          <cell r="B883" t="str">
            <v>Acuvue</v>
          </cell>
        </row>
        <row r="884">
          <cell r="A884" t="str">
            <v>clstbiw-acu-oasy-p06-sp0125</v>
          </cell>
          <cell r="B884" t="str">
            <v>Acuvue</v>
          </cell>
        </row>
        <row r="885">
          <cell r="A885" t="str">
            <v>cost3mo-lay-2022-p02-avena-brown-sn0550</v>
          </cell>
          <cell r="B885" t="str">
            <v>Layala</v>
          </cell>
        </row>
        <row r="886">
          <cell r="A886" t="str">
            <v>clstdai-eve-pure-p90-sn0050</v>
          </cell>
          <cell r="B886" t="str">
            <v>Everva</v>
          </cell>
        </row>
        <row r="887">
          <cell r="A887" t="str">
            <v>clstdai-eve-pure-p90-sn0175</v>
          </cell>
          <cell r="B887" t="str">
            <v>Everva</v>
          </cell>
        </row>
        <row r="888">
          <cell r="A888" t="str">
            <v>clstdai-acu-mois-p90-sn0150</v>
          </cell>
          <cell r="B888" t="str">
            <v>Acuvue</v>
          </cell>
        </row>
        <row r="889">
          <cell r="A889" t="str">
            <v>fw30118-spc-000750-0118-53</v>
          </cell>
          <cell r="B889" t="str">
            <v>Spectus</v>
          </cell>
        </row>
        <row r="890">
          <cell r="A890" t="str">
            <v>sw80509-bla-000205-2709-61</v>
          </cell>
          <cell r="B890" t="str">
            <v>BlackOut</v>
          </cell>
        </row>
        <row r="891">
          <cell r="A891" t="str">
            <v>clstdai-acu-omax-p30-sp0050</v>
          </cell>
          <cell r="B891" t="str">
            <v>Acuvue</v>
          </cell>
        </row>
        <row r="892">
          <cell r="A892" t="str">
            <v>su10707-rov-8006-12-14-57</v>
          </cell>
          <cell r="B892" t="str">
            <v>Roav</v>
          </cell>
        </row>
        <row r="893">
          <cell r="A893" t="str">
            <v>sw30404-30s-000265-0404-54</v>
          </cell>
          <cell r="B893" t="str">
            <v>30Sunday</v>
          </cell>
        </row>
        <row r="894">
          <cell r="A894" t="str">
            <v>sw30107-30s-000126-0107-54</v>
          </cell>
          <cell r="B894" t="str">
            <v>30Sunday</v>
          </cell>
        </row>
        <row r="895">
          <cell r="A895" t="str">
            <v>clstdai-acu-dfvi-p30-sn0200</v>
          </cell>
          <cell r="B895" t="str">
            <v>Acuvue</v>
          </cell>
        </row>
        <row r="896">
          <cell r="A896" t="str">
            <v>su51707-rov-8002-13-41-53</v>
          </cell>
          <cell r="B896" t="str">
            <v>Roav</v>
          </cell>
        </row>
        <row r="897">
          <cell r="A897" t="str">
            <v>clstdai-acu-mois-p30-sn0525</v>
          </cell>
          <cell r="B897" t="str">
            <v>Acuvue</v>
          </cell>
        </row>
        <row r="898">
          <cell r="A898" t="str">
            <v>cost3mo-lay-2022-p02-emerald-glow-sn0500</v>
          </cell>
          <cell r="B898" t="str">
            <v>Layala</v>
          </cell>
        </row>
        <row r="899">
          <cell r="A899" t="str">
            <v>clstdai-acu-oasy-p90-sn1200</v>
          </cell>
          <cell r="B899" t="str">
            <v>Acuvue</v>
          </cell>
        </row>
        <row r="900">
          <cell r="A900" t="str">
            <v>sw21207-bla-000269-1207-54</v>
          </cell>
          <cell r="B900" t="str">
            <v>BlackOut</v>
          </cell>
        </row>
        <row r="901">
          <cell r="A901" t="str">
            <v>costmon-ama-lens-p02-mocca-sn0575</v>
          </cell>
          <cell r="B901" t="str">
            <v>Amara</v>
          </cell>
        </row>
        <row r="902">
          <cell r="A902" t="str">
            <v>fu61318-spc-000571-1300-51</v>
          </cell>
          <cell r="B902" t="str">
            <v>Spectus</v>
          </cell>
        </row>
        <row r="903">
          <cell r="A903" t="str">
            <v>costmon-ama-2020-p02-pure-hazel-sn0525</v>
          </cell>
          <cell r="B903" t="str">
            <v>Amara</v>
          </cell>
        </row>
        <row r="904">
          <cell r="A904" t="str">
            <v>sw40107-30s-000123-0107-51</v>
          </cell>
          <cell r="B904" t="str">
            <v>30Sunday</v>
          </cell>
        </row>
        <row r="905">
          <cell r="A905" t="str">
            <v>sacchan-30s-chain143-gld-juno-gold</v>
          </cell>
          <cell r="B905" t="str">
            <v>30Sunday</v>
          </cell>
        </row>
        <row r="906">
          <cell r="A906" t="str">
            <v>clstdai-acu-dfvi-p90-sn0175</v>
          </cell>
          <cell r="B906" t="str">
            <v>Acuvue</v>
          </cell>
        </row>
        <row r="907">
          <cell r="A907" t="str">
            <v>clstdai-acu-omax-p30-sp0200</v>
          </cell>
          <cell r="B907" t="str">
            <v>Acuvue</v>
          </cell>
        </row>
        <row r="908">
          <cell r="A908" t="str">
            <v>clstdai-acu-mois-p90-sn1050</v>
          </cell>
          <cell r="B908" t="str">
            <v>Acuvue</v>
          </cell>
        </row>
        <row r="909">
          <cell r="A909" t="str">
            <v>fw32418-spc-000709-2418-54</v>
          </cell>
          <cell r="B909" t="str">
            <v>Spectus</v>
          </cell>
        </row>
        <row r="910">
          <cell r="A910" t="str">
            <v>cost3mo-lay-2020-p02-hazel-brown-sn0100</v>
          </cell>
          <cell r="B910" t="str">
            <v>Layala</v>
          </cell>
        </row>
        <row r="911">
          <cell r="A911" t="str">
            <v>fw32318-spc-000809-2318-61</v>
          </cell>
          <cell r="B911" t="str">
            <v>Spectus</v>
          </cell>
        </row>
        <row r="912">
          <cell r="A912" t="str">
            <v>clstbiw-acu-oasy-p18-sn0300</v>
          </cell>
          <cell r="B912" t="str">
            <v>Acuvue</v>
          </cell>
        </row>
        <row r="913">
          <cell r="A913" t="str">
            <v>sm51306-30s-000234-1306-48</v>
          </cell>
          <cell r="B913" t="str">
            <v>30Sunday</v>
          </cell>
        </row>
        <row r="914">
          <cell r="A914" t="str">
            <v>clstdai-acu-oasy-p60-sn0325</v>
          </cell>
          <cell r="B914" t="str">
            <v>Acuvue</v>
          </cell>
        </row>
        <row r="915">
          <cell r="A915" t="str">
            <v>costdai-ama-dail-p10-shadow-sn0525</v>
          </cell>
          <cell r="B915" t="str">
            <v>Amara</v>
          </cell>
        </row>
        <row r="916">
          <cell r="A916" t="str">
            <v>cost3mo-lay-lens-p02-chocolate-brown-sn0175</v>
          </cell>
          <cell r="B916" t="str">
            <v>Layala</v>
          </cell>
        </row>
        <row r="917">
          <cell r="A917" t="str">
            <v>clstdai-acu-mois-p90-sp0100</v>
          </cell>
          <cell r="B917" t="str">
            <v>Acuvue</v>
          </cell>
        </row>
        <row r="918">
          <cell r="A918" t="str">
            <v>cost3mo-lay-2024-p02-moon-gray-sn0075</v>
          </cell>
          <cell r="B918" t="str">
            <v>Layala</v>
          </cell>
        </row>
        <row r="919">
          <cell r="A919" t="str">
            <v>clstbiw-acu-0002-p06-sn0650</v>
          </cell>
          <cell r="B919" t="str">
            <v>Acuvue</v>
          </cell>
        </row>
        <row r="920">
          <cell r="A920" t="str">
            <v>sw100504-30s-000450-0504-53</v>
          </cell>
          <cell r="B920" t="str">
            <v>30Sunday</v>
          </cell>
        </row>
        <row r="921">
          <cell r="A921" t="str">
            <v>costdai-acu-dffr-p30-blue-sn0325</v>
          </cell>
          <cell r="B921" t="str">
            <v>Acuvue</v>
          </cell>
        </row>
        <row r="922">
          <cell r="A922" t="str">
            <v>costmon-ama-2022-p02-tan-sn0200</v>
          </cell>
          <cell r="B922" t="str">
            <v>Amara</v>
          </cell>
        </row>
        <row r="923">
          <cell r="A923" t="str">
            <v>clstdai-acu-omax-p90-sn0550</v>
          </cell>
          <cell r="B923" t="str">
            <v>Acuvue</v>
          </cell>
        </row>
        <row r="924">
          <cell r="A924" t="str">
            <v>clstdai-lay-cont-p60-dazzle-black-sn0950</v>
          </cell>
          <cell r="B924" t="str">
            <v>Layala</v>
          </cell>
        </row>
        <row r="925">
          <cell r="A925" t="str">
            <v>bc50618-bab-000504-0618-51</v>
          </cell>
          <cell r="B925" t="str">
            <v>Babamio</v>
          </cell>
        </row>
        <row r="926">
          <cell r="A926" t="str">
            <v>clstdai-acu-mois-p30-sp0050</v>
          </cell>
          <cell r="B926" t="str">
            <v>Acuvue</v>
          </cell>
        </row>
        <row r="927">
          <cell r="A927" t="str">
            <v>su40404-30s-000287-0304-52</v>
          </cell>
          <cell r="B927" t="str">
            <v>30Sunday</v>
          </cell>
        </row>
        <row r="928">
          <cell r="A928" t="str">
            <v>clstdai-acu-mois-p60-sn1200</v>
          </cell>
          <cell r="B928" t="str">
            <v>Acuvue</v>
          </cell>
        </row>
        <row r="929">
          <cell r="A929" t="str">
            <v>clstdai-lay-cont-p30-dazzle-black-sn1000</v>
          </cell>
          <cell r="B929" t="str">
            <v>Layala</v>
          </cell>
        </row>
        <row r="930">
          <cell r="A930" t="str">
            <v>fw32318-spc-000841-2318-53</v>
          </cell>
          <cell r="B930" t="str">
            <v>Spectus</v>
          </cell>
        </row>
        <row r="931">
          <cell r="A931" t="str">
            <v>clstbiw-acu-oasy-p06-sn1200</v>
          </cell>
          <cell r="B931" t="str">
            <v>Acuvue</v>
          </cell>
        </row>
        <row r="932">
          <cell r="A932" t="str">
            <v>cost3mo-lay-lens-p02-forest-green-sn0375</v>
          </cell>
          <cell r="B932" t="str">
            <v>Layala</v>
          </cell>
        </row>
        <row r="933">
          <cell r="A933" t="str">
            <v>cost3mo-lay-2024-p02-moon-gray-sn0200</v>
          </cell>
          <cell r="B933" t="str">
            <v>Layala</v>
          </cell>
        </row>
        <row r="934">
          <cell r="A934" t="str">
            <v>clstdai-eve-elit-p90-sp0200</v>
          </cell>
          <cell r="B934" t="str">
            <v>Everva</v>
          </cell>
        </row>
        <row r="935">
          <cell r="A935" t="str">
            <v>clstmon-eve-prom-p06-sp0350</v>
          </cell>
          <cell r="B935" t="str">
            <v>Everva</v>
          </cell>
        </row>
        <row r="936">
          <cell r="A936" t="str">
            <v>costdai-acu-dffr-p10-honey-sn0450</v>
          </cell>
          <cell r="B936" t="str">
            <v>Acuvue</v>
          </cell>
        </row>
        <row r="937">
          <cell r="A937" t="str">
            <v>clstbiw-acu-cle-p06-sn0200</v>
          </cell>
          <cell r="B937" t="str">
            <v>Acuvue</v>
          </cell>
        </row>
        <row r="938">
          <cell r="A938" t="str">
            <v>clstdai-acu-dfna-p90-sn0200</v>
          </cell>
          <cell r="B938" t="str">
            <v>Acuvue</v>
          </cell>
        </row>
        <row r="939">
          <cell r="A939" t="str">
            <v>clstdai-acu-dfvi-p90-sn0100</v>
          </cell>
          <cell r="B939" t="str">
            <v>Acuvue</v>
          </cell>
        </row>
        <row r="940">
          <cell r="A940" t="str">
            <v>clstdai-lay-cont-p60-dazzle-black-sn0700</v>
          </cell>
          <cell r="B940" t="str">
            <v>Layala</v>
          </cell>
        </row>
        <row r="941">
          <cell r="A941" t="str">
            <v>clstbiw-acu-0002-p06-sn0550</v>
          </cell>
          <cell r="B941" t="str">
            <v>Acuvue</v>
          </cell>
        </row>
        <row r="942">
          <cell r="A942" t="str">
            <v>clstbiw-acu-oasy-p06-sn1000</v>
          </cell>
          <cell r="B942" t="str">
            <v>Acuvue</v>
          </cell>
        </row>
        <row r="943">
          <cell r="A943" t="str">
            <v>clstdai-acu-omax-p90-sn0050</v>
          </cell>
          <cell r="B943" t="str">
            <v>Acuvue</v>
          </cell>
        </row>
        <row r="944">
          <cell r="A944" t="str">
            <v>cltobiw-acu-oasy-p06-sn0525-cn0075-a010</v>
          </cell>
          <cell r="B944" t="str">
            <v>Acuvue</v>
          </cell>
        </row>
        <row r="945">
          <cell r="A945" t="str">
            <v>costdai-acu-dffr-p10-green-sn0600</v>
          </cell>
          <cell r="B945" t="str">
            <v>Acuvue</v>
          </cell>
        </row>
        <row r="946">
          <cell r="A946" t="str">
            <v>cost3mo-cel-natu-p01-forest-green-sp0400</v>
          </cell>
          <cell r="B946" t="str">
            <v>Celena</v>
          </cell>
        </row>
        <row r="947">
          <cell r="A947" t="str">
            <v>clstdai-lay-cont-p30-dazzle-brown-sn0450</v>
          </cell>
          <cell r="B947" t="str">
            <v>Layala</v>
          </cell>
        </row>
        <row r="948">
          <cell r="A948" t="str">
            <v>clstmon-sof-sl59-p06-sp0250</v>
          </cell>
          <cell r="B948" t="str">
            <v>Soflens</v>
          </cell>
        </row>
        <row r="949">
          <cell r="A949" t="str">
            <v>sw50107-30s-000115-0107-61</v>
          </cell>
          <cell r="B949" t="str">
            <v>30Sunday</v>
          </cell>
        </row>
        <row r="950">
          <cell r="A950" t="str">
            <v>clstdai-acu-oasy-p90-sp0800</v>
          </cell>
          <cell r="B950" t="str">
            <v>Acuvue</v>
          </cell>
        </row>
        <row r="951">
          <cell r="A951" t="str">
            <v>clstdai-eve-pure-p90-sn0700</v>
          </cell>
          <cell r="B951" t="str">
            <v>Everva</v>
          </cell>
        </row>
        <row r="952">
          <cell r="A952" t="str">
            <v>clstdai-acu-mois-p120-sn0850</v>
          </cell>
          <cell r="B952" t="str">
            <v>Acuvue</v>
          </cell>
        </row>
        <row r="953">
          <cell r="A953" t="str">
            <v>clstdai-eve-elit-p30-sn0450</v>
          </cell>
          <cell r="B953" t="str">
            <v>Everva</v>
          </cell>
        </row>
        <row r="954">
          <cell r="A954" t="str">
            <v>clstbiw-acu-oasy-p06-sn0050</v>
          </cell>
          <cell r="B954" t="str">
            <v>Acuvue</v>
          </cell>
        </row>
        <row r="955">
          <cell r="A955" t="str">
            <v>su11207-30s-000230-1207-58</v>
          </cell>
          <cell r="B955" t="str">
            <v>30Sunday</v>
          </cell>
        </row>
        <row r="956">
          <cell r="A956" t="str">
            <v>sm50707-30s-000210-0707-60</v>
          </cell>
          <cell r="B956" t="str">
            <v>30Sunday</v>
          </cell>
        </row>
        <row r="957">
          <cell r="A957" t="str">
            <v>sacchan-30s-deja-gold</v>
          </cell>
          <cell r="B957" t="str">
            <v>30Sunday</v>
          </cell>
        </row>
        <row r="958">
          <cell r="A958" t="str">
            <v>clstdai-btr-oned-p90-sn0150</v>
          </cell>
          <cell r="B958" t="str">
            <v>Biotrue</v>
          </cell>
        </row>
        <row r="959">
          <cell r="A959" t="str">
            <v>costmon-ama-lens-p02-crocodile-green-sn0200</v>
          </cell>
          <cell r="B959" t="str">
            <v>Amara</v>
          </cell>
        </row>
        <row r="960">
          <cell r="A960" t="str">
            <v>clstdai-acu-oasy-p90-sp0275</v>
          </cell>
          <cell r="B960" t="str">
            <v>Acuvue</v>
          </cell>
        </row>
        <row r="961">
          <cell r="A961" t="str">
            <v>costmon-ama-lens-p02-dark-sepia-sn0200</v>
          </cell>
          <cell r="B961" t="str">
            <v>Amara</v>
          </cell>
        </row>
        <row r="962">
          <cell r="A962" t="str">
            <v>sw20406-30s-000129-0406-51</v>
          </cell>
          <cell r="B962" t="str">
            <v>30Sunday</v>
          </cell>
        </row>
        <row r="963">
          <cell r="A963" t="str">
            <v>clstdai-acu-mois-p30-sp0150</v>
          </cell>
          <cell r="B963" t="str">
            <v>Acuvue</v>
          </cell>
        </row>
        <row r="964">
          <cell r="A964" t="str">
            <v>clstdai-lay-cont-p10-dazzle-black-sn0550</v>
          </cell>
          <cell r="B964" t="str">
            <v>Layala</v>
          </cell>
        </row>
        <row r="965">
          <cell r="A965" t="str">
            <v>clstdai-eve-pure-p90-sn0650</v>
          </cell>
          <cell r="B965" t="str">
            <v>Everva</v>
          </cell>
        </row>
        <row r="966">
          <cell r="A966" t="str">
            <v>clstmon-eve-prom-p06-sp0200</v>
          </cell>
          <cell r="B966" t="str">
            <v>Everva</v>
          </cell>
        </row>
        <row r="967">
          <cell r="A967" t="str">
            <v>costdai-acu-dffr-p10-hazel-sn0500</v>
          </cell>
          <cell r="B967" t="str">
            <v>Acuvue</v>
          </cell>
        </row>
        <row r="968">
          <cell r="A968" t="str">
            <v>cost3mo-lay-2022-p02-royal-green-sn0225</v>
          </cell>
          <cell r="B968" t="str">
            <v>Layala</v>
          </cell>
        </row>
        <row r="969">
          <cell r="A969" t="str">
            <v>sw30506-bla-000104-2706-59</v>
          </cell>
          <cell r="B969" t="str">
            <v>BlackOut</v>
          </cell>
        </row>
        <row r="970">
          <cell r="A970" t="str">
            <v>cost3mo-lay-lens-p02-forest-green-sn0300</v>
          </cell>
          <cell r="B970" t="str">
            <v>Layala</v>
          </cell>
        </row>
        <row r="971">
          <cell r="A971" t="str">
            <v>sw32604-30s-000264-2604-54</v>
          </cell>
          <cell r="B971" t="str">
            <v>30Sunday</v>
          </cell>
        </row>
        <row r="972">
          <cell r="A972" t="str">
            <v>sc51402-bab-000503-1402-46</v>
          </cell>
          <cell r="B972" t="str">
            <v>Babamio</v>
          </cell>
        </row>
        <row r="973">
          <cell r="A973" t="str">
            <v>clstdai-dai-tot1-p30-sn0375</v>
          </cell>
          <cell r="B973" t="str">
            <v>Dailies</v>
          </cell>
        </row>
        <row r="974">
          <cell r="A974" t="str">
            <v>costmon-ama-2020-p02-charcoal-gray-sn0550</v>
          </cell>
          <cell r="B974" t="str">
            <v>Amara</v>
          </cell>
        </row>
        <row r="975">
          <cell r="A975" t="str">
            <v>clstdai-eve-pure-p30-sn0125</v>
          </cell>
          <cell r="B975" t="str">
            <v>Everva</v>
          </cell>
        </row>
        <row r="976">
          <cell r="A976" t="str">
            <v>clstdai-lay-cont-p60-dazzle-brown-sn0075</v>
          </cell>
          <cell r="B976" t="str">
            <v>Layala</v>
          </cell>
        </row>
        <row r="977">
          <cell r="A977" t="str">
            <v>fw30518-spc-000841-0518-53</v>
          </cell>
          <cell r="B977" t="str">
            <v>Spectus</v>
          </cell>
        </row>
        <row r="978">
          <cell r="A978" t="str">
            <v>fw20618-spc-000563-0600-49</v>
          </cell>
          <cell r="B978" t="str">
            <v>Spectus</v>
          </cell>
        </row>
        <row r="979">
          <cell r="A979" t="str">
            <v>costmon-ama-2022-p02-tiger-eyes-sn0075</v>
          </cell>
          <cell r="B979" t="str">
            <v>Amara</v>
          </cell>
        </row>
        <row r="980">
          <cell r="A980" t="str">
            <v>cost3mo-lay-2021-p02-stardust-gray-sn0325</v>
          </cell>
          <cell r="B980" t="str">
            <v>Layala</v>
          </cell>
        </row>
        <row r="981">
          <cell r="A981" t="str">
            <v>clstdai-acu-mois-p120-sn0600</v>
          </cell>
          <cell r="B981" t="str">
            <v>Acuvue</v>
          </cell>
        </row>
        <row r="982">
          <cell r="A982" t="str">
            <v>sw40107-bla-000254-0101-52</v>
          </cell>
          <cell r="B982" t="str">
            <v>BlackOut</v>
          </cell>
        </row>
        <row r="983">
          <cell r="A983" t="str">
            <v>su50107-30s-000442-0107-50</v>
          </cell>
          <cell r="B983" t="str">
            <v>30Sunday</v>
          </cell>
        </row>
        <row r="984">
          <cell r="A984" t="str">
            <v>sm20107-30s-000207-0101-52</v>
          </cell>
          <cell r="B984" t="str">
            <v>30Sunday</v>
          </cell>
        </row>
        <row r="985">
          <cell r="A985" t="str">
            <v>clstbiw-acu-oasy-p18-sn0525</v>
          </cell>
          <cell r="B985" t="str">
            <v>Acuvue</v>
          </cell>
        </row>
        <row r="986">
          <cell r="A986" t="str">
            <v>sw40101-30s-000300-0101-50</v>
          </cell>
          <cell r="B986" t="str">
            <v>30Sunday</v>
          </cell>
        </row>
        <row r="987">
          <cell r="A987" t="str">
            <v>sm101207-30s-000503-1207p-54</v>
          </cell>
          <cell r="B987" t="str">
            <v>30Sunday</v>
          </cell>
        </row>
        <row r="988">
          <cell r="A988" t="str">
            <v>costdai-acu-dffr-p30-rose-sn0400</v>
          </cell>
          <cell r="B988" t="str">
            <v>Acuvue</v>
          </cell>
        </row>
        <row r="989">
          <cell r="A989" t="str">
            <v>sw50107-bla-000101-0107-62</v>
          </cell>
          <cell r="B989" t="str">
            <v>BlackOut</v>
          </cell>
        </row>
        <row r="990">
          <cell r="A990" t="str">
            <v>costmon-ama-2024-p02-matcha-sp0000</v>
          </cell>
          <cell r="B990" t="str">
            <v>Amara</v>
          </cell>
        </row>
        <row r="991">
          <cell r="A991" t="str">
            <v>cost3mo-lay-2024-p02-terra-brown-sn0275</v>
          </cell>
          <cell r="B991" t="str">
            <v>Layala</v>
          </cell>
        </row>
        <row r="992">
          <cell r="A992" t="str">
            <v>costmon-ama-lens-p02-crocodile-green-sn0175</v>
          </cell>
          <cell r="B992" t="str">
            <v>Amara</v>
          </cell>
        </row>
        <row r="993">
          <cell r="A993" t="str">
            <v>clstdai-dai-aqua-p90-sp0150</v>
          </cell>
          <cell r="B993" t="str">
            <v>Dailies</v>
          </cell>
        </row>
        <row r="994">
          <cell r="A994" t="str">
            <v>fw20118-spc-000533-0100-50</v>
          </cell>
          <cell r="B994" t="str">
            <v>Spectus</v>
          </cell>
        </row>
        <row r="995">
          <cell r="A995" t="str">
            <v>sm50406-30s-000278-0406-54</v>
          </cell>
          <cell r="B995" t="str">
            <v>30Sunday</v>
          </cell>
        </row>
        <row r="996">
          <cell r="A996" t="str">
            <v>cost3mo-lay-2021-p02-golden-gray-sn0225</v>
          </cell>
          <cell r="B996" t="str">
            <v>Layala</v>
          </cell>
        </row>
        <row r="997">
          <cell r="A997" t="str">
            <v>costmon-ama-2022-p02-dream-sn0200</v>
          </cell>
          <cell r="B997" t="str">
            <v>Amara</v>
          </cell>
        </row>
        <row r="998">
          <cell r="A998" t="str">
            <v>cost3mo-lay-lens-p02-chestnut-brown-sn0125</v>
          </cell>
          <cell r="B998" t="str">
            <v>Layala</v>
          </cell>
        </row>
        <row r="999">
          <cell r="A999" t="str">
            <v>clstbiw-acu-oasy-p06-sn0225</v>
          </cell>
          <cell r="B999" t="str">
            <v>Acuvue</v>
          </cell>
        </row>
        <row r="1000">
          <cell r="A1000" t="str">
            <v>clstdai-eve-elit-p30-sn0500</v>
          </cell>
          <cell r="B1000" t="str">
            <v>Everva</v>
          </cell>
        </row>
        <row r="1001">
          <cell r="A1001" t="str">
            <v>cost3mo-lay-lens-p02-chestnut-brown-sn0275</v>
          </cell>
          <cell r="B1001" t="str">
            <v>Layala</v>
          </cell>
        </row>
        <row r="1002">
          <cell r="A1002" t="str">
            <v>sw42106-30s-000240-2404-50</v>
          </cell>
          <cell r="B1002" t="str">
            <v>30Sunday</v>
          </cell>
        </row>
        <row r="1003">
          <cell r="A1003" t="str">
            <v>sw102904-bla-000312-2904-56</v>
          </cell>
          <cell r="B1003" t="str">
            <v>BlackOut</v>
          </cell>
        </row>
        <row r="1004">
          <cell r="A1004" t="str">
            <v>sw100907-bla-000313-0907-56</v>
          </cell>
          <cell r="B1004" t="str">
            <v>BlackOut</v>
          </cell>
        </row>
        <row r="1005">
          <cell r="A1005" t="str">
            <v>cost3mo-lay-2021-p02-willow-green-sp0000</v>
          </cell>
          <cell r="B1005" t="str">
            <v>Layala</v>
          </cell>
        </row>
        <row r="1006">
          <cell r="A1006" t="str">
            <v>clstbiw-acu-0002-p06-sp0350</v>
          </cell>
          <cell r="B1006" t="str">
            <v>Acuvue</v>
          </cell>
        </row>
        <row r="1007">
          <cell r="A1007" t="str">
            <v>clstdai-acu-true-p30-sn1000</v>
          </cell>
          <cell r="B1007" t="str">
            <v>Acuvue</v>
          </cell>
        </row>
        <row r="1008">
          <cell r="A1008" t="str">
            <v>clstdai-eve-pure-p90-Sn0425</v>
          </cell>
          <cell r="B1008" t="str">
            <v>Everva</v>
          </cell>
        </row>
        <row r="1009">
          <cell r="A1009" t="str">
            <v>clstdai-btr-oned-p30-sn0650</v>
          </cell>
          <cell r="B1009" t="str">
            <v>Biotrue</v>
          </cell>
        </row>
        <row r="1010">
          <cell r="A1010" t="str">
            <v>clstdai-lay-cont-p90-dazzle-brown-sn0100</v>
          </cell>
          <cell r="B1010" t="str">
            <v>Layala</v>
          </cell>
        </row>
        <row r="1011">
          <cell r="A1011" t="str">
            <v>clstdai-lay-cont-p10-dazzle-brown-sn0250</v>
          </cell>
          <cell r="B1011" t="str">
            <v>Layala</v>
          </cell>
        </row>
        <row r="1012">
          <cell r="A1012" t="str">
            <v>clstdai-acu-dfvi-p90-sn0500</v>
          </cell>
          <cell r="B1012" t="str">
            <v>Acuvue</v>
          </cell>
        </row>
        <row r="1013">
          <cell r="A1013" t="str">
            <v>sw50404-30s-000118-2904-56</v>
          </cell>
          <cell r="B1013" t="str">
            <v>30Sunday</v>
          </cell>
        </row>
        <row r="1014">
          <cell r="A1014" t="str">
            <v>sacchan-30s-chain113-blk-kona-black</v>
          </cell>
          <cell r="B1014" t="str">
            <v>30Sunday</v>
          </cell>
        </row>
        <row r="1015">
          <cell r="A1015" t="str">
            <v>sw50707-bla-000214-0707-60</v>
          </cell>
          <cell r="B1015" t="str">
            <v>BlackOut</v>
          </cell>
        </row>
        <row r="1016">
          <cell r="A1016" t="str">
            <v>ru20118-spc-000881-0118-48-sp0300</v>
          </cell>
          <cell r="B1016" t="str">
            <v>Spectus</v>
          </cell>
        </row>
        <row r="1017">
          <cell r="A1017" t="str">
            <v>sw100107-bla-000316-0107-51</v>
          </cell>
          <cell r="B1017" t="str">
            <v>BlackOut</v>
          </cell>
        </row>
        <row r="1018">
          <cell r="A1018" t="str">
            <v>sw31402-30s-000233-2104-53</v>
          </cell>
          <cell r="B1018" t="str">
            <v>30Sunday</v>
          </cell>
        </row>
        <row r="1019">
          <cell r="A1019" t="str">
            <v>costdai-ama-dail-p10-honey-sn0475</v>
          </cell>
          <cell r="B1019" t="str">
            <v>Amara</v>
          </cell>
        </row>
        <row r="1020">
          <cell r="A1020" t="str">
            <v>costmon-ama-lens-p02-crocodile-green-sn0375</v>
          </cell>
          <cell r="B1020" t="str">
            <v>Amara</v>
          </cell>
        </row>
        <row r="1021">
          <cell r="A1021" t="str">
            <v>fw62318-spc-000864-2318-52</v>
          </cell>
          <cell r="B1021" t="str">
            <v>Spectus</v>
          </cell>
        </row>
        <row r="1022">
          <cell r="A1022" t="str">
            <v>clstdai-acu-oasy-p30-sp0050</v>
          </cell>
          <cell r="B1022" t="str">
            <v>Acuvue</v>
          </cell>
        </row>
        <row r="1023">
          <cell r="A1023" t="str">
            <v>clstdai-acu-dfrb-p30-sn0425</v>
          </cell>
          <cell r="B1023" t="str">
            <v>Acuvue</v>
          </cell>
        </row>
        <row r="1024">
          <cell r="A1024" t="str">
            <v>costdai-acu-dffr-p10-grayzel-sn0325</v>
          </cell>
          <cell r="B1024" t="str">
            <v>Acuvue</v>
          </cell>
        </row>
        <row r="1025">
          <cell r="A1025" t="str">
            <v>clstdai-lay-cont-p10-dazzle-black-sn0800</v>
          </cell>
          <cell r="B1025" t="str">
            <v>Layala</v>
          </cell>
        </row>
        <row r="1026">
          <cell r="A1026" t="str">
            <v>clstdai-lay-cont-p90-dazzle-black-sn0525</v>
          </cell>
          <cell r="B1026" t="str">
            <v>Layala</v>
          </cell>
        </row>
        <row r="1027">
          <cell r="A1027" t="str">
            <v>clstbiw-acu-oasy-p06-sn0950</v>
          </cell>
          <cell r="B1027" t="str">
            <v>Acuvue</v>
          </cell>
        </row>
        <row r="1028">
          <cell r="A1028" t="str">
            <v>costdai-acu-dffr-p30-honey-sn0500</v>
          </cell>
          <cell r="B1028" t="str">
            <v>Acuvue</v>
          </cell>
        </row>
        <row r="1029">
          <cell r="A1029" t="str">
            <v>sw100104-30s-000490-0104-51</v>
          </cell>
          <cell r="B1029" t="str">
            <v>30Sunday</v>
          </cell>
        </row>
        <row r="1030">
          <cell r="A1030" t="str">
            <v>sm100607-30s-000408-0607-48</v>
          </cell>
          <cell r="B1030" t="str">
            <v>30Sunday</v>
          </cell>
        </row>
        <row r="1031">
          <cell r="A1031" t="str">
            <v>clstmon-bio-biof-p06-sn0175</v>
          </cell>
          <cell r="B1031" t="str">
            <v>Biofinity</v>
          </cell>
        </row>
        <row r="1032">
          <cell r="A1032" t="str">
            <v>clstdai-dai-aqua-p30-sn0950</v>
          </cell>
          <cell r="B1032" t="str">
            <v>Dailies</v>
          </cell>
        </row>
        <row r="1033">
          <cell r="A1033" t="str">
            <v>clstdai-dai-tot1-p30-sp0150</v>
          </cell>
          <cell r="B1033" t="str">
            <v>Dailies</v>
          </cell>
        </row>
        <row r="1034">
          <cell r="A1034" t="str">
            <v>clstdai-lay-cont-p10-dazzle-black-sn0525</v>
          </cell>
          <cell r="B1034" t="str">
            <v>Layala</v>
          </cell>
        </row>
        <row r="1035">
          <cell r="A1035" t="str">
            <v>sw100404-bla-000267-0404-56</v>
          </cell>
          <cell r="B1035" t="str">
            <v>BlackOut</v>
          </cell>
        </row>
        <row r="1036">
          <cell r="A1036" t="str">
            <v>costdai-ama-dail-p10-shadow-sn0450</v>
          </cell>
          <cell r="B1036" t="str">
            <v>Amara</v>
          </cell>
        </row>
        <row r="1037">
          <cell r="A1037" t="str">
            <v>clstdai-acu-oasy-p120-sn0225</v>
          </cell>
          <cell r="B1037" t="str">
            <v>Acuvue</v>
          </cell>
        </row>
        <row r="1038">
          <cell r="A1038" t="str">
            <v>clstdai-sof-sdai-p90-sn0850</v>
          </cell>
          <cell r="B1038" t="str">
            <v>Soflens</v>
          </cell>
        </row>
        <row r="1039">
          <cell r="A1039" t="str">
            <v>cost3mo-lay-lens-p02-forest-green-sn0600</v>
          </cell>
          <cell r="B1039" t="str">
            <v>Layala</v>
          </cell>
        </row>
        <row r="1040">
          <cell r="A1040" t="str">
            <v>clstdai-dai-aqua-p30-sn0500</v>
          </cell>
          <cell r="B1040" t="str">
            <v>Dailies</v>
          </cell>
        </row>
        <row r="1041">
          <cell r="A1041" t="str">
            <v>sm100107-30s-000440-0107-52</v>
          </cell>
          <cell r="B1041" t="str">
            <v>30Sunday</v>
          </cell>
        </row>
        <row r="1042">
          <cell r="A1042" t="str">
            <v>sw30707-bla-000276-0707-54</v>
          </cell>
          <cell r="B1042" t="str">
            <v>BlackOut</v>
          </cell>
        </row>
        <row r="1043">
          <cell r="A1043" t="str">
            <v>su72904-bla-000258-2904-60</v>
          </cell>
          <cell r="B1043" t="str">
            <v>BlackOut</v>
          </cell>
        </row>
        <row r="1044">
          <cell r="A1044" t="str">
            <v>cost3mo-lay-lens-p02-chestnut-brown-sn0050</v>
          </cell>
          <cell r="B1044" t="str">
            <v>Layala</v>
          </cell>
        </row>
        <row r="1045">
          <cell r="A1045" t="str">
            <v>sw32404-30s-000292-2404-53</v>
          </cell>
          <cell r="B1045" t="str">
            <v>30Sunday</v>
          </cell>
        </row>
        <row r="1046">
          <cell r="A1046" t="str">
            <v>clstdai-acu-dfna-p90-sn0325</v>
          </cell>
          <cell r="B1046" t="str">
            <v>Acuvue</v>
          </cell>
        </row>
        <row r="1047">
          <cell r="A1047" t="str">
            <v>fm50718-spc-000672-0718-51</v>
          </cell>
          <cell r="B1047" t="str">
            <v>Spectus</v>
          </cell>
        </row>
        <row r="1048">
          <cell r="A1048" t="str">
            <v>sw60404-30s-000449-0404-59</v>
          </cell>
          <cell r="B1048" t="str">
            <v>30Sunday</v>
          </cell>
        </row>
        <row r="1049">
          <cell r="A1049" t="str">
            <v>sw60107-bla-000309-0107-48</v>
          </cell>
          <cell r="B1049" t="str">
            <v>BlackOut</v>
          </cell>
        </row>
        <row r="1050">
          <cell r="A1050" t="str">
            <v>cost3mo-lay-2025-p02-desert-topaz-sn0525</v>
          </cell>
          <cell r="B1050" t="str">
            <v>Layala</v>
          </cell>
        </row>
        <row r="1051">
          <cell r="A1051" t="str">
            <v>clstdai-eve-pure-p30-sn0900</v>
          </cell>
          <cell r="B1051" t="str">
            <v>Everva</v>
          </cell>
        </row>
        <row r="1052">
          <cell r="A1052" t="str">
            <v>sm20107-30s-000293-0101p-52</v>
          </cell>
          <cell r="B1052" t="str">
            <v>30Sunday</v>
          </cell>
        </row>
        <row r="1053">
          <cell r="A1053" t="str">
            <v>cost3mo-lay-2022-p02-sweet-hazel-sn0450</v>
          </cell>
          <cell r="B1053" t="str">
            <v>Layala</v>
          </cell>
        </row>
        <row r="1054">
          <cell r="A1054" t="str">
            <v>clstdai-acu-mois-p30-sn1050</v>
          </cell>
          <cell r="B1054" t="str">
            <v>Acuvue</v>
          </cell>
        </row>
        <row r="1055">
          <cell r="A1055" t="str">
            <v>sw30101-30s-000292-0101-53</v>
          </cell>
          <cell r="B1055" t="str">
            <v>30Sunday</v>
          </cell>
        </row>
        <row r="1056">
          <cell r="A1056" t="str">
            <v>cost3mo-cel-natu-p01-azure-blue-sp0300</v>
          </cell>
          <cell r="B1056" t="str">
            <v>Celena</v>
          </cell>
        </row>
        <row r="1057">
          <cell r="A1057" t="str">
            <v>clstdai-dai-aqua-p90-sp0750</v>
          </cell>
          <cell r="B1057" t="str">
            <v>Dailies</v>
          </cell>
        </row>
        <row r="1058">
          <cell r="A1058" t="str">
            <v>clstdai-acu-omax-p30-sn1000</v>
          </cell>
          <cell r="B1058" t="str">
            <v>Acuvue</v>
          </cell>
        </row>
        <row r="1059">
          <cell r="A1059" t="str">
            <v>clstdai-lay-cont-p30-dazzle-black-sn0425</v>
          </cell>
          <cell r="B1059" t="str">
            <v>Layala</v>
          </cell>
        </row>
        <row r="1060">
          <cell r="A1060" t="str">
            <v>fu51318-spc-000705-1318-51</v>
          </cell>
          <cell r="B1060" t="str">
            <v>Spectus</v>
          </cell>
        </row>
        <row r="1061">
          <cell r="A1061" t="str">
            <v>clstdai-acu-mois-p30-sn0250</v>
          </cell>
          <cell r="B1061" t="str">
            <v>Acuvue</v>
          </cell>
        </row>
        <row r="1062">
          <cell r="A1062" t="str">
            <v>su102904-bla-000313-2904-56</v>
          </cell>
          <cell r="B1062" t="str">
            <v>BlackOut</v>
          </cell>
        </row>
        <row r="1063">
          <cell r="A1063" t="str">
            <v>clstbiw-acu-oasy-p06-sn1100</v>
          </cell>
          <cell r="B1063" t="str">
            <v>Acuvue</v>
          </cell>
        </row>
        <row r="1064">
          <cell r="A1064" t="str">
            <v>cost3mo-lay-2022-p02-cosmo-gray-sn0100</v>
          </cell>
          <cell r="B1064" t="str">
            <v>Layala</v>
          </cell>
        </row>
        <row r="1065">
          <cell r="A1065" t="str">
            <v>clstdai-acu-omax-p90-sp0700</v>
          </cell>
          <cell r="B1065" t="str">
            <v>Acuvue</v>
          </cell>
        </row>
        <row r="1066">
          <cell r="A1066" t="str">
            <v>clstdai-acu-omax-p30-sn0175</v>
          </cell>
          <cell r="B1066" t="str">
            <v>Acuvue</v>
          </cell>
        </row>
        <row r="1067">
          <cell r="A1067" t="str">
            <v>bc50918-bab-000503-0900-46</v>
          </cell>
          <cell r="B1067" t="str">
            <v>Babamio</v>
          </cell>
        </row>
        <row r="1068">
          <cell r="A1068" t="str">
            <v>costdai-acu-dffr-p30-hazel-sn0250</v>
          </cell>
          <cell r="B1068" t="str">
            <v>Acuvue</v>
          </cell>
        </row>
        <row r="1069">
          <cell r="A1069" t="str">
            <v>clstdai-btr-oned-p90-sn0525</v>
          </cell>
          <cell r="B1069" t="str">
            <v>Biotrue</v>
          </cell>
        </row>
        <row r="1070">
          <cell r="A1070" t="str">
            <v>clstbiw-acu-0002-p12-sn0325</v>
          </cell>
          <cell r="B1070" t="str">
            <v>Acuvue</v>
          </cell>
        </row>
        <row r="1071">
          <cell r="A1071" t="str">
            <v>sw40506-bla-000202-2706-58</v>
          </cell>
          <cell r="B1071" t="str">
            <v>BlackOut</v>
          </cell>
        </row>
        <row r="1072">
          <cell r="A1072" t="str">
            <v>su20107-30s-000500-0107-53</v>
          </cell>
          <cell r="B1072" t="str">
            <v>30Sunday</v>
          </cell>
        </row>
        <row r="1073">
          <cell r="A1073" t="str">
            <v>clstdai-lay-cont-p90-dazzle-brown-sn0250</v>
          </cell>
          <cell r="B1073" t="str">
            <v>Layala</v>
          </cell>
        </row>
        <row r="1074">
          <cell r="A1074" t="str">
            <v>clstdai-dai-aqua-p30-sn1200</v>
          </cell>
          <cell r="B1074" t="str">
            <v>Dailies</v>
          </cell>
        </row>
        <row r="1075">
          <cell r="A1075" t="str">
            <v>clstdai-lay-cont-p90-dazzle-black-sn0100</v>
          </cell>
          <cell r="B1075" t="str">
            <v>Layala</v>
          </cell>
        </row>
        <row r="1076">
          <cell r="A1076" t="str">
            <v>fw31218-spc-000809-1218-61</v>
          </cell>
          <cell r="B1076" t="str">
            <v>Spectus</v>
          </cell>
        </row>
        <row r="1077">
          <cell r="A1077" t="str">
            <v>sc40606-bab-000516-2106d-51</v>
          </cell>
          <cell r="B1077" t="str">
            <v>Babamio</v>
          </cell>
        </row>
        <row r="1078">
          <cell r="A1078" t="str">
            <v>clstdai-acu-dfrb-p60-sn0450</v>
          </cell>
          <cell r="B1078" t="str">
            <v>Acuvue</v>
          </cell>
        </row>
        <row r="1079">
          <cell r="A1079" t="str">
            <v>sw52306-30s-000225-2306-59</v>
          </cell>
          <cell r="B1079" t="str">
            <v>30Sunday</v>
          </cell>
        </row>
        <row r="1080">
          <cell r="A1080" t="str">
            <v>cost3mo-lay-lens-p02-crystal-brown-sn0075</v>
          </cell>
          <cell r="B1080" t="str">
            <v>Layala</v>
          </cell>
        </row>
        <row r="1081">
          <cell r="A1081" t="str">
            <v>costmon-ama-2022-p02-dream-sn0150</v>
          </cell>
          <cell r="B1081" t="str">
            <v>Amara</v>
          </cell>
        </row>
        <row r="1082">
          <cell r="A1082" t="str">
            <v>cost3mo-lay-lens-p02-chocolate-brown-sn0125</v>
          </cell>
          <cell r="B1082" t="str">
            <v>Layala</v>
          </cell>
        </row>
        <row r="1083">
          <cell r="A1083" t="str">
            <v>clstmon-eve-prom-p06-sp0450</v>
          </cell>
          <cell r="B1083" t="str">
            <v>Everva</v>
          </cell>
        </row>
        <row r="1084">
          <cell r="A1084" t="str">
            <v>clstdai-dai-aqua-p30-sn0525</v>
          </cell>
          <cell r="B1084" t="str">
            <v>Dailies</v>
          </cell>
        </row>
        <row r="1085">
          <cell r="A1085" t="str">
            <v>fw50918-spc-000714-0918-52</v>
          </cell>
          <cell r="B1085" t="str">
            <v>Spectus</v>
          </cell>
        </row>
        <row r="1086">
          <cell r="A1086" t="str">
            <v>clstdai-acu-oasy-p30-sp0200</v>
          </cell>
          <cell r="B1086" t="str">
            <v>Acuvue</v>
          </cell>
        </row>
        <row r="1087">
          <cell r="A1087" t="str">
            <v>cost3mo-lay-2022-p02-cosmo-gray-sn0125</v>
          </cell>
          <cell r="B1087" t="str">
            <v>Layala</v>
          </cell>
        </row>
        <row r="1088">
          <cell r="A1088" t="str">
            <v>costdai-ama-dail-p10-moon-stone-sn0850</v>
          </cell>
          <cell r="B1088" t="str">
            <v>Amara</v>
          </cell>
        </row>
        <row r="1089">
          <cell r="A1089" t="str">
            <v>costdai-acu-dffr-p30-blue-sn0600</v>
          </cell>
          <cell r="B1089" t="str">
            <v>Acuvue</v>
          </cell>
        </row>
        <row r="1090">
          <cell r="A1090" t="str">
            <v>sw42604-30s-000123-2604-51</v>
          </cell>
          <cell r="B1090" t="str">
            <v>30Sunday</v>
          </cell>
        </row>
        <row r="1091">
          <cell r="A1091" t="str">
            <v>clstdai-lay-cont-p30-dazzle-black-sn0200</v>
          </cell>
          <cell r="B1091" t="str">
            <v>Layala</v>
          </cell>
        </row>
        <row r="1092">
          <cell r="A1092" t="str">
            <v>fw102318-spc-000300-2300-52</v>
          </cell>
          <cell r="B1092" t="str">
            <v>Spectus</v>
          </cell>
        </row>
        <row r="1093">
          <cell r="A1093" t="str">
            <v>costdai-acu-dffr-p10-blue-sn0650</v>
          </cell>
          <cell r="B1093" t="str">
            <v>Acuvue</v>
          </cell>
        </row>
        <row r="1094">
          <cell r="A1094" t="str">
            <v>costmon-ama-lens-p02-mocca-sn0250</v>
          </cell>
          <cell r="B1094" t="str">
            <v>Amara</v>
          </cell>
        </row>
        <row r="1095">
          <cell r="A1095" t="str">
            <v>cost3mo-lay-2023-p02-selene-green-sn0150</v>
          </cell>
          <cell r="B1095" t="str">
            <v>Layala</v>
          </cell>
        </row>
        <row r="1096">
          <cell r="A1096" t="str">
            <v>cltobiw-acu-oasy-p06-sn0100-cn0075-a010</v>
          </cell>
          <cell r="B1096" t="str">
            <v>Acuvue</v>
          </cell>
        </row>
        <row r="1097">
          <cell r="A1097" t="str">
            <v>cost3mo-lay-2020-p02-hazel-brown-sn0450</v>
          </cell>
          <cell r="B1097" t="str">
            <v>Layala</v>
          </cell>
        </row>
        <row r="1098">
          <cell r="A1098" t="str">
            <v>costdai-ama-dail-p10-shadow-sn0275</v>
          </cell>
          <cell r="B1098" t="str">
            <v>Amara</v>
          </cell>
        </row>
        <row r="1099">
          <cell r="A1099" t="str">
            <v>costmon-ama-lens-p02-crocodile-green-sn1000</v>
          </cell>
          <cell r="B1099" t="str">
            <v>Amara</v>
          </cell>
        </row>
        <row r="1100">
          <cell r="A1100" t="str">
            <v>cltobiw-acu-oasy-p06-sn0150-cn0075-a070</v>
          </cell>
          <cell r="B1100" t="str">
            <v>Acuvue</v>
          </cell>
        </row>
        <row r="1101">
          <cell r="A1101" t="str">
            <v>cost3mo-lay-lens-p02-platinum-gray-sn0375</v>
          </cell>
          <cell r="B1101" t="str">
            <v>Layala</v>
          </cell>
        </row>
        <row r="1102">
          <cell r="A1102" t="str">
            <v>clstdai-acu-omax-p30-sp0575</v>
          </cell>
          <cell r="B1102" t="str">
            <v>Acuvue</v>
          </cell>
        </row>
        <row r="1103">
          <cell r="A1103" t="str">
            <v>cost3mo-lay-2021-p02-skye-blue-sn0050</v>
          </cell>
          <cell r="B1103" t="str">
            <v>Layala</v>
          </cell>
        </row>
        <row r="1104">
          <cell r="A1104" t="str">
            <v>su20107-30s-000213-0107-50</v>
          </cell>
          <cell r="B1104" t="str">
            <v>30Sunday</v>
          </cell>
        </row>
        <row r="1105">
          <cell r="A1105" t="str">
            <v>clstdai-lay-cont-p90-dazzle-brown-sn0700</v>
          </cell>
          <cell r="B1105" t="str">
            <v>Layala</v>
          </cell>
        </row>
        <row r="1106">
          <cell r="A1106" t="str">
            <v>costdai-acu-dffr-p30-grayzel-sn0100</v>
          </cell>
          <cell r="B1106" t="str">
            <v>Acuvue</v>
          </cell>
        </row>
        <row r="1107">
          <cell r="A1107" t="str">
            <v>costmon-ama-lens-p02-mocca-sn0175</v>
          </cell>
          <cell r="B1107" t="str">
            <v>Amara</v>
          </cell>
        </row>
        <row r="1108">
          <cell r="A1108" t="str">
            <v>saccase-30s-case103-blk-blk-black</v>
          </cell>
          <cell r="B1108" t="str">
            <v>30Sunday</v>
          </cell>
        </row>
        <row r="1109">
          <cell r="A1109" t="str">
            <v>sm50102-30s-000251-2902-51</v>
          </cell>
          <cell r="B1109" t="str">
            <v>30Sunday</v>
          </cell>
        </row>
        <row r="1110">
          <cell r="A1110" t="str">
            <v>bc51318-bab-000506-1318-48</v>
          </cell>
          <cell r="B1110" t="str">
            <v>Babamio</v>
          </cell>
        </row>
        <row r="1111">
          <cell r="A1111" t="str">
            <v>sacchan-30s-chain130-grn-clover-green</v>
          </cell>
          <cell r="B1111" t="str">
            <v>30Sunday</v>
          </cell>
        </row>
        <row r="1112">
          <cell r="A1112" t="str">
            <v>clstdai-acu-mois-p30-sn0900</v>
          </cell>
          <cell r="B1112" t="str">
            <v>Acuvue</v>
          </cell>
        </row>
        <row r="1113">
          <cell r="A1113" t="str">
            <v>sw40107-30s-000240-0101-50</v>
          </cell>
          <cell r="B1113" t="str">
            <v>30Sunday</v>
          </cell>
        </row>
        <row r="1114">
          <cell r="A1114" t="str">
            <v>clstdai-lay-cont-p90-dazzle-black-sn0325</v>
          </cell>
          <cell r="B1114" t="str">
            <v>Layala</v>
          </cell>
        </row>
        <row r="1115">
          <cell r="A1115" t="str">
            <v>clstdai-btr-oned-p30-sn0100</v>
          </cell>
          <cell r="B1115" t="str">
            <v>Biotrue</v>
          </cell>
        </row>
        <row r="1116">
          <cell r="A1116" t="str">
            <v>clstdai-acu-dfna-p30-sn0800</v>
          </cell>
          <cell r="B1116" t="str">
            <v>Acuvue</v>
          </cell>
        </row>
        <row r="1117">
          <cell r="A1117" t="str">
            <v>clstdai-acu-omax-p30-sp0650</v>
          </cell>
          <cell r="B1117" t="str">
            <v>Acuvue</v>
          </cell>
        </row>
        <row r="1118">
          <cell r="A1118" t="str">
            <v>costmon-ama-2022-p02-tiger-eyes-sn0125</v>
          </cell>
          <cell r="B1118" t="str">
            <v>Amara</v>
          </cell>
        </row>
        <row r="1119">
          <cell r="A1119" t="str">
            <v>cltobiw-acu-oasy-p06-sn0425-cn0075-a010</v>
          </cell>
          <cell r="B1119" t="str">
            <v>Acuvue</v>
          </cell>
        </row>
        <row r="1120">
          <cell r="A1120" t="str">
            <v>costmon-ama-2020-p02-charcoal-gray-sn0525</v>
          </cell>
          <cell r="B1120" t="str">
            <v>Amara</v>
          </cell>
        </row>
        <row r="1121">
          <cell r="A1121" t="str">
            <v>costdai-acu-dffr-p10-blue-sn0175</v>
          </cell>
          <cell r="B1121" t="str">
            <v>Acuvue</v>
          </cell>
        </row>
        <row r="1122">
          <cell r="A1122" t="str">
            <v>ru40118-spc-000850-0118-49-sp0150</v>
          </cell>
          <cell r="B1122" t="str">
            <v>Spectus</v>
          </cell>
        </row>
        <row r="1123">
          <cell r="A1123" t="str">
            <v>clstbiw-acu-0002-p06-sp0550</v>
          </cell>
          <cell r="B1123" t="str">
            <v>Acuvue</v>
          </cell>
        </row>
        <row r="1124">
          <cell r="A1124" t="str">
            <v>costmon-ama-2022-p02-tan-sn0350</v>
          </cell>
          <cell r="B1124" t="str">
            <v>Amara</v>
          </cell>
        </row>
        <row r="1125">
          <cell r="A1125" t="str">
            <v>clstdai-acu-oasy-p30-sp0100</v>
          </cell>
          <cell r="B1125" t="str">
            <v>Acuvue</v>
          </cell>
        </row>
        <row r="1126">
          <cell r="A1126" t="str">
            <v>sw100407-bla-000318-0407-56</v>
          </cell>
          <cell r="B1126" t="str">
            <v>BlackOut</v>
          </cell>
        </row>
        <row r="1127">
          <cell r="A1127" t="str">
            <v>bc70218-bab-000513-0218-46</v>
          </cell>
          <cell r="B1127" t="str">
            <v>Babamio</v>
          </cell>
        </row>
        <row r="1128">
          <cell r="A1128" t="str">
            <v>sm100702-30s-000407-0702-52</v>
          </cell>
          <cell r="B1128" t="str">
            <v>30Sunday</v>
          </cell>
        </row>
        <row r="1129">
          <cell r="A1129" t="str">
            <v>saccase-30s-case103-nvy-brn-navy-blue</v>
          </cell>
          <cell r="B1129" t="str">
            <v>30Sunday</v>
          </cell>
        </row>
        <row r="1130">
          <cell r="A1130" t="str">
            <v>sw62104-bla-000242-2104-52</v>
          </cell>
          <cell r="B1130" t="str">
            <v>BlackOut</v>
          </cell>
        </row>
        <row r="1131">
          <cell r="A1131" t="str">
            <v>fu70118-spc-000832-0118-50</v>
          </cell>
          <cell r="B1131" t="str">
            <v>Spectus</v>
          </cell>
        </row>
        <row r="1132">
          <cell r="A1132" t="str">
            <v>clstdai-lay-cont-p90-dazzle-brown-sn0800</v>
          </cell>
          <cell r="B1132" t="str">
            <v>Layala</v>
          </cell>
        </row>
        <row r="1133">
          <cell r="A1133" t="str">
            <v>clstdai-dai-aqua-p90-sp0250</v>
          </cell>
          <cell r="B1133" t="str">
            <v>Dailies</v>
          </cell>
        </row>
        <row r="1134">
          <cell r="A1134" t="str">
            <v>costmon-ama-2024-p02-chocolate-sn0275</v>
          </cell>
          <cell r="B1134" t="str">
            <v>Amara</v>
          </cell>
        </row>
        <row r="1135">
          <cell r="A1135" t="str">
            <v>costmon-ama-lens-p02-dark-sepia-sn0125</v>
          </cell>
          <cell r="B1135" t="str">
            <v>Amara</v>
          </cell>
        </row>
        <row r="1136">
          <cell r="A1136" t="str">
            <v>sw42904-bla-000245-2904-51</v>
          </cell>
          <cell r="B1136" t="str">
            <v>BlackOut</v>
          </cell>
        </row>
        <row r="1137">
          <cell r="A1137" t="str">
            <v>clstdai-acu-oasy-p30-sn0400</v>
          </cell>
          <cell r="B1137" t="str">
            <v>Acuvue</v>
          </cell>
        </row>
        <row r="1138">
          <cell r="A1138" t="str">
            <v>sw52904-bla-000219-2904-57</v>
          </cell>
          <cell r="B1138" t="str">
            <v>BlackOut</v>
          </cell>
        </row>
        <row r="1139">
          <cell r="A1139" t="str">
            <v>clstdai-acu-oasy-p60-sn0450</v>
          </cell>
          <cell r="B1139" t="str">
            <v>Acuvue</v>
          </cell>
        </row>
        <row r="1140">
          <cell r="A1140" t="str">
            <v>sw40101-bla-000271-0101-49</v>
          </cell>
          <cell r="B1140" t="str">
            <v>BlackOut</v>
          </cell>
        </row>
        <row r="1141">
          <cell r="A1141" t="str">
            <v>costmon-ama-lens-p02-dark-sepia-sn0425</v>
          </cell>
          <cell r="B1141" t="str">
            <v>Amara</v>
          </cell>
        </row>
        <row r="1142">
          <cell r="A1142" t="str">
            <v>clstdai-acu-dfrb-p90-sn0250</v>
          </cell>
          <cell r="B1142" t="str">
            <v>Acuvue</v>
          </cell>
        </row>
        <row r="1143">
          <cell r="A1143" t="str">
            <v>clstdai-dai-tot1-p90-sp0075</v>
          </cell>
          <cell r="B1143" t="str">
            <v>Dailies</v>
          </cell>
        </row>
        <row r="1144">
          <cell r="A1144" t="str">
            <v>costmon-ama-2020-p02-pure-hazel-sn0200</v>
          </cell>
          <cell r="B1144" t="str">
            <v>Amara</v>
          </cell>
        </row>
        <row r="1145">
          <cell r="A1145" t="str">
            <v>clstdai-acu-dfrb-p90-sn0150</v>
          </cell>
          <cell r="B1145" t="str">
            <v>Acuvue</v>
          </cell>
        </row>
        <row r="1146">
          <cell r="A1146" t="str">
            <v>clstdai-acu-dfrb-p90-sn0375</v>
          </cell>
          <cell r="B1146" t="str">
            <v>Acuvue</v>
          </cell>
        </row>
        <row r="1147">
          <cell r="A1147" t="str">
            <v>clstdai-acu-mois-p30-sn0550</v>
          </cell>
          <cell r="B1147" t="str">
            <v>Acuvue</v>
          </cell>
        </row>
        <row r="1148">
          <cell r="A1148" t="str">
            <v>clstdai-acu-omax-p90-sp0550</v>
          </cell>
          <cell r="B1148" t="str">
            <v>Acuvue</v>
          </cell>
        </row>
        <row r="1149">
          <cell r="A1149" t="str">
            <v>clstdai-lay-cont-p90-dazzle-brown-sn0125</v>
          </cell>
          <cell r="B1149" t="str">
            <v>Layala</v>
          </cell>
        </row>
        <row r="1150">
          <cell r="A1150" t="str">
            <v>clstdai-sof-sdai-p90-sn0375</v>
          </cell>
          <cell r="B1150" t="str">
            <v>Soflens</v>
          </cell>
        </row>
        <row r="1151">
          <cell r="A1151" t="str">
            <v>costdai-acu-dffr-p10-rose-sn0225</v>
          </cell>
          <cell r="B1151" t="str">
            <v>Acuvue</v>
          </cell>
        </row>
        <row r="1152">
          <cell r="A1152" t="str">
            <v>sm20207-30s-000219-0207-50</v>
          </cell>
          <cell r="B1152" t="str">
            <v>30Sunday</v>
          </cell>
        </row>
        <row r="1153">
          <cell r="A1153" t="str">
            <v>costdai-acu-dffr-p30-honey-sn0175</v>
          </cell>
          <cell r="B1153" t="str">
            <v>Acuvue</v>
          </cell>
        </row>
        <row r="1154">
          <cell r="A1154" t="str">
            <v>costdai-acu-dffr-p30-hazel-sn0300</v>
          </cell>
          <cell r="B1154" t="str">
            <v>Acuvue</v>
          </cell>
        </row>
        <row r="1155">
          <cell r="A1155" t="str">
            <v>clstdai-acu-dfrb-p30-sn0475</v>
          </cell>
          <cell r="B1155" t="str">
            <v>Acuvue</v>
          </cell>
        </row>
        <row r="1156">
          <cell r="A1156" t="str">
            <v>sw60404-bla-000242-0404-52</v>
          </cell>
          <cell r="B1156" t="str">
            <v>BlackOut</v>
          </cell>
        </row>
        <row r="1157">
          <cell r="A1157" t="str">
            <v>sc40207-bab-000511-0207d-46</v>
          </cell>
          <cell r="B1157" t="str">
            <v>Babamio</v>
          </cell>
        </row>
        <row r="1158">
          <cell r="A1158" t="str">
            <v>fc52618-bab-00561-2618d-51</v>
          </cell>
          <cell r="B1158" t="str">
            <v>Babamio</v>
          </cell>
        </row>
        <row r="1159">
          <cell r="A1159" t="str">
            <v>sm101206-bla-000337-1206-57</v>
          </cell>
          <cell r="B1159" t="str">
            <v>BlackOut</v>
          </cell>
        </row>
        <row r="1160">
          <cell r="A1160" t="str">
            <v>costdai-acu-dffr-p10-grayzel-sn0800</v>
          </cell>
          <cell r="B1160" t="str">
            <v>Acuvue</v>
          </cell>
        </row>
        <row r="1161">
          <cell r="A1161" t="str">
            <v>clstdai-acu-omax-p90-sn0075</v>
          </cell>
          <cell r="B1161" t="str">
            <v>Acuvue</v>
          </cell>
        </row>
        <row r="1162">
          <cell r="A1162" t="str">
            <v>ru40118-spc-000850-0118-49-sp0100</v>
          </cell>
          <cell r="B1162" t="str">
            <v>Spectus</v>
          </cell>
        </row>
        <row r="1163">
          <cell r="A1163" t="str">
            <v>clstdai-lay-cont-p60-dazzle-black-sn0225</v>
          </cell>
          <cell r="B1163" t="str">
            <v>Layala</v>
          </cell>
        </row>
        <row r="1164">
          <cell r="A1164" t="str">
            <v>sw20506-bla-000206-2706-57</v>
          </cell>
          <cell r="B1164" t="str">
            <v>BlackOut</v>
          </cell>
        </row>
        <row r="1165">
          <cell r="A1165" t="str">
            <v>sm51304-30s-000200-1304-57</v>
          </cell>
          <cell r="B1165" t="str">
            <v>30Sunday</v>
          </cell>
        </row>
        <row r="1166">
          <cell r="A1166" t="str">
            <v>sw52309-bla-000105-2310-59</v>
          </cell>
          <cell r="B1166" t="str">
            <v>BlackOut</v>
          </cell>
        </row>
        <row r="1167">
          <cell r="A1167" t="str">
            <v>clstdai-acu-omax-p90-sp0600</v>
          </cell>
          <cell r="B1167" t="str">
            <v>Acuvue</v>
          </cell>
        </row>
        <row r="1168">
          <cell r="A1168" t="str">
            <v>clstbiw-acu-0002-p06-sn0525</v>
          </cell>
          <cell r="B1168" t="str">
            <v>Acuvue</v>
          </cell>
        </row>
        <row r="1169">
          <cell r="A1169" t="str">
            <v>clstbiw-acu-cle-p06-sn0225</v>
          </cell>
          <cell r="B1169" t="str">
            <v>Acuvue</v>
          </cell>
        </row>
        <row r="1170">
          <cell r="A1170" t="str">
            <v>fw40918-spc-000650-0918-51</v>
          </cell>
          <cell r="B1170" t="str">
            <v>Spectus</v>
          </cell>
        </row>
        <row r="1171">
          <cell r="A1171" t="str">
            <v>sw70804-30s-000282-0804-54</v>
          </cell>
          <cell r="B1171" t="str">
            <v>30Sunday</v>
          </cell>
        </row>
        <row r="1172">
          <cell r="A1172" t="str">
            <v>costdai-ama-dail-p10-amber-sn0250</v>
          </cell>
          <cell r="B1172" t="str">
            <v>Amara</v>
          </cell>
        </row>
        <row r="1173">
          <cell r="A1173" t="str">
            <v>costdai-ama-dail-p10-sugar-sn0650</v>
          </cell>
          <cell r="B1173" t="str">
            <v>Amara</v>
          </cell>
        </row>
        <row r="1174">
          <cell r="A1174" t="str">
            <v>clstdai-lay-cont-p30-dazzle-brown-sn0475</v>
          </cell>
          <cell r="B1174" t="str">
            <v>Layala</v>
          </cell>
        </row>
        <row r="1175">
          <cell r="A1175" t="str">
            <v>clstdai-sof-sdai-p30-sn0600</v>
          </cell>
          <cell r="B1175" t="str">
            <v>Soflens</v>
          </cell>
        </row>
        <row r="1176">
          <cell r="A1176" t="str">
            <v>fw32418-spc-000722-2418-51</v>
          </cell>
          <cell r="B1176" t="str">
            <v>Spectus</v>
          </cell>
        </row>
        <row r="1177">
          <cell r="A1177" t="str">
            <v>clstdai-lay-cont-p10-dazzle-brown-sn0075</v>
          </cell>
          <cell r="B1177" t="str">
            <v>Layala</v>
          </cell>
        </row>
        <row r="1178">
          <cell r="A1178" t="str">
            <v>clstdai-btr-oned-p90-sn0350</v>
          </cell>
          <cell r="B1178" t="str">
            <v>Biotrue</v>
          </cell>
        </row>
        <row r="1179">
          <cell r="A1179" t="str">
            <v>clstdai-acu-dfrb-p30-sn0450</v>
          </cell>
          <cell r="B1179" t="str">
            <v>Acuvue</v>
          </cell>
        </row>
        <row r="1180">
          <cell r="A1180" t="str">
            <v>fc20218-bab-000250-0200-46</v>
          </cell>
          <cell r="B1180" t="str">
            <v>Babamio</v>
          </cell>
        </row>
        <row r="1181">
          <cell r="A1181" t="str">
            <v>costmon-ama-2020-p02-charcoal-gray-sn0900</v>
          </cell>
          <cell r="B1181" t="str">
            <v>Amara</v>
          </cell>
        </row>
        <row r="1182">
          <cell r="A1182" t="str">
            <v>fw101218-spc-000866-1218-49</v>
          </cell>
          <cell r="B1182" t="str">
            <v>Spectus</v>
          </cell>
        </row>
        <row r="1183">
          <cell r="A1183" t="str">
            <v>sw30507-bla-000220-0501-65</v>
          </cell>
          <cell r="B1183" t="str">
            <v>BlackOut</v>
          </cell>
        </row>
        <row r="1184">
          <cell r="A1184" t="str">
            <v>fw70518-spc-000513-0500-52</v>
          </cell>
          <cell r="B1184" t="str">
            <v>Spectus</v>
          </cell>
        </row>
        <row r="1185">
          <cell r="A1185" t="str">
            <v>clstdai-lay-cont-p10-dazzle-black-sn0225</v>
          </cell>
          <cell r="B1185" t="str">
            <v>Layala</v>
          </cell>
        </row>
        <row r="1186">
          <cell r="A1186" t="str">
            <v>costmon-ama-lens-p02-crocodile-green-sn0300</v>
          </cell>
          <cell r="B1186" t="str">
            <v>Amara</v>
          </cell>
        </row>
        <row r="1187">
          <cell r="A1187" t="str">
            <v>sw30404-30s-000121-0404-49</v>
          </cell>
          <cell r="B1187" t="str">
            <v>30Sunday</v>
          </cell>
        </row>
        <row r="1188">
          <cell r="A1188" t="str">
            <v>clstbiw-acu-oasy-p18-sn0250</v>
          </cell>
          <cell r="B1188" t="str">
            <v>Acuvue</v>
          </cell>
        </row>
        <row r="1189">
          <cell r="A1189" t="str">
            <v>costmon-ama-2024-p02-chocolate-sn0150</v>
          </cell>
          <cell r="B1189" t="str">
            <v>Amara</v>
          </cell>
        </row>
        <row r="1190">
          <cell r="A1190" t="str">
            <v>clstmon-eve-prom-p06-sn0175</v>
          </cell>
          <cell r="B1190" t="str">
            <v>Everva</v>
          </cell>
        </row>
        <row r="1191">
          <cell r="A1191" t="str">
            <v>clstdai-acu-omax-p90-sn0125</v>
          </cell>
          <cell r="B1191" t="str">
            <v>Acuvue</v>
          </cell>
        </row>
        <row r="1192">
          <cell r="A1192" t="str">
            <v>clstdai-dai-aqua-p90-sp0200</v>
          </cell>
          <cell r="B1192" t="str">
            <v>Dailies</v>
          </cell>
        </row>
        <row r="1193">
          <cell r="A1193" t="str">
            <v>cltobiw-acu-oasy-p06-sn0450-cn0075-a010</v>
          </cell>
          <cell r="B1193" t="str">
            <v>Acuvue</v>
          </cell>
        </row>
        <row r="1194">
          <cell r="A1194" t="str">
            <v>clstdai-acu-mois-p30-sp0300</v>
          </cell>
          <cell r="B1194" t="str">
            <v>Acuvue</v>
          </cell>
        </row>
        <row r="1195">
          <cell r="A1195" t="str">
            <v>cost3mo-lay-2021-p02-sunkiss-brown-sn0375</v>
          </cell>
          <cell r="B1195" t="str">
            <v>Layala</v>
          </cell>
        </row>
        <row r="1196">
          <cell r="A1196" t="str">
            <v>clstdai-dai-tot1-p30-sn0225</v>
          </cell>
          <cell r="B1196" t="str">
            <v>Dailies</v>
          </cell>
        </row>
        <row r="1197">
          <cell r="A1197" t="str">
            <v>sm50107-30s-00438-0107p-52</v>
          </cell>
          <cell r="B1197" t="str">
            <v>30Sunday</v>
          </cell>
        </row>
        <row r="1198">
          <cell r="A1198" t="str">
            <v>cost3mo-lay-2021-p02-skye-blue-sn0300</v>
          </cell>
          <cell r="B1198" t="str">
            <v>Layala</v>
          </cell>
        </row>
        <row r="1199">
          <cell r="A1199" t="str">
            <v>su70202-30s-000268-0202-53</v>
          </cell>
          <cell r="B1199" t="str">
            <v>30Sunday</v>
          </cell>
        </row>
        <row r="1200">
          <cell r="A1200" t="str">
            <v>clstdai-acu-omax-p90-sn0400</v>
          </cell>
          <cell r="B1200" t="str">
            <v>Acuvue</v>
          </cell>
        </row>
        <row r="1201">
          <cell r="A1201" t="str">
            <v>costdai-ama-dail-p10-amber-sn0075</v>
          </cell>
          <cell r="B1201" t="str">
            <v>Amara</v>
          </cell>
        </row>
        <row r="1202">
          <cell r="A1202" t="str">
            <v>su100404-30s-000305-0404-50</v>
          </cell>
          <cell r="B1202" t="str">
            <v>30Sunday</v>
          </cell>
        </row>
        <row r="1203">
          <cell r="A1203" t="str">
            <v>su100707-bla-000384-0707-55</v>
          </cell>
          <cell r="B1203" t="str">
            <v>BlackOut</v>
          </cell>
        </row>
        <row r="1204">
          <cell r="A1204" t="str">
            <v>sw40202-bla-000254-0202-52</v>
          </cell>
          <cell r="B1204" t="str">
            <v>BlackOut</v>
          </cell>
        </row>
        <row r="1205">
          <cell r="A1205" t="str">
            <v>cost3mo-lay-lens-p02-crystal-brown-sn0100</v>
          </cell>
          <cell r="B1205" t="str">
            <v>Layala</v>
          </cell>
        </row>
        <row r="1206">
          <cell r="A1206" t="str">
            <v>sw40406-30s-000274-0406-54</v>
          </cell>
          <cell r="B1206" t="str">
            <v>30Sunday</v>
          </cell>
        </row>
        <row r="1207">
          <cell r="A1207" t="str">
            <v>su51406-30s-000236-1406-49</v>
          </cell>
          <cell r="B1207" t="str">
            <v>30Sunday</v>
          </cell>
        </row>
        <row r="1208">
          <cell r="A1208" t="str">
            <v>costdai-acu-dffr-p10-blue-sn0400</v>
          </cell>
          <cell r="B1208" t="str">
            <v>Acuvue</v>
          </cell>
        </row>
        <row r="1209">
          <cell r="A1209" t="str">
            <v>costmon-ama-2022-p02-tiger-eyes-sn0050</v>
          </cell>
          <cell r="B1209" t="str">
            <v>Amara</v>
          </cell>
        </row>
        <row r="1210">
          <cell r="A1210" t="str">
            <v>fw30618-spc-000723-0618-54</v>
          </cell>
          <cell r="B1210" t="str">
            <v>Spectus</v>
          </cell>
        </row>
        <row r="1211">
          <cell r="A1211" t="str">
            <v>costdai-ama-dail-p10-amber-sn0700</v>
          </cell>
          <cell r="B1211" t="str">
            <v>Amara</v>
          </cell>
        </row>
        <row r="1212">
          <cell r="A1212" t="str">
            <v>sw102604-30s-000306-2604-49</v>
          </cell>
          <cell r="B1212" t="str">
            <v>30Sunday</v>
          </cell>
        </row>
        <row r="1213">
          <cell r="A1213" t="str">
            <v>su52404-30s-000442-2404-50</v>
          </cell>
          <cell r="B1213" t="str">
            <v>30Sunday</v>
          </cell>
        </row>
        <row r="1214">
          <cell r="A1214" t="str">
            <v>saccase-30s-case101-nvy-brn-navy-blue</v>
          </cell>
          <cell r="B1214" t="str">
            <v>30Sunday</v>
          </cell>
        </row>
        <row r="1215">
          <cell r="A1215" t="str">
            <v>sw40604-bla-000261-0604-50</v>
          </cell>
          <cell r="B1215" t="str">
            <v>BlackOut</v>
          </cell>
        </row>
        <row r="1216">
          <cell r="A1216" t="str">
            <v>clstdai-dai-aqua-p30-sn0075</v>
          </cell>
          <cell r="B1216" t="str">
            <v>Dailies</v>
          </cell>
        </row>
        <row r="1217">
          <cell r="A1217" t="str">
            <v>costmon-ama-lens-p02-mocca-sn0475</v>
          </cell>
          <cell r="B1217" t="str">
            <v>Amara</v>
          </cell>
        </row>
        <row r="1218">
          <cell r="A1218" t="str">
            <v>cost3mo-lay-2022-p02-royal-green-sn0375</v>
          </cell>
          <cell r="B1218" t="str">
            <v>Layala</v>
          </cell>
        </row>
        <row r="1219">
          <cell r="A1219" t="str">
            <v>sw70404-30s-000260-0404-53</v>
          </cell>
          <cell r="B1219" t="str">
            <v>30Sunday</v>
          </cell>
        </row>
        <row r="1220">
          <cell r="A1220" t="str">
            <v>cost3mo-lay-2020-p02-ash-gray-sn0325</v>
          </cell>
          <cell r="B1220" t="str">
            <v>Layala</v>
          </cell>
        </row>
        <row r="1221">
          <cell r="A1221" t="str">
            <v>clstdai-btr-oned-p30-sn0175</v>
          </cell>
          <cell r="B1221" t="str">
            <v>Biotrue</v>
          </cell>
        </row>
        <row r="1222">
          <cell r="A1222" t="str">
            <v>costmon-ama-2024-p02-matcha-sn0425</v>
          </cell>
          <cell r="B1222" t="str">
            <v>Amara</v>
          </cell>
        </row>
        <row r="1223">
          <cell r="A1223" t="str">
            <v>costmon-ama-lens-p02-mocca-sn1000</v>
          </cell>
          <cell r="B1223" t="str">
            <v>Amara</v>
          </cell>
        </row>
        <row r="1224">
          <cell r="A1224" t="str">
            <v>sacchan-30s-chain139-wht-nebula-white-pearl</v>
          </cell>
          <cell r="B1224" t="str">
            <v>30Sunday</v>
          </cell>
        </row>
        <row r="1225">
          <cell r="A1225" t="str">
            <v>clstdai-dai-tot1-p90-sp0300</v>
          </cell>
          <cell r="B1225" t="str">
            <v>Dailies</v>
          </cell>
        </row>
        <row r="1226">
          <cell r="A1226" t="str">
            <v>costmon-ama-2020-p02-charcoal-gray-sn0500</v>
          </cell>
          <cell r="B1226" t="str">
            <v>Amara</v>
          </cell>
        </row>
        <row r="1227">
          <cell r="A1227" t="str">
            <v>clstmon-bme-bm55-p06-sn0250</v>
          </cell>
          <cell r="B1227" t="str">
            <v>Biomedics</v>
          </cell>
        </row>
        <row r="1228">
          <cell r="A1228" t="str">
            <v>sunglasses-30Sundays-30s-000455-0707</v>
          </cell>
          <cell r="B1228" t="str">
            <v>30Sunday</v>
          </cell>
        </row>
        <row r="1229">
          <cell r="A1229" t="str">
            <v>cost3mo-lay-2020-p02-hazel-brown-sn0075</v>
          </cell>
          <cell r="B1229" t="str">
            <v>Layala</v>
          </cell>
        </row>
        <row r="1230">
          <cell r="A1230" t="str">
            <v>fm20218-spc-000635-0218-50</v>
          </cell>
          <cell r="B1230" t="str">
            <v>Spectus</v>
          </cell>
        </row>
        <row r="1231">
          <cell r="A1231" t="str">
            <v>clstdai-sof-sdai-p90-sn0500</v>
          </cell>
          <cell r="B1231" t="str">
            <v>Soflens</v>
          </cell>
        </row>
        <row r="1232">
          <cell r="A1232" t="str">
            <v>costmon-ama-2020-p02-charcoal-gray-sn0425</v>
          </cell>
          <cell r="B1232" t="str">
            <v>Amara</v>
          </cell>
        </row>
        <row r="1233">
          <cell r="A1233" t="str">
            <v>sw100808-bla-000268-2908-56</v>
          </cell>
          <cell r="B1233" t="str">
            <v>BlackOut</v>
          </cell>
        </row>
        <row r="1234">
          <cell r="A1234" t="str">
            <v>clstdai-sof-sdai-p30-sn0150</v>
          </cell>
          <cell r="B1234" t="str">
            <v>Soflens</v>
          </cell>
        </row>
        <row r="1235">
          <cell r="A1235" t="str">
            <v>clstdai-acu-oasy-p120-sn1050</v>
          </cell>
          <cell r="B1235" t="str">
            <v>Acuvue</v>
          </cell>
        </row>
        <row r="1236">
          <cell r="A1236" t="str">
            <v>clstbiw-acu-oasy-p18-sn0425</v>
          </cell>
          <cell r="B1236" t="str">
            <v>Acuvue</v>
          </cell>
        </row>
        <row r="1237">
          <cell r="A1237" t="str">
            <v>costdai-ama-dail-p10-moon-stone-sn0500</v>
          </cell>
          <cell r="B1237" t="str">
            <v>Amara</v>
          </cell>
        </row>
        <row r="1238">
          <cell r="A1238" t="str">
            <v>clstdai-acu-oasy-p60-sn0400</v>
          </cell>
          <cell r="B1238" t="str">
            <v>Acuvue</v>
          </cell>
        </row>
        <row r="1239">
          <cell r="A1239" t="str">
            <v>cost3mo-lay-2022-p02-sage-gray-sn0375</v>
          </cell>
          <cell r="B1239" t="str">
            <v>Layala</v>
          </cell>
        </row>
        <row r="1240">
          <cell r="A1240" t="str">
            <v>cost3mo-lay-2022-p02-avena-brown-sn0175</v>
          </cell>
          <cell r="B1240" t="str">
            <v>Layala</v>
          </cell>
        </row>
        <row r="1241">
          <cell r="A1241" t="str">
            <v>clstdai-acu-dfrb-p60-sn0500</v>
          </cell>
          <cell r="B1241" t="str">
            <v>Acuvue</v>
          </cell>
        </row>
        <row r="1242">
          <cell r="A1242" t="str">
            <v>clstdai-acu-omax-p30-sp0500</v>
          </cell>
          <cell r="B1242" t="str">
            <v>Acuvue</v>
          </cell>
        </row>
        <row r="1243">
          <cell r="A1243" t="str">
            <v>clstdai-acu-mois-p30-sn0475</v>
          </cell>
          <cell r="B1243" t="str">
            <v>Acuvue</v>
          </cell>
        </row>
        <row r="1244">
          <cell r="A1244" t="str">
            <v>sc50904-bab-000503-0904-46</v>
          </cell>
          <cell r="B1244" t="str">
            <v>Babamio</v>
          </cell>
        </row>
        <row r="1245">
          <cell r="A1245" t="str">
            <v>clstdai-acu-oasy-p60-sn0100</v>
          </cell>
          <cell r="B1245" t="str">
            <v>Acuvue</v>
          </cell>
        </row>
        <row r="1246">
          <cell r="A1246" t="str">
            <v>costdai-acu-dffr-p30-honey-sn0150</v>
          </cell>
          <cell r="B1246" t="str">
            <v>Acuvue</v>
          </cell>
        </row>
        <row r="1247">
          <cell r="A1247" t="str">
            <v>clstdai-acu-oasy-p90-sp0500</v>
          </cell>
          <cell r="B1247" t="str">
            <v>Acuvue</v>
          </cell>
        </row>
        <row r="1248">
          <cell r="A1248" t="str">
            <v>sc22002-bab-000514-2002d-43</v>
          </cell>
          <cell r="B1248" t="str">
            <v>Babamio</v>
          </cell>
        </row>
        <row r="1249">
          <cell r="A1249" t="str">
            <v>sm50707-30s-000299-0707p-53</v>
          </cell>
          <cell r="B1249" t="str">
            <v>30Sunday</v>
          </cell>
        </row>
        <row r="1250">
          <cell r="A1250" t="str">
            <v>costmon-ama-2022-p02-dream-sn0500</v>
          </cell>
          <cell r="B1250" t="str">
            <v>Amara</v>
          </cell>
        </row>
        <row r="1251">
          <cell r="A1251" t="str">
            <v>bc50118-bab-00538-0118d-51</v>
          </cell>
          <cell r="B1251" t="str">
            <v>Babamio</v>
          </cell>
        </row>
        <row r="1252">
          <cell r="A1252" t="str">
            <v>clstdai-acu-dfvi-p90-sn0225</v>
          </cell>
          <cell r="B1252" t="str">
            <v>Acuvue</v>
          </cell>
        </row>
        <row r="1253">
          <cell r="A1253" t="str">
            <v>su12906-30s-000230-2906-58</v>
          </cell>
          <cell r="B1253" t="str">
            <v>30Sunday</v>
          </cell>
        </row>
        <row r="1254">
          <cell r="A1254" t="str">
            <v>fm50218-spc-000557-0200-49</v>
          </cell>
          <cell r="B1254" t="str">
            <v>Spectus</v>
          </cell>
        </row>
        <row r="1255">
          <cell r="A1255" t="str">
            <v>clstdai-dai-aqua-p30-sp0225</v>
          </cell>
          <cell r="B1255" t="str">
            <v>Dailies</v>
          </cell>
        </row>
        <row r="1256">
          <cell r="A1256" t="str">
            <v>cost3mo-lay-2021-p02-willow-green-sn0275</v>
          </cell>
          <cell r="B1256" t="str">
            <v>Layala</v>
          </cell>
        </row>
        <row r="1257">
          <cell r="A1257" t="str">
            <v>costmon-ama-lens-p02-crocodile-green-sn0700</v>
          </cell>
          <cell r="B1257" t="str">
            <v>Amara</v>
          </cell>
        </row>
        <row r="1258">
          <cell r="A1258" t="str">
            <v>sm10101-30s-000202-0101-59</v>
          </cell>
          <cell r="B1258" t="str">
            <v>30Sunday</v>
          </cell>
        </row>
        <row r="1259">
          <cell r="A1259" t="str">
            <v>costdai-acu-dffr-p30-green-sn0175</v>
          </cell>
          <cell r="B1259" t="str">
            <v>Acuvue</v>
          </cell>
        </row>
        <row r="1260">
          <cell r="A1260" t="str">
            <v>costmon-ama-2024-p02-matcha-sn0050</v>
          </cell>
          <cell r="B1260" t="str">
            <v>Amara</v>
          </cell>
        </row>
        <row r="1261">
          <cell r="A1261" t="str">
            <v>su21306-30s-000232-1306-63</v>
          </cell>
          <cell r="B1261" t="str">
            <v>30Sunday</v>
          </cell>
        </row>
        <row r="1262">
          <cell r="A1262" t="str">
            <v>cost3mo-lay-lens-p02-platinum-gray-sn0325</v>
          </cell>
          <cell r="B1262" t="str">
            <v>Layala</v>
          </cell>
        </row>
        <row r="1263">
          <cell r="A1263" t="str">
            <v>costmon-ama-2022-p02-cocoa-sn0225</v>
          </cell>
          <cell r="B1263" t="str">
            <v>Amara</v>
          </cell>
        </row>
        <row r="1264">
          <cell r="A1264" t="str">
            <v>clstmon-eve-prom-p06-sn0800</v>
          </cell>
          <cell r="B1264" t="str">
            <v>Everva</v>
          </cell>
        </row>
        <row r="1265">
          <cell r="A1265" t="str">
            <v>clstdai-acu-omax-p30-sn0450</v>
          </cell>
          <cell r="B1265" t="str">
            <v>Acuvue</v>
          </cell>
        </row>
        <row r="1266">
          <cell r="A1266" t="str">
            <v>cost3mo-lay-lens-p02-forest-green-sn0450</v>
          </cell>
          <cell r="B1266" t="str">
            <v>Layala</v>
          </cell>
        </row>
        <row r="1267">
          <cell r="A1267" t="str">
            <v>clstdai-btr-oned-p90-sn0375</v>
          </cell>
          <cell r="B1267" t="str">
            <v>Biotrue</v>
          </cell>
        </row>
        <row r="1268">
          <cell r="A1268" t="str">
            <v>clstdai-acu-mois-p60-sn1150</v>
          </cell>
          <cell r="B1268" t="str">
            <v>Acuvue</v>
          </cell>
        </row>
        <row r="1269">
          <cell r="A1269" t="str">
            <v>clstdai-sof-sdai-p90-sn0525</v>
          </cell>
          <cell r="B1269" t="str">
            <v>Soflens</v>
          </cell>
        </row>
        <row r="1270">
          <cell r="A1270" t="str">
            <v>costmon-ama-lens-p02-crocodile-green-sn0275</v>
          </cell>
          <cell r="B1270" t="str">
            <v>Amara</v>
          </cell>
        </row>
        <row r="1271">
          <cell r="A1271" t="str">
            <v>clstdai-dai-tot1-p30-sn1200</v>
          </cell>
          <cell r="B1271" t="str">
            <v>Dailies</v>
          </cell>
        </row>
        <row r="1272">
          <cell r="A1272" t="str">
            <v>costdai-ama-dail-p10-shadow-sn0250</v>
          </cell>
          <cell r="B1272" t="str">
            <v>Amara</v>
          </cell>
        </row>
        <row r="1273">
          <cell r="A1273" t="str">
            <v>cost3mo-lay-2021-p02-polar-gray-sn0225</v>
          </cell>
          <cell r="B1273" t="str">
            <v>Layala</v>
          </cell>
        </row>
        <row r="1274">
          <cell r="A1274" t="str">
            <v>costmon-ama-2024-p02-chocolate-sn0100</v>
          </cell>
          <cell r="B1274" t="str">
            <v>Amara</v>
          </cell>
        </row>
        <row r="1275">
          <cell r="A1275" t="str">
            <v>cost3mo-lay-2025-p02-desert-topaz-sn0175</v>
          </cell>
          <cell r="B1275" t="str">
            <v>Layala</v>
          </cell>
        </row>
        <row r="1276">
          <cell r="A1276" t="str">
            <v>sm50504-30s-000241-0504-52</v>
          </cell>
          <cell r="B1276" t="str">
            <v>30Sunday</v>
          </cell>
        </row>
        <row r="1277">
          <cell r="A1277" t="str">
            <v>cost3mo-lay-2021-p02-stardust-gray-sn0125</v>
          </cell>
          <cell r="B1277" t="str">
            <v>Layala</v>
          </cell>
        </row>
        <row r="1278">
          <cell r="A1278" t="str">
            <v>clstmon-sof-sl59-p06-sn0500</v>
          </cell>
          <cell r="B1278" t="str">
            <v>Soflens</v>
          </cell>
        </row>
        <row r="1279">
          <cell r="A1279" t="str">
            <v>su41707-rov-8207-13-14-55</v>
          </cell>
          <cell r="B1279" t="str">
            <v>Roav</v>
          </cell>
        </row>
        <row r="1280">
          <cell r="A1280" t="str">
            <v>clstdai-eve-pure-p90-sp0400</v>
          </cell>
          <cell r="B1280" t="str">
            <v>Everva</v>
          </cell>
        </row>
        <row r="1281">
          <cell r="A1281" t="str">
            <v>costdai-ama-dail-p10-amber-sn0525</v>
          </cell>
          <cell r="B1281" t="str">
            <v>Amara</v>
          </cell>
        </row>
        <row r="1282">
          <cell r="A1282" t="str">
            <v>fm50418-spc-000746-0418-51</v>
          </cell>
          <cell r="B1282" t="str">
            <v>Spectus</v>
          </cell>
        </row>
        <row r="1283">
          <cell r="A1283" t="str">
            <v>cost3mo-lay-2022-p02-sage-gray-sn0350</v>
          </cell>
          <cell r="B1283" t="str">
            <v>Layala</v>
          </cell>
        </row>
        <row r="1284">
          <cell r="A1284" t="str">
            <v>fm40418-spc-000541-0400-53</v>
          </cell>
          <cell r="B1284" t="str">
            <v>Spectus</v>
          </cell>
        </row>
        <row r="1285">
          <cell r="A1285" t="str">
            <v>sm70702-30s-000430-0702-55</v>
          </cell>
          <cell r="B1285" t="str">
            <v>30Sunday</v>
          </cell>
        </row>
        <row r="1286">
          <cell r="A1286" t="str">
            <v>sm50101-30s-000248-0101-53</v>
          </cell>
          <cell r="B1286" t="str">
            <v>30Sunday</v>
          </cell>
        </row>
        <row r="1287">
          <cell r="A1287" t="str">
            <v>su101707-bla-000355-1707-51</v>
          </cell>
          <cell r="B1287" t="str">
            <v>BlackOut</v>
          </cell>
        </row>
        <row r="1288">
          <cell r="A1288" t="str">
            <v>clstdai-acu-omax-p90-sp0375</v>
          </cell>
          <cell r="B1288" t="str">
            <v>Acuvue</v>
          </cell>
        </row>
        <row r="1289">
          <cell r="A1289" t="str">
            <v>clstmon-eve-prom-p06-sn0900</v>
          </cell>
          <cell r="B1289" t="str">
            <v>Everva</v>
          </cell>
        </row>
        <row r="1290">
          <cell r="A1290" t="str">
            <v>bc50118-bab-000504-0118-51</v>
          </cell>
          <cell r="B1290" t="str">
            <v>Babamio</v>
          </cell>
        </row>
        <row r="1291">
          <cell r="A1291" t="str">
            <v>costdai-acu-dffr-p10-grayzel-sn0125</v>
          </cell>
          <cell r="B1291" t="str">
            <v>Acuvue</v>
          </cell>
        </row>
        <row r="1292">
          <cell r="A1292" t="str">
            <v>sw72904-bla-000247-2904-59</v>
          </cell>
          <cell r="B1292" t="str">
            <v>BlackOut</v>
          </cell>
        </row>
        <row r="1293">
          <cell r="A1293" t="str">
            <v>cost3mo-lay-lens-p02-chestnut-brown-sn0400</v>
          </cell>
          <cell r="B1293" t="str">
            <v>Layala</v>
          </cell>
        </row>
        <row r="1294">
          <cell r="A1294" t="str">
            <v>clstmon-ava-avai-p06-sp0300</v>
          </cell>
          <cell r="B1294" t="str">
            <v>Avaira</v>
          </cell>
        </row>
        <row r="1295">
          <cell r="A1295" t="str">
            <v>sm22706-30s-000207-2706-53</v>
          </cell>
          <cell r="B1295" t="str">
            <v>30Sunday</v>
          </cell>
        </row>
        <row r="1296">
          <cell r="A1296" t="str">
            <v>sw102907-bla-000325-2907-56</v>
          </cell>
          <cell r="B1296" t="str">
            <v>BlackOut</v>
          </cell>
        </row>
        <row r="1297">
          <cell r="A1297" t="str">
            <v>clstbiw-acu-oasy-p18-sn0275</v>
          </cell>
          <cell r="B1297" t="str">
            <v>Acuvue</v>
          </cell>
        </row>
        <row r="1298">
          <cell r="A1298" t="str">
            <v>cltobiw-acu-oasy-p06-sn0600-cn0075-a100</v>
          </cell>
          <cell r="B1298" t="str">
            <v>Acuvue</v>
          </cell>
        </row>
        <row r="1299">
          <cell r="A1299" t="str">
            <v>su11201-bla-000239-1201-59</v>
          </cell>
          <cell r="B1299" t="str">
            <v>BlackOut</v>
          </cell>
        </row>
        <row r="1300">
          <cell r="A1300" t="str">
            <v>sw20106-bla-000217-2906-57</v>
          </cell>
          <cell r="B1300" t="str">
            <v>BlackOut</v>
          </cell>
        </row>
        <row r="1301">
          <cell r="A1301" t="str">
            <v>sacchan-30s-chain105-gpl-gold</v>
          </cell>
          <cell r="B1301" t="str">
            <v>30Sunday</v>
          </cell>
        </row>
        <row r="1302">
          <cell r="A1302" t="str">
            <v>sc50207-bab-000503-2807-46</v>
          </cell>
          <cell r="B1302" t="str">
            <v>Babamio</v>
          </cell>
        </row>
        <row r="1303">
          <cell r="A1303" t="str">
            <v>clstdai-lay-cont-p10-dazzle-brown-sn1000</v>
          </cell>
          <cell r="B1303" t="str">
            <v>Layala</v>
          </cell>
        </row>
        <row r="1304">
          <cell r="A1304" t="str">
            <v>saccase-30s-case104-brn-bge-caramel-brown</v>
          </cell>
          <cell r="B1304" t="str">
            <v>30Sunday</v>
          </cell>
        </row>
        <row r="1305">
          <cell r="A1305" t="str">
            <v>sm50106-30s-000234-0106-48</v>
          </cell>
          <cell r="B1305" t="str">
            <v>30Sunday</v>
          </cell>
        </row>
        <row r="1306">
          <cell r="A1306" t="str">
            <v>su100702-30s-000305-0702-50</v>
          </cell>
          <cell r="B1306" t="str">
            <v>30Sunday</v>
          </cell>
        </row>
        <row r="1307">
          <cell r="A1307" t="str">
            <v>clstdai-acu-dfvi-p30-sn0650</v>
          </cell>
          <cell r="B1307" t="str">
            <v>Acuvue</v>
          </cell>
        </row>
        <row r="1308">
          <cell r="A1308" t="str">
            <v>clstdai-lay-cont-p10-dazzle-black-sn0575</v>
          </cell>
          <cell r="B1308" t="str">
            <v>Layala</v>
          </cell>
        </row>
        <row r="1309">
          <cell r="A1309" t="str">
            <v>cost3mo-lay-2023-p02-sable-brown-sn0450</v>
          </cell>
          <cell r="B1309" t="str">
            <v>Layala</v>
          </cell>
        </row>
        <row r="1310">
          <cell r="A1310" t="str">
            <v>sc21306-bab-000502-1306-50</v>
          </cell>
          <cell r="B1310" t="str">
            <v>Babamio</v>
          </cell>
        </row>
        <row r="1311">
          <cell r="A1311" t="str">
            <v>sc50904-bab-000526-0904-43</v>
          </cell>
          <cell r="B1311" t="str">
            <v>Babamio</v>
          </cell>
        </row>
        <row r="1312">
          <cell r="A1312" t="str">
            <v>su51306-30s-000125-1306-48</v>
          </cell>
          <cell r="B1312" t="str">
            <v>30Sunday</v>
          </cell>
        </row>
        <row r="1313">
          <cell r="A1313" t="str">
            <v>cost3mo-lay-lens-p02-crystal-brown-sn0150</v>
          </cell>
          <cell r="B1313" t="str">
            <v>Layala</v>
          </cell>
        </row>
        <row r="1314">
          <cell r="A1314" t="str">
            <v>clstbiw-acu-oasy-p06-sn0400</v>
          </cell>
          <cell r="B1314" t="str">
            <v>Acuvue</v>
          </cell>
        </row>
        <row r="1315">
          <cell r="A1315" t="str">
            <v>clstdai-dai-tot1-p30-sp0100</v>
          </cell>
          <cell r="B1315" t="str">
            <v>Dailies</v>
          </cell>
        </row>
        <row r="1316">
          <cell r="A1316" t="str">
            <v>clstmon-eve-prom-p06-sn0075</v>
          </cell>
          <cell r="B1316" t="str">
            <v>Everva</v>
          </cell>
        </row>
        <row r="1317">
          <cell r="A1317" t="str">
            <v>clstdai-acu-oasy-p90-sp0400</v>
          </cell>
          <cell r="B1317" t="str">
            <v>Acuvue</v>
          </cell>
        </row>
        <row r="1318">
          <cell r="A1318" t="str">
            <v>sw52407-30s-000118-2407-56</v>
          </cell>
          <cell r="B1318" t="str">
            <v>30Sunday</v>
          </cell>
        </row>
        <row r="1319">
          <cell r="A1319" t="str">
            <v>fm20118-spc-000609-0118-48</v>
          </cell>
          <cell r="B1319" t="str">
            <v>Spectus</v>
          </cell>
        </row>
        <row r="1320">
          <cell r="A1320" t="str">
            <v>clstdai-acu-dfna-p30-sn0700</v>
          </cell>
          <cell r="B1320" t="str">
            <v>Acuvue</v>
          </cell>
        </row>
        <row r="1321">
          <cell r="A1321" t="str">
            <v>su22906-30s-000229-2906-53</v>
          </cell>
          <cell r="B1321" t="str">
            <v>30Sunday</v>
          </cell>
        </row>
        <row r="1322">
          <cell r="A1322" t="str">
            <v>costdai-acu-dffr-p10-blue-sn0475</v>
          </cell>
          <cell r="B1322" t="str">
            <v>Acuvue</v>
          </cell>
        </row>
        <row r="1323">
          <cell r="A1323" t="str">
            <v>sw31306-bla-000207-1306-54</v>
          </cell>
          <cell r="B1323" t="str">
            <v>BlackOut</v>
          </cell>
        </row>
        <row r="1324">
          <cell r="A1324" t="str">
            <v>clstdai-lay-cont-p90-dazzle-black-sn0475</v>
          </cell>
          <cell r="B1324" t="str">
            <v>Layala</v>
          </cell>
        </row>
        <row r="1325">
          <cell r="A1325" t="str">
            <v>cost3mo-cel-natu-p01-hazelwood-sp0150</v>
          </cell>
          <cell r="B1325" t="str">
            <v>Celena</v>
          </cell>
        </row>
        <row r="1326">
          <cell r="A1326" t="str">
            <v>clstdai-btr-oned-p90-sn0125</v>
          </cell>
          <cell r="B1326" t="str">
            <v>Biotrue</v>
          </cell>
        </row>
        <row r="1327">
          <cell r="A1327" t="str">
            <v>clstdai-eve-elit-p90-sn0550</v>
          </cell>
          <cell r="B1327" t="str">
            <v>Everva</v>
          </cell>
        </row>
        <row r="1328">
          <cell r="A1328" t="str">
            <v>clstdai-lay-cont-p10-dazzle-brown-sn0475</v>
          </cell>
          <cell r="B1328" t="str">
            <v>Layala</v>
          </cell>
        </row>
        <row r="1329">
          <cell r="A1329" t="str">
            <v>clstdai-lay-cont-p60-dazzle-black-sn0100</v>
          </cell>
          <cell r="B1329" t="str">
            <v>Layala</v>
          </cell>
        </row>
        <row r="1330">
          <cell r="A1330" t="str">
            <v>clstdai-acu-oasy-p30-sp0750</v>
          </cell>
          <cell r="B1330" t="str">
            <v>Acuvue</v>
          </cell>
        </row>
        <row r="1331">
          <cell r="A1331" t="str">
            <v>clstdai-dai-tot1-p90-sn0475</v>
          </cell>
          <cell r="B1331" t="str">
            <v>Dailies</v>
          </cell>
        </row>
        <row r="1332">
          <cell r="A1332" t="str">
            <v>sw20102-bla-000106-1202-57</v>
          </cell>
          <cell r="B1332" t="str">
            <v>BlackOut</v>
          </cell>
        </row>
        <row r="1333">
          <cell r="A1333" t="str">
            <v>clstdai-acu-omax-p30-sn0150</v>
          </cell>
          <cell r="B1333" t="str">
            <v>Acuvue</v>
          </cell>
        </row>
        <row r="1334">
          <cell r="A1334" t="str">
            <v>clstbiw-acu-oasy-p18-sn0125</v>
          </cell>
          <cell r="B1334" t="str">
            <v>Acuvue</v>
          </cell>
        </row>
        <row r="1335">
          <cell r="A1335" t="str">
            <v>clstdai-acu-mois-p90-sn0600</v>
          </cell>
          <cell r="B1335" t="str">
            <v>Acuvue</v>
          </cell>
        </row>
        <row r="1336">
          <cell r="A1336" t="str">
            <v>fw32418-spc-000536-2400-53</v>
          </cell>
          <cell r="B1336" t="str">
            <v>Spectus</v>
          </cell>
        </row>
        <row r="1337">
          <cell r="A1337" t="str">
            <v>clstdai-acu-mois-p30-sn0850</v>
          </cell>
          <cell r="B1337" t="str">
            <v>Acuvue</v>
          </cell>
        </row>
        <row r="1338">
          <cell r="A1338" t="str">
            <v>fw30618-spc-000825-0618-55</v>
          </cell>
          <cell r="B1338" t="str">
            <v>Spectus</v>
          </cell>
        </row>
        <row r="1339">
          <cell r="A1339" t="str">
            <v>sm70406-30s-000247-0406-57</v>
          </cell>
          <cell r="B1339" t="str">
            <v>30Sunday</v>
          </cell>
        </row>
        <row r="1340">
          <cell r="A1340" t="str">
            <v>clstdai-acu-oasy-p30-sp0150</v>
          </cell>
          <cell r="B1340" t="str">
            <v>Acuvue</v>
          </cell>
        </row>
        <row r="1341">
          <cell r="A1341" t="str">
            <v>clstdai-dai-aqua-p30-sn0150</v>
          </cell>
          <cell r="B1341" t="str">
            <v>Dailies</v>
          </cell>
        </row>
        <row r="1342">
          <cell r="A1342" t="str">
            <v>clstbiw-acu-0002-p06-sn0150</v>
          </cell>
          <cell r="B1342" t="str">
            <v>Acuvue</v>
          </cell>
        </row>
        <row r="1343">
          <cell r="A1343" t="str">
            <v>cost3mo-lay-lens-p02-forest-green-sn0175</v>
          </cell>
          <cell r="B1343" t="str">
            <v>Layala</v>
          </cell>
        </row>
        <row r="1344">
          <cell r="A1344" t="str">
            <v>clstdai-eve-elit-p30-sp0100</v>
          </cell>
          <cell r="B1344" t="str">
            <v>Everva</v>
          </cell>
        </row>
        <row r="1345">
          <cell r="A1345" t="str">
            <v>su100202-30s-000501-0202-52</v>
          </cell>
          <cell r="B1345" t="str">
            <v>30Sunday</v>
          </cell>
        </row>
        <row r="1346">
          <cell r="A1346" t="str">
            <v>fw32318-spc-000863-2318-49</v>
          </cell>
          <cell r="B1346" t="str">
            <v>Spectus</v>
          </cell>
        </row>
        <row r="1347">
          <cell r="A1347" t="str">
            <v>su50107-bla-000103-0107-53</v>
          </cell>
          <cell r="B1347" t="str">
            <v>BlackOut</v>
          </cell>
        </row>
        <row r="1348">
          <cell r="A1348" t="str">
            <v>sc50207-bab-000504-2807-51</v>
          </cell>
          <cell r="B1348" t="str">
            <v>Babamio</v>
          </cell>
        </row>
        <row r="1349">
          <cell r="A1349" t="str">
            <v>sm50404-30s-000211-0404-50</v>
          </cell>
          <cell r="B1349" t="str">
            <v>30Sunday</v>
          </cell>
        </row>
        <row r="1350">
          <cell r="A1350" t="str">
            <v>sw60604-bla-000264-0604-50</v>
          </cell>
          <cell r="B1350" t="str">
            <v>BlackOut</v>
          </cell>
        </row>
        <row r="1351">
          <cell r="A1351" t="str">
            <v>su100107-bla-000317-0107-52</v>
          </cell>
          <cell r="B1351" t="str">
            <v>BlackOut</v>
          </cell>
        </row>
        <row r="1352">
          <cell r="A1352" t="str">
            <v>su52610-30s-000494-2610p-51</v>
          </cell>
          <cell r="B1352" t="str">
            <v>30Sunday</v>
          </cell>
        </row>
        <row r="1353">
          <cell r="A1353" t="str">
            <v>cost3mo-lay-2023-p02-selene-green-sn0050</v>
          </cell>
          <cell r="B1353" t="str">
            <v>Layala</v>
          </cell>
        </row>
        <row r="1354">
          <cell r="A1354" t="str">
            <v>ru40218-spc-000850-0218-49-sp0150</v>
          </cell>
          <cell r="B1354" t="str">
            <v>Spectus</v>
          </cell>
        </row>
        <row r="1355">
          <cell r="A1355" t="str">
            <v>su60107-30s-000437-0107-53</v>
          </cell>
          <cell r="B1355" t="str">
            <v>30Sunday</v>
          </cell>
        </row>
        <row r="1356">
          <cell r="A1356" t="str">
            <v>sw42907-bla-000245-2901-51</v>
          </cell>
          <cell r="B1356" t="str">
            <v>BlackOut</v>
          </cell>
        </row>
        <row r="1357">
          <cell r="A1357" t="str">
            <v>costmon-ama-2024-p02-matcha-sn0175</v>
          </cell>
          <cell r="B1357" t="str">
            <v>Amara</v>
          </cell>
        </row>
        <row r="1358">
          <cell r="A1358" t="str">
            <v>clstdai-lay-cont-p30-dazzle-brown-sn0125</v>
          </cell>
          <cell r="B1358" t="str">
            <v>Layala</v>
          </cell>
        </row>
        <row r="1359">
          <cell r="A1359" t="str">
            <v>costmon-ama-2020-p02-pure-hazel-sn0500</v>
          </cell>
          <cell r="B1359" t="str">
            <v>Amara</v>
          </cell>
        </row>
        <row r="1360">
          <cell r="A1360" t="str">
            <v>sc52007-bab-000505-2006-43</v>
          </cell>
          <cell r="B1360" t="str">
            <v>Babamio</v>
          </cell>
        </row>
        <row r="1361">
          <cell r="A1361" t="str">
            <v>clstdai-acu-oasy-p30-sn0500</v>
          </cell>
          <cell r="B1361" t="str">
            <v>Acuvue</v>
          </cell>
        </row>
        <row r="1362">
          <cell r="A1362" t="str">
            <v>sw100501-bla-000266-2901-55</v>
          </cell>
          <cell r="B1362" t="str">
            <v>BlackOut</v>
          </cell>
        </row>
        <row r="1363">
          <cell r="A1363" t="str">
            <v>cost3mo-lay-2021-p02-stardust-gray-sn0550</v>
          </cell>
          <cell r="B1363" t="str">
            <v>Layala</v>
          </cell>
        </row>
        <row r="1364">
          <cell r="A1364" t="str">
            <v>sc20107-bab-000508-0107d-43</v>
          </cell>
          <cell r="B1364" t="str">
            <v>Babamio</v>
          </cell>
        </row>
        <row r="1365">
          <cell r="A1365" t="str">
            <v>costdai-ama-dail-p10-sugar-sn0750</v>
          </cell>
          <cell r="B1365" t="str">
            <v>Amara</v>
          </cell>
        </row>
        <row r="1366">
          <cell r="A1366" t="str">
            <v>clstmon-ava-avai-p06-sn1000</v>
          </cell>
          <cell r="B1366" t="str">
            <v>Avaira</v>
          </cell>
        </row>
        <row r="1367">
          <cell r="A1367" t="str">
            <v>cost3mo-lay-lens-p02-chocolate-brown-sn0600</v>
          </cell>
          <cell r="B1367" t="str">
            <v>Layala</v>
          </cell>
        </row>
        <row r="1368">
          <cell r="A1368" t="str">
            <v>clstdai-eve-elit-p90-sp0050</v>
          </cell>
          <cell r="B1368" t="str">
            <v>Everva</v>
          </cell>
        </row>
        <row r="1369">
          <cell r="A1369" t="str">
            <v>costdai-acu-dffr-p10-honey-sn0325</v>
          </cell>
          <cell r="B1369" t="str">
            <v>Acuvue</v>
          </cell>
        </row>
        <row r="1370">
          <cell r="A1370" t="str">
            <v>cost3mo-lay-lens-p02-cloudy-gray-sn0125</v>
          </cell>
          <cell r="B1370" t="str">
            <v>Layala</v>
          </cell>
        </row>
        <row r="1371">
          <cell r="A1371" t="str">
            <v>cost3mo-lay-2021-p02-skye-blue-sn0125</v>
          </cell>
          <cell r="B1371" t="str">
            <v>Layala</v>
          </cell>
        </row>
        <row r="1372">
          <cell r="A1372" t="str">
            <v>costdai-acu-dffr-p30-grayzel-sn0550</v>
          </cell>
          <cell r="B1372" t="str">
            <v>Acuvue</v>
          </cell>
        </row>
        <row r="1373">
          <cell r="A1373" t="str">
            <v>su22704-30s-000206-2704p-52</v>
          </cell>
          <cell r="B1373" t="str">
            <v>30Sunday</v>
          </cell>
        </row>
        <row r="1374">
          <cell r="A1374" t="str">
            <v>clstdai-acu-dfvi-p60-sn0425</v>
          </cell>
          <cell r="B1374" t="str">
            <v>Acuvue</v>
          </cell>
        </row>
        <row r="1375">
          <cell r="A1375" t="str">
            <v>clstdai-sof-sdai-p30-sn0300</v>
          </cell>
          <cell r="B1375" t="str">
            <v>Soflens</v>
          </cell>
        </row>
        <row r="1376">
          <cell r="A1376" t="str">
            <v>fm51218-spc-000520-1200-51</v>
          </cell>
          <cell r="B1376" t="str">
            <v>Spectus</v>
          </cell>
        </row>
        <row r="1377">
          <cell r="A1377" t="str">
            <v>clstdai-acu-dfna-p90-sn0125</v>
          </cell>
          <cell r="B1377" t="str">
            <v>Acuvue</v>
          </cell>
        </row>
        <row r="1378">
          <cell r="A1378" t="str">
            <v>costdai-acu-dffr-p10-green-sn0475</v>
          </cell>
          <cell r="B1378" t="str">
            <v>Acuvue</v>
          </cell>
        </row>
        <row r="1379">
          <cell r="A1379" t="str">
            <v>clstdai-lay-cont-p30-dazzle-black-sn0575</v>
          </cell>
          <cell r="B1379" t="str">
            <v>Layala</v>
          </cell>
        </row>
        <row r="1380">
          <cell r="A1380" t="str">
            <v>costdai-acu-dffr-p30-grayzel-sn0750</v>
          </cell>
          <cell r="B1380" t="str">
            <v>Acuvue</v>
          </cell>
        </row>
        <row r="1381">
          <cell r="A1381" t="str">
            <v>clstdai-eve-elit-p90-sp0025</v>
          </cell>
          <cell r="B1381" t="str">
            <v>Everva</v>
          </cell>
        </row>
        <row r="1382">
          <cell r="A1382" t="str">
            <v>clstdai-lay-cont-p60-dazzle-brown-sn0425</v>
          </cell>
          <cell r="B1382" t="str">
            <v>Layala</v>
          </cell>
        </row>
        <row r="1383">
          <cell r="A1383" t="str">
            <v>clstdai-eve-elit-p90-sn0500</v>
          </cell>
          <cell r="B1383" t="str">
            <v>Everva</v>
          </cell>
        </row>
        <row r="1384">
          <cell r="A1384" t="str">
            <v>cost3mo-lay-2020-p02-hazel-brown-sn0300</v>
          </cell>
          <cell r="B1384" t="str">
            <v>Layala</v>
          </cell>
        </row>
        <row r="1385">
          <cell r="A1385" t="str">
            <v>clstdai-acu-mois-p90-sn0275</v>
          </cell>
          <cell r="B1385" t="str">
            <v>Acuvue</v>
          </cell>
        </row>
        <row r="1386">
          <cell r="A1386" t="str">
            <v>clstdai-dai-aqua-p90-sp0525</v>
          </cell>
          <cell r="B1386" t="str">
            <v>Dailies</v>
          </cell>
        </row>
        <row r="1387">
          <cell r="A1387" t="str">
            <v>clstdai-acu-oasy-p30-sn0700</v>
          </cell>
          <cell r="B1387" t="str">
            <v>Acuvue</v>
          </cell>
        </row>
        <row r="1388">
          <cell r="A1388" t="str">
            <v>costmon-ama-2022-p02-tan-sn0375</v>
          </cell>
          <cell r="B1388" t="str">
            <v>Amara</v>
          </cell>
        </row>
        <row r="1389">
          <cell r="A1389" t="str">
            <v>sm50506-30s-000241-2906-52</v>
          </cell>
          <cell r="B1389" t="str">
            <v>30Sunday</v>
          </cell>
        </row>
        <row r="1390">
          <cell r="A1390" t="str">
            <v>costmon-ama-lens-p02-crocodile-green-sn0575</v>
          </cell>
          <cell r="B1390" t="str">
            <v>Amara</v>
          </cell>
        </row>
        <row r="1391">
          <cell r="A1391" t="str">
            <v>clstdai-dai-aqua-p90-sp0500</v>
          </cell>
          <cell r="B1391" t="str">
            <v>Dailies</v>
          </cell>
        </row>
        <row r="1392">
          <cell r="A1392" t="str">
            <v>cost3mo-cel-natu-p01-forest-green-sp0100</v>
          </cell>
          <cell r="B1392" t="str">
            <v>Celena</v>
          </cell>
        </row>
        <row r="1393">
          <cell r="A1393" t="str">
            <v>su12906-30s-000203-2906-58</v>
          </cell>
          <cell r="B1393" t="str">
            <v>30Sunday</v>
          </cell>
        </row>
        <row r="1394">
          <cell r="A1394" t="str">
            <v>clstdai-dai-aqua-p90-sp0100</v>
          </cell>
          <cell r="B1394" t="str">
            <v>Dailies</v>
          </cell>
        </row>
        <row r="1395">
          <cell r="A1395" t="str">
            <v>costmon-ama-2020-p02-charcoal-gray-sn0700</v>
          </cell>
          <cell r="B1395" t="str">
            <v>Amara</v>
          </cell>
        </row>
        <row r="1396">
          <cell r="A1396" t="str">
            <v>sw21304-bla-000224-1304-51</v>
          </cell>
          <cell r="B1396" t="str">
            <v>BlackOut</v>
          </cell>
        </row>
        <row r="1397">
          <cell r="A1397" t="str">
            <v>clstdai-acu-oasy-p60-sn0075</v>
          </cell>
          <cell r="B1397" t="str">
            <v>Acuvue</v>
          </cell>
        </row>
        <row r="1398">
          <cell r="A1398" t="str">
            <v>clstdai-btr-oned-p30-sn0225</v>
          </cell>
          <cell r="B1398" t="str">
            <v>Biotrue</v>
          </cell>
        </row>
        <row r="1399">
          <cell r="A1399" t="str">
            <v>clstdai-lay-cont-p10-dazzle-black-sn0650</v>
          </cell>
          <cell r="B1399" t="str">
            <v>Layala</v>
          </cell>
        </row>
        <row r="1400">
          <cell r="A1400" t="str">
            <v>sm100404-30s-000447-0404-53</v>
          </cell>
          <cell r="B1400" t="str">
            <v>30Sunday</v>
          </cell>
        </row>
        <row r="1401">
          <cell r="A1401" t="str">
            <v>sw40107-bla-000246-0107-58</v>
          </cell>
          <cell r="B1401" t="str">
            <v>BlackOut</v>
          </cell>
        </row>
        <row r="1402">
          <cell r="A1402" t="str">
            <v>cost3mo-lay-2020-p02-hazel-brown-sn0225</v>
          </cell>
          <cell r="B1402" t="str">
            <v>Layala</v>
          </cell>
        </row>
        <row r="1403">
          <cell r="A1403" t="str">
            <v>cost3mo-lay-lens-p02-platinum-gray-sn0600</v>
          </cell>
          <cell r="B1403" t="str">
            <v>Layala</v>
          </cell>
        </row>
        <row r="1404">
          <cell r="A1404" t="str">
            <v>clstdai-acu-omax-p90-sn0150</v>
          </cell>
          <cell r="B1404" t="str">
            <v>Acuvue</v>
          </cell>
        </row>
        <row r="1405">
          <cell r="A1405" t="str">
            <v>costdai-acu-dffr-p30-green-sn0850</v>
          </cell>
          <cell r="B1405" t="str">
            <v>Acuvue</v>
          </cell>
        </row>
        <row r="1406">
          <cell r="A1406" t="str">
            <v>clstdai-lay-cont-p10-dazzle-black-sn0275</v>
          </cell>
          <cell r="B1406" t="str">
            <v>Layala</v>
          </cell>
        </row>
        <row r="1407">
          <cell r="A1407" t="str">
            <v>su20101-30s-000232-0101-63</v>
          </cell>
          <cell r="B1407" t="str">
            <v>30Sunday</v>
          </cell>
        </row>
        <row r="1408">
          <cell r="A1408" t="str">
            <v>sw62304-30s-000492-2304-53</v>
          </cell>
          <cell r="B1408" t="str">
            <v>30Sunday</v>
          </cell>
        </row>
        <row r="1409">
          <cell r="A1409" t="str">
            <v>clstdai-btr-oned-p90-sn0650</v>
          </cell>
          <cell r="B1409" t="str">
            <v>Biotrue</v>
          </cell>
        </row>
        <row r="1410">
          <cell r="A1410" t="str">
            <v>costmon-ama-2023-p02-chai-sn0200</v>
          </cell>
          <cell r="B1410" t="str">
            <v>Amara</v>
          </cell>
        </row>
        <row r="1411">
          <cell r="A1411" t="str">
            <v>clstdai-lay-cont-p90-dazzle-brown-sn0350</v>
          </cell>
          <cell r="B1411" t="str">
            <v>Layala</v>
          </cell>
        </row>
        <row r="1412">
          <cell r="A1412" t="str">
            <v>clstdai-acu-dfna-p30-sn0600</v>
          </cell>
          <cell r="B1412" t="str">
            <v>Acuvue</v>
          </cell>
        </row>
        <row r="1413">
          <cell r="A1413" t="str">
            <v>clstdai-acu-mois-p30-sn0800</v>
          </cell>
          <cell r="B1413" t="str">
            <v>Acuvue</v>
          </cell>
        </row>
        <row r="1414">
          <cell r="A1414" t="str">
            <v>costdai-ama-dail-p10-sugar-sn0375</v>
          </cell>
          <cell r="B1414" t="str">
            <v>Amara</v>
          </cell>
        </row>
        <row r="1415">
          <cell r="A1415" t="str">
            <v>costdai-ama-dail-p10-moon-stone-sn0125</v>
          </cell>
          <cell r="B1415" t="str">
            <v>Amara</v>
          </cell>
        </row>
        <row r="1416">
          <cell r="A1416" t="str">
            <v>clstdai-acu-oasy-p30-sp0125</v>
          </cell>
          <cell r="B1416" t="str">
            <v>Acuvue</v>
          </cell>
        </row>
        <row r="1417">
          <cell r="A1417" t="str">
            <v>clstdai-acu-dfna-p30-sn0150</v>
          </cell>
          <cell r="B1417" t="str">
            <v>Acuvue</v>
          </cell>
        </row>
        <row r="1418">
          <cell r="A1418" t="str">
            <v>costdai-acu-dffr-p30-grayzel-sn0450</v>
          </cell>
          <cell r="B1418" t="str">
            <v>Acuvue</v>
          </cell>
        </row>
        <row r="1419">
          <cell r="A1419" t="str">
            <v>clstdai-sof-sdai-p90-sn0075</v>
          </cell>
          <cell r="B1419" t="str">
            <v>Soflens</v>
          </cell>
        </row>
        <row r="1420">
          <cell r="A1420" t="str">
            <v>clstdai-dai-tot1-p30-sn0200</v>
          </cell>
          <cell r="B1420" t="str">
            <v>Dailies</v>
          </cell>
        </row>
        <row r="1421">
          <cell r="A1421" t="str">
            <v>cost3mo-lay-2020-p02-ash-gray-sn0075</v>
          </cell>
          <cell r="B1421" t="str">
            <v>Layala</v>
          </cell>
        </row>
        <row r="1422">
          <cell r="A1422" t="str">
            <v>costdai-acu-dffr-p30-green-sn0200</v>
          </cell>
          <cell r="B1422" t="str">
            <v>Acuvue</v>
          </cell>
        </row>
        <row r="1423">
          <cell r="A1423" t="str">
            <v>clstdai-lay-cont-p10-dazzle-brown-sn0650</v>
          </cell>
          <cell r="B1423" t="str">
            <v>Layala</v>
          </cell>
        </row>
        <row r="1424">
          <cell r="A1424" t="str">
            <v>clstdai-acu-mois-p120-sn0550</v>
          </cell>
          <cell r="B1424" t="str">
            <v>Acuvue</v>
          </cell>
        </row>
        <row r="1425">
          <cell r="A1425" t="str">
            <v>clstdai-dai-aqua-p30-sn0350</v>
          </cell>
          <cell r="B1425" t="str">
            <v>Dailies</v>
          </cell>
        </row>
        <row r="1426">
          <cell r="A1426" t="str">
            <v>clstdai-acu-oasy-p60-sn0275</v>
          </cell>
          <cell r="B1426" t="str">
            <v>Acuvue</v>
          </cell>
        </row>
        <row r="1427">
          <cell r="A1427" t="str">
            <v>clstdai-acu-mois-p90-sn0750</v>
          </cell>
          <cell r="B1427" t="str">
            <v>Acuvue</v>
          </cell>
        </row>
        <row r="1428">
          <cell r="A1428" t="str">
            <v>cost3mo-lay-lens-p02-crystal-brown-sn0250</v>
          </cell>
          <cell r="B1428" t="str">
            <v>Layala</v>
          </cell>
        </row>
        <row r="1429">
          <cell r="A1429" t="str">
            <v>clstmon-eve-prom-p06-sn0650</v>
          </cell>
          <cell r="B1429" t="str">
            <v>Everva</v>
          </cell>
        </row>
        <row r="1430">
          <cell r="A1430" t="str">
            <v>costdai-acu-dffr-p30-hazel-sn0100</v>
          </cell>
          <cell r="B1430" t="str">
            <v>Acuvue</v>
          </cell>
        </row>
        <row r="1431">
          <cell r="A1431" t="str">
            <v>fm20418-spc-000563-0400-49</v>
          </cell>
          <cell r="B1431" t="str">
            <v>Spectus</v>
          </cell>
        </row>
        <row r="1432">
          <cell r="A1432" t="str">
            <v>costdai-ama-dail-p10-shadow-sn0150</v>
          </cell>
          <cell r="B1432" t="str">
            <v>Amara</v>
          </cell>
        </row>
        <row r="1433">
          <cell r="A1433" t="str">
            <v>clstdai-bme-1day-p30-sn0700</v>
          </cell>
          <cell r="B1433" t="str">
            <v>Biomedics</v>
          </cell>
        </row>
        <row r="1434">
          <cell r="A1434" t="str">
            <v>fw70718-spc-000748-0718-54</v>
          </cell>
          <cell r="B1434" t="str">
            <v>Spectus</v>
          </cell>
        </row>
        <row r="1435">
          <cell r="A1435" t="str">
            <v>clstdai-eve-pure-p90-sn0375</v>
          </cell>
          <cell r="B1435" t="str">
            <v>Everva</v>
          </cell>
        </row>
        <row r="1436">
          <cell r="A1436" t="str">
            <v>clstbiw-acu-0002-p12-sn0400</v>
          </cell>
          <cell r="B1436" t="str">
            <v>Acuvue</v>
          </cell>
        </row>
        <row r="1437">
          <cell r="A1437" t="str">
            <v>cost3mo-lay-2021-p02-skye-blue-sn0225</v>
          </cell>
          <cell r="B1437" t="str">
            <v>Layala</v>
          </cell>
        </row>
        <row r="1438">
          <cell r="A1438" t="str">
            <v>sw40107-bla-000341-0107-55</v>
          </cell>
          <cell r="B1438" t="str">
            <v>BlackOut</v>
          </cell>
        </row>
        <row r="1439">
          <cell r="A1439" t="str">
            <v>sacchan-30s-chain108-blk-inu-black</v>
          </cell>
          <cell r="B1439" t="str">
            <v>30Sunday</v>
          </cell>
        </row>
        <row r="1440">
          <cell r="A1440" t="str">
            <v>sw100104-30s-000497-0104-53</v>
          </cell>
          <cell r="B1440" t="str">
            <v>30Sunday</v>
          </cell>
        </row>
        <row r="1441">
          <cell r="A1441" t="str">
            <v>sw50107-bla-000306-0107-52</v>
          </cell>
          <cell r="B1441" t="str">
            <v>BlackOut</v>
          </cell>
        </row>
        <row r="1442">
          <cell r="A1442" t="str">
            <v>clstdai-eve-elit-p90-sn0450</v>
          </cell>
          <cell r="B1442" t="str">
            <v>Everva</v>
          </cell>
        </row>
        <row r="1443">
          <cell r="A1443" t="str">
            <v>costdai-ama-dail-p10-shadow-sn0475</v>
          </cell>
          <cell r="B1443" t="str">
            <v>Amara</v>
          </cell>
        </row>
        <row r="1444">
          <cell r="A1444" t="str">
            <v>clstdai-dai-tot1-p30-sn0850</v>
          </cell>
          <cell r="B1444" t="str">
            <v>Dailies</v>
          </cell>
        </row>
        <row r="1445">
          <cell r="A1445" t="str">
            <v>fw42418-spc-000699-2418-51</v>
          </cell>
          <cell r="B1445" t="str">
            <v>Spectus</v>
          </cell>
        </row>
        <row r="1446">
          <cell r="A1446" t="str">
            <v>clstdai-lay-cont-p60-dazzle-black-sn0575</v>
          </cell>
          <cell r="B1446" t="str">
            <v>Layala</v>
          </cell>
        </row>
        <row r="1447">
          <cell r="A1447" t="str">
            <v>clstdai-acu-dfna-p30-sn0300</v>
          </cell>
          <cell r="B1447" t="str">
            <v>Acuvue</v>
          </cell>
        </row>
        <row r="1448">
          <cell r="A1448" t="str">
            <v>fu72418-spc-000832-2418-50</v>
          </cell>
          <cell r="B1448" t="str">
            <v>Spectus</v>
          </cell>
        </row>
        <row r="1449">
          <cell r="A1449" t="str">
            <v>clstmon-ava-avai-p06-sn0225</v>
          </cell>
          <cell r="B1449" t="str">
            <v>Avaira</v>
          </cell>
        </row>
        <row r="1450">
          <cell r="A1450" t="str">
            <v>clstdai-acu-oasy-p90-sn0175</v>
          </cell>
          <cell r="B1450" t="str">
            <v>Acuvue</v>
          </cell>
        </row>
        <row r="1451">
          <cell r="A1451" t="str">
            <v>clstdai-acu-oasy-p120-sn0075</v>
          </cell>
          <cell r="B1451" t="str">
            <v>Acuvue</v>
          </cell>
        </row>
        <row r="1452">
          <cell r="A1452" t="str">
            <v>clstdai-acu-mois-p120-sn0750</v>
          </cell>
          <cell r="B1452" t="str">
            <v>Acuvue</v>
          </cell>
        </row>
        <row r="1453">
          <cell r="A1453" t="str">
            <v>clstdai-lay-cont-p90-dazzle-black-sn0425</v>
          </cell>
          <cell r="B1453" t="str">
            <v>Layala</v>
          </cell>
        </row>
        <row r="1454">
          <cell r="A1454" t="str">
            <v>costmon-ama-2022-p02-dream-sn0900</v>
          </cell>
          <cell r="B1454" t="str">
            <v>Amara</v>
          </cell>
        </row>
        <row r="1455">
          <cell r="A1455" t="str">
            <v>clstbiw-acu-0002-p12-sn0475</v>
          </cell>
          <cell r="B1455" t="str">
            <v>Acuvue</v>
          </cell>
        </row>
        <row r="1456">
          <cell r="A1456" t="str">
            <v>clstdai-acu-dfrb-p30-sn0750</v>
          </cell>
          <cell r="B1456" t="str">
            <v>Acuvue</v>
          </cell>
        </row>
        <row r="1457">
          <cell r="A1457" t="str">
            <v>sw50107-bla-000226-0107-57</v>
          </cell>
          <cell r="B1457" t="str">
            <v>BlackOut</v>
          </cell>
        </row>
        <row r="1458">
          <cell r="A1458" t="str">
            <v>cltodai-acu-mois-p30-sn0225-cn0075-a010</v>
          </cell>
          <cell r="B1458" t="str">
            <v>Acuvue</v>
          </cell>
        </row>
        <row r="1459">
          <cell r="A1459" t="str">
            <v>su61202-bla-000326-1202-55</v>
          </cell>
          <cell r="B1459" t="str">
            <v>BlackOut</v>
          </cell>
        </row>
        <row r="1460">
          <cell r="A1460" t="str">
            <v>costdai-ama-dail-p10-amber-sn0600</v>
          </cell>
          <cell r="B1460" t="str">
            <v>Amara</v>
          </cell>
        </row>
        <row r="1461">
          <cell r="A1461" t="str">
            <v>clstbiw-acu-cle-p06-sn0050</v>
          </cell>
          <cell r="B1461" t="str">
            <v>Acuvue</v>
          </cell>
        </row>
        <row r="1462">
          <cell r="A1462" t="str">
            <v>clstdai-dai-tot1-p90-sn1000</v>
          </cell>
          <cell r="B1462" t="str">
            <v>Dailies</v>
          </cell>
        </row>
        <row r="1463">
          <cell r="A1463" t="str">
            <v>sw30107-30s-000294-0101-52</v>
          </cell>
          <cell r="B1463" t="str">
            <v>30Sunday</v>
          </cell>
        </row>
        <row r="1464">
          <cell r="A1464" t="str">
            <v>clstdai-bme-1day-p90-sn0550</v>
          </cell>
          <cell r="B1464" t="str">
            <v>Biomedics</v>
          </cell>
        </row>
        <row r="1465">
          <cell r="A1465" t="str">
            <v>clstdai-acu-mois-p90-sn0700</v>
          </cell>
          <cell r="B1465" t="str">
            <v>Acuvue</v>
          </cell>
        </row>
        <row r="1466">
          <cell r="A1466" t="str">
            <v>sw32904-bla-000218-2904-57</v>
          </cell>
          <cell r="B1466" t="str">
            <v>BlackOut</v>
          </cell>
        </row>
        <row r="1467">
          <cell r="A1467" t="str">
            <v>cost3mo-lay-lens-p02-chocolate-brown-sn0325</v>
          </cell>
          <cell r="B1467" t="str">
            <v>Layala</v>
          </cell>
        </row>
        <row r="1468">
          <cell r="A1468" t="str">
            <v>fw22318-spc-000861-2318-49</v>
          </cell>
          <cell r="B1468" t="str">
            <v>Spectus</v>
          </cell>
        </row>
        <row r="1469">
          <cell r="A1469" t="str">
            <v>cost3mo-lay-lens-p02-cloudy-gray-sn0100</v>
          </cell>
          <cell r="B1469" t="str">
            <v>Layala</v>
          </cell>
        </row>
        <row r="1470">
          <cell r="A1470" t="str">
            <v>cost3mo-lay-lens-p02-platinum-gray-sn0475</v>
          </cell>
          <cell r="B1470" t="str">
            <v>Layala</v>
          </cell>
        </row>
        <row r="1471">
          <cell r="A1471" t="str">
            <v>clstdai-acu-mois-p30-sp0575</v>
          </cell>
          <cell r="B1471" t="str">
            <v>Acuvue</v>
          </cell>
        </row>
        <row r="1472">
          <cell r="A1472" t="str">
            <v>clstdai-acu-oasy-p60-sn0150</v>
          </cell>
          <cell r="B1472" t="str">
            <v>Acuvue</v>
          </cell>
        </row>
        <row r="1473">
          <cell r="A1473" t="str">
            <v>costmon-ama-2022-p02-tiger-eyes-sn0300</v>
          </cell>
          <cell r="B1473" t="str">
            <v>Amara</v>
          </cell>
        </row>
        <row r="1474">
          <cell r="A1474" t="str">
            <v>clstdai-acu-oasy-p120-sn0175</v>
          </cell>
          <cell r="B1474" t="str">
            <v>Acuvue</v>
          </cell>
        </row>
        <row r="1475">
          <cell r="A1475" t="str">
            <v>costdai-acu-dffr-p30-hazel-sn0125</v>
          </cell>
          <cell r="B1475" t="str">
            <v>Acuvue</v>
          </cell>
        </row>
        <row r="1476">
          <cell r="A1476" t="str">
            <v>clstdai-dai-tot1-p90-sp0275</v>
          </cell>
          <cell r="B1476" t="str">
            <v>Dailies</v>
          </cell>
        </row>
        <row r="1477">
          <cell r="A1477" t="str">
            <v>clstdai-sof-sdai-p90-sn0175</v>
          </cell>
          <cell r="B1477" t="str">
            <v>Soflens</v>
          </cell>
        </row>
        <row r="1478">
          <cell r="A1478" t="str">
            <v>clstdai-dai-tot1-p30-sn0400</v>
          </cell>
          <cell r="B1478" t="str">
            <v>Dailies</v>
          </cell>
        </row>
        <row r="1479">
          <cell r="A1479" t="str">
            <v>clstmon-sof-sl59-p06-sn0475</v>
          </cell>
          <cell r="B1479" t="str">
            <v>Soflens</v>
          </cell>
        </row>
        <row r="1480">
          <cell r="A1480" t="str">
            <v>cost3mo-cel-natu-p01-desert-grey-sp0200</v>
          </cell>
          <cell r="B1480" t="str">
            <v>Celena</v>
          </cell>
        </row>
        <row r="1481">
          <cell r="A1481" t="str">
            <v>clstdai-acu-omax-p90-sn0600</v>
          </cell>
          <cell r="B1481" t="str">
            <v>Acuvue</v>
          </cell>
        </row>
        <row r="1482">
          <cell r="A1482" t="str">
            <v>cost3mo-lay-2021-p02-skye-blue-sn0400</v>
          </cell>
          <cell r="B1482" t="str">
            <v>Layala</v>
          </cell>
        </row>
        <row r="1483">
          <cell r="A1483" t="str">
            <v>cost3mo-lay-2023-p02-selene-green-sn0600</v>
          </cell>
          <cell r="B1483" t="str">
            <v>Layala</v>
          </cell>
        </row>
        <row r="1484">
          <cell r="A1484" t="str">
            <v>fc51118-bab-00559-1118d-45</v>
          </cell>
          <cell r="B1484" t="str">
            <v>Babamio</v>
          </cell>
        </row>
        <row r="1485">
          <cell r="A1485" t="str">
            <v>clstdai-dai-aqua-p90-sn0575</v>
          </cell>
          <cell r="B1485" t="str">
            <v>Dailies</v>
          </cell>
        </row>
        <row r="1486">
          <cell r="A1486" t="str">
            <v>clstdai-acu-mois-p90-sn0125</v>
          </cell>
          <cell r="B1486" t="str">
            <v>Acuvue</v>
          </cell>
        </row>
        <row r="1487">
          <cell r="A1487" t="str">
            <v>sm11207-30s-000456-1207-57</v>
          </cell>
          <cell r="B1487" t="str">
            <v>30Sunday</v>
          </cell>
        </row>
        <row r="1488">
          <cell r="A1488" t="str">
            <v>clstdai-eve-pure-p30-sn0750</v>
          </cell>
          <cell r="B1488" t="str">
            <v>Everva</v>
          </cell>
        </row>
        <row r="1489">
          <cell r="A1489" t="str">
            <v>costmon-ama-lens-p02-mocca-sn0400</v>
          </cell>
          <cell r="B1489" t="str">
            <v>Amara</v>
          </cell>
        </row>
        <row r="1490">
          <cell r="A1490" t="str">
            <v>costmon-ama-2020-p02-pure-hazel-sn0225</v>
          </cell>
          <cell r="B1490" t="str">
            <v>Amara</v>
          </cell>
        </row>
        <row r="1491">
          <cell r="A1491" t="str">
            <v>cost3mo-lay-2021-p02-willow-green-sn0250</v>
          </cell>
          <cell r="B1491" t="str">
            <v>Layala</v>
          </cell>
        </row>
        <row r="1492">
          <cell r="A1492" t="str">
            <v>cost3mo-lay-2021-p02-stardust-gray-sn0200</v>
          </cell>
          <cell r="B1492" t="str">
            <v>Layala</v>
          </cell>
        </row>
        <row r="1493">
          <cell r="A1493" t="str">
            <v>clstdai-btr-oned-p90-sn0700</v>
          </cell>
          <cell r="B1493" t="str">
            <v>Biotrue</v>
          </cell>
        </row>
        <row r="1494">
          <cell r="A1494" t="str">
            <v>su60507-bla-000326-0507-55</v>
          </cell>
          <cell r="B1494" t="str">
            <v>BlackOut</v>
          </cell>
        </row>
        <row r="1495">
          <cell r="A1495" t="str">
            <v>cost3mo-cel-natu-p01-light-grey-sp0100</v>
          </cell>
          <cell r="B1495" t="str">
            <v>Celena</v>
          </cell>
        </row>
        <row r="1496">
          <cell r="A1496" t="str">
            <v>sm100707-bla-000336-0707-54</v>
          </cell>
          <cell r="B1496" t="str">
            <v>BlackOut</v>
          </cell>
        </row>
        <row r="1497">
          <cell r="A1497" t="str">
            <v>clstdai-dai-tot1-p30-sn0275</v>
          </cell>
          <cell r="B1497" t="str">
            <v>Dailies</v>
          </cell>
        </row>
        <row r="1498">
          <cell r="A1498" t="str">
            <v>cost3mo-lay-2021-p02-willow-green-sn0100</v>
          </cell>
          <cell r="B1498" t="str">
            <v>Layala</v>
          </cell>
        </row>
        <row r="1499">
          <cell r="A1499" t="str">
            <v>sw70507-bla-000247-2907-59</v>
          </cell>
          <cell r="B1499" t="str">
            <v>BlackOut</v>
          </cell>
        </row>
        <row r="1500">
          <cell r="A1500" t="str">
            <v>clstdai-acu-dfrb-p30-sn0600</v>
          </cell>
          <cell r="B1500" t="str">
            <v>Acuvue</v>
          </cell>
        </row>
        <row r="1501">
          <cell r="A1501" t="str">
            <v>clstdai-dai-aqua-p90-sp0550</v>
          </cell>
          <cell r="B1501" t="str">
            <v>Dailies</v>
          </cell>
        </row>
        <row r="1502">
          <cell r="A1502" t="str">
            <v>sc50107-bab-000503-0107-46</v>
          </cell>
          <cell r="B1502" t="str">
            <v>Babamio</v>
          </cell>
        </row>
        <row r="1503">
          <cell r="A1503" t="str">
            <v>cost3mo-lay-lens-p02-cloudy-gray-sn0050</v>
          </cell>
          <cell r="B1503" t="str">
            <v>Layala</v>
          </cell>
        </row>
        <row r="1504">
          <cell r="A1504" t="str">
            <v>bc50918-bab-000526-0918-43</v>
          </cell>
          <cell r="B1504" t="str">
            <v>Babamio</v>
          </cell>
        </row>
        <row r="1505">
          <cell r="A1505" t="str">
            <v>clstdai-acu-mois-p120-sn0900</v>
          </cell>
          <cell r="B1505" t="str">
            <v>Acuvue</v>
          </cell>
        </row>
        <row r="1506">
          <cell r="A1506" t="str">
            <v>su10101-30s-000279-0101-55</v>
          </cell>
          <cell r="B1506" t="str">
            <v>30Sunday</v>
          </cell>
        </row>
        <row r="1507">
          <cell r="A1507" t="str">
            <v>sm10504-30s-000286-2904-55</v>
          </cell>
          <cell r="B1507" t="str">
            <v>30Sunday</v>
          </cell>
        </row>
        <row r="1508">
          <cell r="A1508" t="str">
            <v>clstdai-eve-elit-p30-sp0800</v>
          </cell>
          <cell r="B1508" t="str">
            <v>Everva</v>
          </cell>
        </row>
        <row r="1509">
          <cell r="A1509" t="str">
            <v>sw42404-bla-000254-2404-52</v>
          </cell>
          <cell r="B1509" t="str">
            <v>BlackOut</v>
          </cell>
        </row>
        <row r="1510">
          <cell r="A1510" t="str">
            <v>sw32604-30s-000238-2604-51</v>
          </cell>
          <cell r="B1510" t="str">
            <v>30Sunday</v>
          </cell>
        </row>
        <row r="1511">
          <cell r="A1511" t="str">
            <v>sm70107-30s-000255-0107-54</v>
          </cell>
          <cell r="B1511" t="str">
            <v>30Sunday</v>
          </cell>
        </row>
        <row r="1512">
          <cell r="A1512" t="str">
            <v>sm71207-30s-000247-1207-57</v>
          </cell>
          <cell r="B1512" t="str">
            <v>30Sunday</v>
          </cell>
        </row>
        <row r="1513">
          <cell r="A1513" t="str">
            <v>clstdai-lay-cont-p60-dazzle-brown-sn0525</v>
          </cell>
          <cell r="B1513" t="str">
            <v>Layala</v>
          </cell>
        </row>
        <row r="1514">
          <cell r="A1514" t="str">
            <v>clstdai-dai-tot1-p90-sn0650</v>
          </cell>
          <cell r="B1514" t="str">
            <v>Dailies</v>
          </cell>
        </row>
        <row r="1515">
          <cell r="A1515" t="str">
            <v>cost3mo-lay-2025-p02-desert-topaz-sn0425</v>
          </cell>
          <cell r="B1515" t="str">
            <v>Layala</v>
          </cell>
        </row>
        <row r="1516">
          <cell r="A1516" t="str">
            <v>sm40107-30s-000416-0107-54</v>
          </cell>
          <cell r="B1516" t="str">
            <v>30Sunday</v>
          </cell>
        </row>
        <row r="1517">
          <cell r="A1517" t="str">
            <v>sm43202-30s-000506-3202-58</v>
          </cell>
          <cell r="B1517" t="str">
            <v>30Sunday</v>
          </cell>
        </row>
        <row r="1518">
          <cell r="A1518" t="str">
            <v>clstdai-lay-cont-p10-dazzle-brown-sp0000</v>
          </cell>
          <cell r="B1518" t="str">
            <v>Layala</v>
          </cell>
        </row>
        <row r="1519">
          <cell r="A1519" t="str">
            <v>sw70404-bla-000240-0404-42</v>
          </cell>
          <cell r="B1519" t="str">
            <v>BlackOut</v>
          </cell>
        </row>
        <row r="1520">
          <cell r="A1520" t="str">
            <v>su22706-30s-000206-2706-52</v>
          </cell>
          <cell r="B1520" t="str">
            <v>30Sunday</v>
          </cell>
        </row>
        <row r="1521">
          <cell r="A1521" t="str">
            <v>costmon-ama-lens-p02-mocca-sn0225</v>
          </cell>
          <cell r="B1521" t="str">
            <v>Amara</v>
          </cell>
        </row>
        <row r="1522">
          <cell r="A1522" t="str">
            <v>clstdai-dai-tot1-p30-sn0175</v>
          </cell>
          <cell r="B1522" t="str">
            <v>Dailies</v>
          </cell>
        </row>
        <row r="1523">
          <cell r="A1523" t="str">
            <v>sm50404-30s-000205-0304-55</v>
          </cell>
          <cell r="B1523" t="str">
            <v>30Sunday</v>
          </cell>
        </row>
        <row r="1524">
          <cell r="A1524" t="str">
            <v>costmon-ama-2020-p02-charcoal-gray-sn0250</v>
          </cell>
          <cell r="B1524" t="str">
            <v>Amara</v>
          </cell>
        </row>
        <row r="1525">
          <cell r="A1525" t="str">
            <v>clstdai-eve-pure-p30-sp0075</v>
          </cell>
          <cell r="B1525" t="str">
            <v>Everva</v>
          </cell>
        </row>
        <row r="1526">
          <cell r="A1526" t="str">
            <v>sw50107-30s-000244-0107-57</v>
          </cell>
          <cell r="B1526" t="str">
            <v>30Sunday</v>
          </cell>
        </row>
        <row r="1527">
          <cell r="A1527" t="str">
            <v>clstmon-eve-prom-p06-sn0950</v>
          </cell>
          <cell r="B1527" t="str">
            <v>Everva</v>
          </cell>
        </row>
        <row r="1528">
          <cell r="A1528" t="str">
            <v>cost3mo-lay-lens-p02-chocolate-brown-sn0200</v>
          </cell>
          <cell r="B1528" t="str">
            <v>Layala</v>
          </cell>
        </row>
        <row r="1529">
          <cell r="A1529" t="str">
            <v>costmon-ama-lens-p02-dark-sepia-sn0400</v>
          </cell>
          <cell r="B1529" t="str">
            <v>Amara</v>
          </cell>
        </row>
        <row r="1530">
          <cell r="A1530" t="str">
            <v>sw52906-bla-000229-2906-59</v>
          </cell>
          <cell r="B1530" t="str">
            <v>BlackOut</v>
          </cell>
        </row>
        <row r="1531">
          <cell r="A1531" t="str">
            <v>sacchan-30s-chain115-gry-kali-gray</v>
          </cell>
          <cell r="B1531" t="str">
            <v>30Sunday</v>
          </cell>
        </row>
        <row r="1532">
          <cell r="A1532" t="str">
            <v>sacchan-30s-chain101-blk-black</v>
          </cell>
          <cell r="B1532" t="str">
            <v>30Sunday</v>
          </cell>
        </row>
        <row r="1533">
          <cell r="A1533" t="str">
            <v>fm20118-spc-000656-0118-48</v>
          </cell>
          <cell r="B1533" t="str">
            <v>Spectus</v>
          </cell>
        </row>
        <row r="1534">
          <cell r="A1534" t="str">
            <v>su50404-30s-000236-0404-49</v>
          </cell>
          <cell r="B1534" t="str">
            <v>30Sunday</v>
          </cell>
        </row>
        <row r="1535">
          <cell r="A1535" t="str">
            <v>fw72318-spc-000638-2318-50</v>
          </cell>
          <cell r="B1535" t="str">
            <v>Spectus</v>
          </cell>
        </row>
        <row r="1536">
          <cell r="A1536" t="str">
            <v>fw70418-spc-000735-0418-53</v>
          </cell>
          <cell r="B1536" t="str">
            <v>Spectus</v>
          </cell>
        </row>
        <row r="1537">
          <cell r="A1537" t="str">
            <v>fw21218-spc-000526-1200-48</v>
          </cell>
          <cell r="B1537" t="str">
            <v>Spectus</v>
          </cell>
        </row>
        <row r="1538">
          <cell r="A1538" t="str">
            <v>sw31008-bla-000263-1008-50</v>
          </cell>
          <cell r="B1538" t="str">
            <v>BlackOut</v>
          </cell>
        </row>
        <row r="1539">
          <cell r="A1539" t="str">
            <v>costmon-ama-2022-p02-dream-sn0125</v>
          </cell>
          <cell r="B1539" t="str">
            <v>Amara</v>
          </cell>
        </row>
        <row r="1540">
          <cell r="A1540" t="str">
            <v>clstdai-eve-elit-p30-sp0250</v>
          </cell>
          <cell r="B1540" t="str">
            <v>Everva</v>
          </cell>
        </row>
        <row r="1541">
          <cell r="A1541" t="str">
            <v>sw100101-30s-000413-0101-53</v>
          </cell>
          <cell r="B1541" t="str">
            <v>30Sunday</v>
          </cell>
        </row>
        <row r="1542">
          <cell r="A1542" t="str">
            <v>sm51207-30s-000241-1201-52</v>
          </cell>
          <cell r="B1542" t="str">
            <v>30Sunday</v>
          </cell>
        </row>
        <row r="1543">
          <cell r="A1543" t="str">
            <v>sw20107-bla-000224-0107-51</v>
          </cell>
          <cell r="B1543" t="str">
            <v>BlackOut</v>
          </cell>
        </row>
        <row r="1544">
          <cell r="A1544" t="str">
            <v>clstdai-acu-dfrb-p60-sn0050</v>
          </cell>
          <cell r="B1544" t="str">
            <v>Acuvue</v>
          </cell>
        </row>
        <row r="1545">
          <cell r="A1545" t="str">
            <v>su60404-bla-000346-0404-54</v>
          </cell>
          <cell r="B1545" t="str">
            <v>BlackOut</v>
          </cell>
        </row>
        <row r="1546">
          <cell r="A1546" t="str">
            <v>cost3mo-cel-natu-p01-hazelwood-sp0250</v>
          </cell>
          <cell r="B1546" t="str">
            <v>Celena</v>
          </cell>
        </row>
        <row r="1547">
          <cell r="A1547" t="str">
            <v>cost3mo-lay-2025-p02-emerald-glow-sn0475</v>
          </cell>
          <cell r="B1547" t="str">
            <v>Layala</v>
          </cell>
        </row>
        <row r="1548">
          <cell r="A1548" t="str">
            <v>bc21318-bab-000501-1318-46</v>
          </cell>
          <cell r="B1548" t="str">
            <v>Babamio</v>
          </cell>
        </row>
        <row r="1549">
          <cell r="A1549" t="str">
            <v>sw32306-30s-000224-2306-58</v>
          </cell>
          <cell r="B1549" t="str">
            <v>30Sunday</v>
          </cell>
        </row>
        <row r="1550">
          <cell r="A1550" t="str">
            <v>clstmon-eve-prom-p01-sn0200</v>
          </cell>
          <cell r="B1550" t="str">
            <v>Everva</v>
          </cell>
        </row>
        <row r="1551">
          <cell r="A1551" t="str">
            <v>sw32904-bla-000252-2904-54</v>
          </cell>
          <cell r="B1551" t="str">
            <v>BlackOut</v>
          </cell>
        </row>
        <row r="1552">
          <cell r="A1552" t="str">
            <v>fw20618-spc-000505-0600-50</v>
          </cell>
          <cell r="B1552" t="str">
            <v>Spectus</v>
          </cell>
        </row>
        <row r="1553">
          <cell r="A1553" t="str">
            <v>sw71210-bla-000201-1213-52</v>
          </cell>
          <cell r="B1553" t="str">
            <v>BlackOut</v>
          </cell>
        </row>
        <row r="1554">
          <cell r="A1554" t="str">
            <v>clstdai-btr-oned-p30-sp0300</v>
          </cell>
          <cell r="B1554" t="str">
            <v>Biotrue</v>
          </cell>
        </row>
        <row r="1555">
          <cell r="A1555" t="str">
            <v>clstdai-dai-tot1-p90-sn0375</v>
          </cell>
          <cell r="B1555" t="str">
            <v>Dailies</v>
          </cell>
        </row>
        <row r="1556">
          <cell r="A1556" t="str">
            <v>clstdai-acu-dfvi-p90-sn0475</v>
          </cell>
          <cell r="B1556" t="str">
            <v>Acuvue</v>
          </cell>
        </row>
        <row r="1557">
          <cell r="A1557" t="str">
            <v>sacchan-30s-luna-gold</v>
          </cell>
          <cell r="B1557" t="str">
            <v>30Sunday</v>
          </cell>
        </row>
        <row r="1558">
          <cell r="A1558" t="str">
            <v>clstdai-acu-dfna-p30-sn0400</v>
          </cell>
          <cell r="B1558" t="str">
            <v>Acuvue</v>
          </cell>
        </row>
        <row r="1559">
          <cell r="A1559" t="str">
            <v>clstdai-btr-oned-p30-sn0600</v>
          </cell>
          <cell r="B1559" t="str">
            <v>Biotrue</v>
          </cell>
        </row>
        <row r="1560">
          <cell r="A1560" t="str">
            <v>clstmon-sof-sl59-p06-sn0250</v>
          </cell>
          <cell r="B1560" t="str">
            <v>Soflens</v>
          </cell>
        </row>
        <row r="1561">
          <cell r="A1561" t="str">
            <v>sw50101-bla-000233-0101-54</v>
          </cell>
          <cell r="B1561" t="str">
            <v>BlackOut</v>
          </cell>
        </row>
        <row r="1562">
          <cell r="A1562" t="str">
            <v>sw52404-30s-000431-2404-50</v>
          </cell>
          <cell r="B1562" t="str">
            <v>30Sunday</v>
          </cell>
        </row>
        <row r="1563">
          <cell r="A1563" t="str">
            <v>sw30107-30s-000224-0101-59</v>
          </cell>
          <cell r="B1563" t="str">
            <v>30Sunday</v>
          </cell>
        </row>
        <row r="1564">
          <cell r="A1564" t="str">
            <v>clstdai-acu-omax-p90-sn0500</v>
          </cell>
          <cell r="B1564" t="str">
            <v>Acuvue</v>
          </cell>
        </row>
        <row r="1565">
          <cell r="A1565" t="str">
            <v>clstdai-acu-omax-p90-sn0475</v>
          </cell>
          <cell r="B1565" t="str">
            <v>Acuvue</v>
          </cell>
        </row>
        <row r="1566">
          <cell r="A1566" t="str">
            <v>sw31306-bla-000222-1306-57</v>
          </cell>
          <cell r="B1566" t="str">
            <v>BlackOut</v>
          </cell>
        </row>
        <row r="1567">
          <cell r="A1567" t="str">
            <v>cost3mo-lay-lens-p02-crystal-brown-sn0275</v>
          </cell>
          <cell r="B1567" t="str">
            <v>Layala</v>
          </cell>
        </row>
        <row r="1568">
          <cell r="A1568" t="str">
            <v>clstdai-acu-mois-p90-sp0400</v>
          </cell>
          <cell r="B1568" t="str">
            <v>Acuvue</v>
          </cell>
        </row>
        <row r="1569">
          <cell r="A1569" t="str">
            <v>clstbiw-acu-oasy-p06-sn0275</v>
          </cell>
          <cell r="B1569" t="str">
            <v>Acuvue</v>
          </cell>
        </row>
        <row r="1570">
          <cell r="A1570" t="str">
            <v>clstdai-acu-oasy-p30-sp0550</v>
          </cell>
          <cell r="B1570" t="str">
            <v>Acuvue</v>
          </cell>
        </row>
        <row r="1571">
          <cell r="A1571" t="str">
            <v>clstbiw-acu-cle-p06-sn0250</v>
          </cell>
          <cell r="B1571" t="str">
            <v>Acuvue</v>
          </cell>
        </row>
        <row r="1572">
          <cell r="A1572" t="str">
            <v>clstdai-acu-omax-p90-sn0425</v>
          </cell>
          <cell r="B1572" t="str">
            <v>Acuvue</v>
          </cell>
        </row>
        <row r="1573">
          <cell r="A1573" t="str">
            <v>costdai-acu-dffr-p10-hazel-sn0550</v>
          </cell>
          <cell r="B1573" t="str">
            <v>Acuvue</v>
          </cell>
        </row>
        <row r="1574">
          <cell r="A1574" t="str">
            <v>clstdai-dai-tot1-p30-sp0525</v>
          </cell>
          <cell r="B1574" t="str">
            <v>Dailies</v>
          </cell>
        </row>
        <row r="1575">
          <cell r="A1575" t="str">
            <v>su22904-30s-000229-0504-53</v>
          </cell>
          <cell r="B1575" t="str">
            <v>30Sunday</v>
          </cell>
        </row>
        <row r="1576">
          <cell r="A1576" t="str">
            <v>su40115-bla-000361-0115-52</v>
          </cell>
          <cell r="B1576" t="str">
            <v>BlackOut</v>
          </cell>
        </row>
        <row r="1577">
          <cell r="A1577" t="str">
            <v>su100707-bla-000358-0707-47</v>
          </cell>
          <cell r="B1577" t="str">
            <v>BlackOut</v>
          </cell>
        </row>
        <row r="1578">
          <cell r="A1578" t="str">
            <v>cost3mo-lay-2022-p02-avena-brown-sn0325</v>
          </cell>
          <cell r="B1578" t="str">
            <v>Layala</v>
          </cell>
        </row>
        <row r="1579">
          <cell r="A1579" t="str">
            <v>costdai-acu-dffr-p10-hazel-sn0450</v>
          </cell>
          <cell r="B1579" t="str">
            <v>Acuvue</v>
          </cell>
        </row>
        <row r="1580">
          <cell r="A1580" t="str">
            <v>cost3mo-lay-lens-p02-golden-brown-sn0375</v>
          </cell>
          <cell r="B1580" t="str">
            <v>Layala</v>
          </cell>
        </row>
        <row r="1581">
          <cell r="A1581" t="str">
            <v>costdai-ama-dail-p10-amber-sn0450</v>
          </cell>
          <cell r="B1581" t="str">
            <v>Amara</v>
          </cell>
        </row>
        <row r="1582">
          <cell r="A1582" t="str">
            <v>clstdai-sof-sdai-p90-sn0325</v>
          </cell>
          <cell r="B1582" t="str">
            <v>Soflens</v>
          </cell>
        </row>
        <row r="1583">
          <cell r="A1583" t="str">
            <v>clstdai-lay-cont-p60-dazzle-brown-sn0900</v>
          </cell>
          <cell r="B1583" t="str">
            <v>Layala</v>
          </cell>
        </row>
        <row r="1584">
          <cell r="A1584" t="str">
            <v>cost3mo-lay-2022-p02-avena-brown-sn0250</v>
          </cell>
          <cell r="B1584" t="str">
            <v>Layala</v>
          </cell>
        </row>
        <row r="1585">
          <cell r="A1585" t="str">
            <v>clstdai-lay-cont-p90-dazzle-black-sn0650</v>
          </cell>
          <cell r="B1585" t="str">
            <v>Layala</v>
          </cell>
        </row>
        <row r="1586">
          <cell r="A1586" t="str">
            <v>clstdai-acu-dfvi-p90-sn0150</v>
          </cell>
          <cell r="B1586" t="str">
            <v>Acuvue</v>
          </cell>
        </row>
        <row r="1587">
          <cell r="A1587" t="str">
            <v>costdai-ama-dail-p10-moon-stone-sn0400</v>
          </cell>
          <cell r="B1587" t="str">
            <v>Amara</v>
          </cell>
        </row>
        <row r="1588">
          <cell r="A1588" t="str">
            <v>sm51202-30s-000278-1202-54</v>
          </cell>
          <cell r="B1588" t="str">
            <v>30Sunday</v>
          </cell>
        </row>
        <row r="1589">
          <cell r="A1589" t="str">
            <v>sw22104-30s-000269-2104-51</v>
          </cell>
          <cell r="B1589" t="str">
            <v>30Sunday</v>
          </cell>
        </row>
        <row r="1590">
          <cell r="A1590" t="str">
            <v>clstdai-acu-dfvi-p90-sn0650</v>
          </cell>
          <cell r="B1590" t="str">
            <v>Acuvue</v>
          </cell>
        </row>
        <row r="1591">
          <cell r="A1591" t="str">
            <v>cost3mo-lay-2020-p02-ash-gray-sn0500</v>
          </cell>
          <cell r="B1591" t="str">
            <v>Layala</v>
          </cell>
        </row>
        <row r="1592">
          <cell r="A1592" t="str">
            <v>sacchan-30s-chain102-gld-gold</v>
          </cell>
          <cell r="B1592" t="str">
            <v>30Sunday</v>
          </cell>
        </row>
        <row r="1593">
          <cell r="A1593" t="str">
            <v>clstdai-acu-mois-p90-sn0900</v>
          </cell>
          <cell r="B1593" t="str">
            <v>Acuvue</v>
          </cell>
        </row>
        <row r="1594">
          <cell r="A1594" t="str">
            <v>cost3mo-lay-2024-p02-moon-gray-sp0000</v>
          </cell>
          <cell r="B1594" t="str">
            <v>Layala</v>
          </cell>
        </row>
        <row r="1595">
          <cell r="A1595" t="str">
            <v>sw42906-bla-000246-2906-58</v>
          </cell>
          <cell r="B1595" t="str">
            <v>BlackOut</v>
          </cell>
        </row>
        <row r="1596">
          <cell r="A1596" t="str">
            <v>clstmon-ava-avai-p06-sn0450</v>
          </cell>
          <cell r="B1596" t="str">
            <v>Avaira</v>
          </cell>
        </row>
        <row r="1597">
          <cell r="A1597" t="str">
            <v>cost3mo-cel-natu-p01-light-grey-sp0350</v>
          </cell>
          <cell r="B1597" t="str">
            <v>Celena</v>
          </cell>
        </row>
        <row r="1598">
          <cell r="A1598" t="str">
            <v>sw50101-bla-000234-0101-51</v>
          </cell>
          <cell r="B1598" t="str">
            <v>BlackOut</v>
          </cell>
        </row>
        <row r="1599">
          <cell r="A1599" t="str">
            <v>costdai-acu-dffr-p30-grayzel-sn0050</v>
          </cell>
          <cell r="B1599" t="str">
            <v>Acuvue</v>
          </cell>
        </row>
        <row r="1600">
          <cell r="A1600" t="str">
            <v>cost3mo-lay-2020-p02-hazel-brown-sn0500</v>
          </cell>
          <cell r="B1600" t="str">
            <v>Layala</v>
          </cell>
        </row>
        <row r="1601">
          <cell r="A1601" t="str">
            <v>sw62404-bla-000309-2404-48</v>
          </cell>
          <cell r="B1601" t="str">
            <v>BlackOut</v>
          </cell>
        </row>
        <row r="1602">
          <cell r="A1602" t="str">
            <v>costdai-acu-dffr-p30-green-sn0500</v>
          </cell>
          <cell r="B1602" t="str">
            <v>Acuvue</v>
          </cell>
        </row>
        <row r="1603">
          <cell r="A1603" t="str">
            <v>clstdai-acu-mois-p60-sn0550</v>
          </cell>
          <cell r="B1603" t="str">
            <v>Acuvue</v>
          </cell>
        </row>
        <row r="1604">
          <cell r="A1604" t="str">
            <v>sw102904-30s-000493-2904-56</v>
          </cell>
          <cell r="B1604" t="str">
            <v>30Sunday</v>
          </cell>
        </row>
        <row r="1605">
          <cell r="A1605" t="str">
            <v>su41706-rov-8003-13-11-59</v>
          </cell>
          <cell r="B1605" t="str">
            <v>Roav</v>
          </cell>
        </row>
        <row r="1606">
          <cell r="A1606" t="str">
            <v>clstdai-acu-oasy-p120-sn0750</v>
          </cell>
          <cell r="B1606" t="str">
            <v>Acuvue</v>
          </cell>
        </row>
        <row r="1607">
          <cell r="A1607" t="str">
            <v>costdai-acu-dffr-p30-green-sn0150</v>
          </cell>
          <cell r="B1607" t="str">
            <v>Acuvue</v>
          </cell>
        </row>
        <row r="1608">
          <cell r="A1608" t="str">
            <v>clstbiw-acu-oasy-p06-sn0175</v>
          </cell>
          <cell r="B1608" t="str">
            <v>Acuvue</v>
          </cell>
        </row>
        <row r="1609">
          <cell r="A1609" t="str">
            <v>cost3mo-cel-natu-p01-hazelwood-sp0400</v>
          </cell>
          <cell r="B1609" t="str">
            <v>Celena</v>
          </cell>
        </row>
        <row r="1610">
          <cell r="A1610" t="str">
            <v>bc20618-bab-000501-0618-46</v>
          </cell>
          <cell r="B1610" t="str">
            <v>Babamio</v>
          </cell>
        </row>
        <row r="1611">
          <cell r="A1611" t="str">
            <v>clstdai-acu-oasy-p60-sn0750</v>
          </cell>
          <cell r="B1611" t="str">
            <v>Acuvue</v>
          </cell>
        </row>
        <row r="1612">
          <cell r="A1612" t="str">
            <v>clstbiw-acu-oasy-p06-sn0650</v>
          </cell>
          <cell r="B1612" t="str">
            <v>Acuvue</v>
          </cell>
        </row>
        <row r="1613">
          <cell r="A1613" t="str">
            <v>clstdai-btr-oned-p90-sn0225</v>
          </cell>
          <cell r="B1613" t="str">
            <v>Biotrue</v>
          </cell>
        </row>
        <row r="1614">
          <cell r="A1614" t="str">
            <v>clstdai-acu-oasy-p30-sn0800</v>
          </cell>
          <cell r="B1614" t="str">
            <v>Acuvue</v>
          </cell>
        </row>
        <row r="1615">
          <cell r="A1615" t="str">
            <v>clstdai-acu-dfrb-p30-sn0325</v>
          </cell>
          <cell r="B1615" t="str">
            <v>Acuvue</v>
          </cell>
        </row>
        <row r="1616">
          <cell r="A1616" t="str">
            <v>clstdai-acu-oasy-p90-sn0300</v>
          </cell>
          <cell r="B1616" t="str">
            <v>Acuvue</v>
          </cell>
        </row>
        <row r="1617">
          <cell r="A1617" t="str">
            <v>fu20418-spc-000663-0418-47</v>
          </cell>
          <cell r="B1617" t="str">
            <v>Spectus</v>
          </cell>
        </row>
        <row r="1618">
          <cell r="A1618" t="str">
            <v>su21306-30s-000218-1306-51</v>
          </cell>
          <cell r="B1618" t="str">
            <v>30Sunday</v>
          </cell>
        </row>
        <row r="1619">
          <cell r="A1619" t="str">
            <v>cost3mo-lay-lens-p02-golden-brown-sn0075</v>
          </cell>
          <cell r="B1619" t="str">
            <v>Layala</v>
          </cell>
        </row>
        <row r="1620">
          <cell r="A1620" t="str">
            <v>clstdai-lay-cont-p60-dazzle-brown-sn0375</v>
          </cell>
          <cell r="B1620" t="str">
            <v>Layala</v>
          </cell>
        </row>
        <row r="1621">
          <cell r="A1621" t="str">
            <v>clstbiw-acu-oasy-p18-sn0200</v>
          </cell>
          <cell r="B1621" t="str">
            <v>Acuvue</v>
          </cell>
        </row>
        <row r="1622">
          <cell r="A1622" t="str">
            <v>costdai-acu-dffr-p10-grayzel-sn0350</v>
          </cell>
          <cell r="B1622" t="str">
            <v>Acuvue</v>
          </cell>
        </row>
        <row r="1623">
          <cell r="A1623" t="str">
            <v>costdai-acu-dffr-p10-blue-sn0300</v>
          </cell>
          <cell r="B1623" t="str">
            <v>Acuvue</v>
          </cell>
        </row>
        <row r="1624">
          <cell r="A1624" t="str">
            <v>sw31406-30s-000108-2106-52</v>
          </cell>
          <cell r="B1624" t="str">
            <v>30Sunday</v>
          </cell>
        </row>
        <row r="1625">
          <cell r="A1625" t="str">
            <v>clstdai-acu-dfvi-p90-sn0400</v>
          </cell>
          <cell r="B1625" t="str">
            <v>Acuvue</v>
          </cell>
        </row>
        <row r="1626">
          <cell r="A1626" t="str">
            <v>cost3mo-lay-2020-p02-hazel-brown-sn0275</v>
          </cell>
          <cell r="B1626" t="str">
            <v>Layala</v>
          </cell>
        </row>
        <row r="1627">
          <cell r="A1627" t="str">
            <v>sw100606-30s-000271-0606-49</v>
          </cell>
          <cell r="B1627" t="str">
            <v>30Sunday</v>
          </cell>
        </row>
        <row r="1628">
          <cell r="A1628" t="str">
            <v>cost3mo-cel-natu-p01-real-shade-sp0100</v>
          </cell>
          <cell r="B1628" t="str">
            <v>Celena</v>
          </cell>
        </row>
        <row r="1629">
          <cell r="A1629" t="str">
            <v>clstdai-acu-mois-p60-sn0750</v>
          </cell>
          <cell r="B1629" t="str">
            <v>Acuvue</v>
          </cell>
        </row>
        <row r="1630">
          <cell r="A1630" t="str">
            <v>clstdai-dai-aqua-p30-sn1050</v>
          </cell>
          <cell r="B1630" t="str">
            <v>Dailies</v>
          </cell>
        </row>
        <row r="1631">
          <cell r="A1631" t="str">
            <v>fw32618-spc-000715-2618-51</v>
          </cell>
          <cell r="B1631" t="str">
            <v>Spectus</v>
          </cell>
        </row>
        <row r="1632">
          <cell r="A1632" t="str">
            <v>costmon-ama-2022-p02-cocoa-sp0000</v>
          </cell>
          <cell r="B1632" t="str">
            <v>Amara</v>
          </cell>
        </row>
        <row r="1633">
          <cell r="A1633" t="str">
            <v>cost3mo-lay-2021-p02-golden-gray-sn0550</v>
          </cell>
          <cell r="B1633" t="str">
            <v>Layala</v>
          </cell>
        </row>
        <row r="1634">
          <cell r="A1634" t="str">
            <v>clstdai-acu-mois-p60-sn0050</v>
          </cell>
          <cell r="B1634" t="str">
            <v>Acuvue</v>
          </cell>
        </row>
        <row r="1635">
          <cell r="A1635" t="str">
            <v>su50102-30s-000237-1402-51</v>
          </cell>
          <cell r="B1635" t="str">
            <v>30Sunday</v>
          </cell>
        </row>
        <row r="1636">
          <cell r="A1636" t="str">
            <v>cost3mo-lay-2024-p02-terra-brown-sn0225</v>
          </cell>
          <cell r="B1636" t="str">
            <v>Layala</v>
          </cell>
        </row>
        <row r="1637">
          <cell r="A1637" t="str">
            <v>clstdai-acu-oasy-p90-sp0700</v>
          </cell>
          <cell r="B1637" t="str">
            <v>Acuvue</v>
          </cell>
        </row>
        <row r="1638">
          <cell r="A1638" t="str">
            <v>clstbiw-acu-oasy-p18-sn0700</v>
          </cell>
          <cell r="B1638" t="str">
            <v>Acuvue</v>
          </cell>
        </row>
        <row r="1639">
          <cell r="A1639" t="str">
            <v>sw52302-bla-000103-2302-53</v>
          </cell>
          <cell r="B1639" t="str">
            <v>BlackOut</v>
          </cell>
        </row>
        <row r="1640">
          <cell r="A1640" t="str">
            <v>costdai-acu-dffr-p30-rose-sn0375</v>
          </cell>
          <cell r="B1640" t="str">
            <v>Acuvue</v>
          </cell>
        </row>
        <row r="1641">
          <cell r="A1641" t="str">
            <v>cost3mo-lay-2021-p02-golden-gray-sn0175</v>
          </cell>
          <cell r="B1641" t="str">
            <v>Layala</v>
          </cell>
        </row>
        <row r="1642">
          <cell r="A1642" t="str">
            <v>clstdai-eve-pure-p90-sn0350</v>
          </cell>
          <cell r="B1642" t="str">
            <v>Everva</v>
          </cell>
        </row>
        <row r="1643">
          <cell r="A1643" t="str">
            <v>sw60107-bla-000242-0101-52</v>
          </cell>
          <cell r="B1643" t="str">
            <v>BlackOut</v>
          </cell>
        </row>
        <row r="1644">
          <cell r="A1644" t="str">
            <v>costmon-ama-2023-p02-chai-sn0175</v>
          </cell>
          <cell r="B1644" t="str">
            <v>Amara</v>
          </cell>
        </row>
        <row r="1645">
          <cell r="A1645" t="str">
            <v>cost3mo-lay-lens-p02-chestnut-brown-sp0000</v>
          </cell>
          <cell r="B1645" t="str">
            <v>Layala</v>
          </cell>
        </row>
        <row r="1646">
          <cell r="A1646" t="str">
            <v>clstdai-eve-elit-p30-sn0325</v>
          </cell>
          <cell r="B1646" t="str">
            <v>Everva</v>
          </cell>
        </row>
        <row r="1647">
          <cell r="A1647" t="str">
            <v>clstdai-acu-dfvi-p60-sn0550</v>
          </cell>
          <cell r="B1647" t="str">
            <v>Acuvue</v>
          </cell>
        </row>
        <row r="1648">
          <cell r="A1648" t="str">
            <v>sc50607-bab-000504-0607-51</v>
          </cell>
          <cell r="B1648" t="str">
            <v>Babamio</v>
          </cell>
        </row>
        <row r="1649">
          <cell r="A1649" t="str">
            <v>clstdai-btr-oned-p90-sn0275</v>
          </cell>
          <cell r="B1649" t="str">
            <v>Biotrue</v>
          </cell>
        </row>
        <row r="1650">
          <cell r="A1650" t="str">
            <v>clstbiw-acu-oasy-p18-sn0750</v>
          </cell>
          <cell r="B1650" t="str">
            <v>Acuvue</v>
          </cell>
        </row>
        <row r="1651">
          <cell r="A1651" t="str">
            <v>clstdai-lay-cont-p90-dazzle-brown-sn0275</v>
          </cell>
          <cell r="B1651" t="str">
            <v>Layala</v>
          </cell>
        </row>
        <row r="1652">
          <cell r="A1652" t="str">
            <v>clstdai-btr-oned-p30-sn0425</v>
          </cell>
          <cell r="B1652" t="str">
            <v>Biotrue</v>
          </cell>
        </row>
        <row r="1653">
          <cell r="A1653" t="str">
            <v>costmon-ama-2022-p02-tiger-eyes-sn0375</v>
          </cell>
          <cell r="B1653" t="str">
            <v>Amara</v>
          </cell>
        </row>
        <row r="1654">
          <cell r="A1654" t="str">
            <v>clstbiw-acu-0002-p06-sn0175</v>
          </cell>
          <cell r="B1654" t="str">
            <v>Acuvue</v>
          </cell>
        </row>
        <row r="1655">
          <cell r="A1655" t="str">
            <v>clstdai-acu-dfna-p60-sn0275</v>
          </cell>
          <cell r="B1655" t="str">
            <v>Acuvue</v>
          </cell>
        </row>
        <row r="1656">
          <cell r="A1656" t="str">
            <v>clstdai-acu-oasy-p120-sn0375</v>
          </cell>
          <cell r="B1656" t="str">
            <v>Acuvue</v>
          </cell>
        </row>
        <row r="1657">
          <cell r="A1657" t="str">
            <v>sc50107-bab-000526-0107-43</v>
          </cell>
          <cell r="B1657" t="str">
            <v>Babamio</v>
          </cell>
        </row>
        <row r="1658">
          <cell r="A1658" t="str">
            <v>clstdai-dai-aqua-p90-sn0950</v>
          </cell>
          <cell r="B1658" t="str">
            <v>Dailies</v>
          </cell>
        </row>
        <row r="1659">
          <cell r="A1659" t="str">
            <v>sm100404-30s-000247-0404-57</v>
          </cell>
          <cell r="B1659" t="str">
            <v>30Sunday</v>
          </cell>
        </row>
        <row r="1660">
          <cell r="A1660" t="str">
            <v>clstdai-acu-dfvi-p30-sn0425</v>
          </cell>
          <cell r="B1660" t="str">
            <v>Acuvue</v>
          </cell>
        </row>
        <row r="1661">
          <cell r="A1661" t="str">
            <v>clstdai-lay-cont-p30-dazzle-black-sn0175</v>
          </cell>
          <cell r="B1661" t="str">
            <v>Layala</v>
          </cell>
        </row>
        <row r="1662">
          <cell r="A1662" t="str">
            <v>clstdai-eve-elit-p30-sn0700</v>
          </cell>
          <cell r="B1662" t="str">
            <v>Everva</v>
          </cell>
        </row>
        <row r="1663">
          <cell r="A1663" t="str">
            <v>clstdai-btr-oned-p30-sn0500</v>
          </cell>
          <cell r="B1663" t="str">
            <v>Biotrue</v>
          </cell>
        </row>
        <row r="1664">
          <cell r="A1664" t="str">
            <v>clstdai-eve-elit-p30-sp0375</v>
          </cell>
          <cell r="B1664" t="str">
            <v>Everva</v>
          </cell>
        </row>
        <row r="1665">
          <cell r="A1665" t="str">
            <v>clstdai-acu-oasy-p30-sn0900</v>
          </cell>
          <cell r="B1665" t="str">
            <v>Acuvue</v>
          </cell>
        </row>
        <row r="1666">
          <cell r="A1666" t="str">
            <v>sw60107-bla-000203-0107-59</v>
          </cell>
          <cell r="B1666" t="str">
            <v>BlackOut</v>
          </cell>
        </row>
        <row r="1667">
          <cell r="A1667" t="str">
            <v>cost3mo-lay-2021-p02-skye-blue-sn0325</v>
          </cell>
          <cell r="B1667" t="str">
            <v>Layala</v>
          </cell>
        </row>
        <row r="1668">
          <cell r="A1668" t="str">
            <v>su101406-30s-000277-1406-52</v>
          </cell>
          <cell r="B1668" t="str">
            <v>30Sunday</v>
          </cell>
        </row>
        <row r="1669">
          <cell r="A1669" t="str">
            <v>cost3mo-lay-2025-p02-emerald-glow-sn0425</v>
          </cell>
          <cell r="B1669" t="str">
            <v>Layala</v>
          </cell>
        </row>
        <row r="1670">
          <cell r="A1670" t="str">
            <v>cost3mo-lay-2024-p02-terra-brown-sn0125</v>
          </cell>
          <cell r="B1670" t="str">
            <v>Layala</v>
          </cell>
        </row>
        <row r="1671">
          <cell r="A1671" t="str">
            <v>sw20508-bla-000106-2707-57</v>
          </cell>
          <cell r="B1671" t="str">
            <v>BlackOut</v>
          </cell>
        </row>
        <row r="1672">
          <cell r="A1672" t="str">
            <v>fw30918-spc-000556-0900-53</v>
          </cell>
          <cell r="B1672" t="str">
            <v>Spectus</v>
          </cell>
        </row>
        <row r="1673">
          <cell r="A1673" t="str">
            <v>cost3mo-cel-natu-p01-hazelwood-sp0100</v>
          </cell>
          <cell r="B1673" t="str">
            <v>Celena</v>
          </cell>
        </row>
        <row r="1674">
          <cell r="A1674" t="str">
            <v>clstbiw-acu-0002-p06-sn0950</v>
          </cell>
          <cell r="B1674" t="str">
            <v>Acuvue</v>
          </cell>
        </row>
        <row r="1675">
          <cell r="A1675" t="str">
            <v>costmon-ama-2022-p02-dream-sn0225</v>
          </cell>
          <cell r="B1675" t="str">
            <v>Amara</v>
          </cell>
        </row>
        <row r="1676">
          <cell r="A1676" t="str">
            <v>cost3mo-lay-2024-p02-terra-brown-sn0150</v>
          </cell>
          <cell r="B1676" t="str">
            <v>Layala</v>
          </cell>
        </row>
        <row r="1677">
          <cell r="A1677" t="str">
            <v>clstdai-dai-tot1-p90-sn0950</v>
          </cell>
          <cell r="B1677" t="str">
            <v>Dailies</v>
          </cell>
        </row>
        <row r="1678">
          <cell r="A1678" t="str">
            <v>costmon-ama-lens-p02-dark-sepia-sn0350</v>
          </cell>
          <cell r="B1678" t="str">
            <v>Amara</v>
          </cell>
        </row>
        <row r="1679">
          <cell r="A1679" t="str">
            <v>sc50202-bab-000504-0202-51</v>
          </cell>
          <cell r="B1679" t="str">
            <v>Babamio</v>
          </cell>
        </row>
        <row r="1680">
          <cell r="A1680" t="str">
            <v>sw50506-bla-000214-2706-60</v>
          </cell>
          <cell r="B1680" t="str">
            <v>BlackOut</v>
          </cell>
        </row>
        <row r="1681">
          <cell r="A1681" t="str">
            <v>cost3mo-lay-2025-p02-emerald-glow-sn0450</v>
          </cell>
          <cell r="B1681" t="str">
            <v>Layala</v>
          </cell>
        </row>
        <row r="1682">
          <cell r="A1682" t="str">
            <v>cost3mo-cel-natu-p01-desert-grey-sp0250</v>
          </cell>
          <cell r="B1682" t="str">
            <v>Celena</v>
          </cell>
        </row>
        <row r="1683">
          <cell r="A1683" t="str">
            <v>clstdai-acu-dfna-p30-sn0650</v>
          </cell>
          <cell r="B1683" t="str">
            <v>Acuvue</v>
          </cell>
        </row>
        <row r="1684">
          <cell r="A1684" t="str">
            <v>costmon-ama-2022-p02-tan-sn0150</v>
          </cell>
          <cell r="B1684" t="str">
            <v>Amara</v>
          </cell>
        </row>
        <row r="1685">
          <cell r="A1685" t="str">
            <v>clstdai-lay-cont-p10-dazzle-black-sn0150</v>
          </cell>
          <cell r="B1685" t="str">
            <v>Layala</v>
          </cell>
        </row>
        <row r="1686">
          <cell r="A1686" t="str">
            <v>clstdai-acu-oasy-p90-sn0050</v>
          </cell>
          <cell r="B1686" t="str">
            <v>Acuvue</v>
          </cell>
        </row>
        <row r="1687">
          <cell r="A1687" t="str">
            <v>sw40504-bla-000202-2704-58</v>
          </cell>
          <cell r="B1687" t="str">
            <v>BlackOut</v>
          </cell>
        </row>
        <row r="1688">
          <cell r="A1688" t="str">
            <v>sm50404-30s-000223-0102-54</v>
          </cell>
          <cell r="B1688" t="str">
            <v>30Sunday</v>
          </cell>
        </row>
        <row r="1689">
          <cell r="A1689" t="str">
            <v>cost3mo-lay-2021-p02-willow-green-sn0150</v>
          </cell>
          <cell r="B1689" t="str">
            <v>Layala</v>
          </cell>
        </row>
        <row r="1690">
          <cell r="A1690" t="str">
            <v>fw20418-spc-000655-0418-49</v>
          </cell>
          <cell r="B1690" t="str">
            <v>Spectus</v>
          </cell>
        </row>
        <row r="1691">
          <cell r="A1691" t="str">
            <v>sw40207-bla-000351-0207-52</v>
          </cell>
          <cell r="B1691" t="str">
            <v>BlackOut</v>
          </cell>
        </row>
        <row r="1692">
          <cell r="A1692" t="str">
            <v>su50404-30s-000231-0404-62</v>
          </cell>
          <cell r="B1692" t="str">
            <v>30Sunday</v>
          </cell>
        </row>
        <row r="1693">
          <cell r="A1693" t="str">
            <v>cost3mo-lay-2025-p02-emerald-glow-sn0125</v>
          </cell>
          <cell r="B1693" t="str">
            <v>Layala</v>
          </cell>
        </row>
        <row r="1694">
          <cell r="A1694" t="str">
            <v>cost3mo-lay-2021-p02-golden-gray-sn0275</v>
          </cell>
          <cell r="B1694" t="str">
            <v>Layala</v>
          </cell>
        </row>
        <row r="1695">
          <cell r="A1695" t="str">
            <v>cost3mo-lay-2025-p02-emerald-glow-sn0175</v>
          </cell>
          <cell r="B1695" t="str">
            <v>Layala</v>
          </cell>
        </row>
        <row r="1696">
          <cell r="A1696" t="str">
            <v>sw40202-bla-000232-0202-52</v>
          </cell>
          <cell r="B1696" t="str">
            <v>BlackOut</v>
          </cell>
        </row>
        <row r="1697">
          <cell r="A1697" t="str">
            <v>sw50904-bla-000233-2404-54</v>
          </cell>
          <cell r="B1697" t="str">
            <v>BlackOut</v>
          </cell>
        </row>
        <row r="1698">
          <cell r="A1698" t="str">
            <v>costdai-acu-dffr-p10-blue-sn0050</v>
          </cell>
          <cell r="B1698" t="str">
            <v>Acuvue</v>
          </cell>
        </row>
        <row r="1699">
          <cell r="A1699" t="str">
            <v>costdai-acu-dffr-p30-blue-sn0100</v>
          </cell>
          <cell r="B1699" t="str">
            <v>Acuvue</v>
          </cell>
        </row>
        <row r="1700">
          <cell r="A1700" t="str">
            <v>costdai-ama-dail-p10-sugar-sn0275</v>
          </cell>
          <cell r="B1700" t="str">
            <v>Amara</v>
          </cell>
        </row>
        <row r="1701">
          <cell r="A1701" t="str">
            <v>cost3mo-lay-2022-p02-crescent-gray-sn0050</v>
          </cell>
          <cell r="B1701" t="str">
            <v>Layala</v>
          </cell>
        </row>
        <row r="1702">
          <cell r="A1702" t="str">
            <v>clstdai-lay-cont-p60-dazzle-brown-sn0225</v>
          </cell>
          <cell r="B1702" t="str">
            <v>Layala</v>
          </cell>
        </row>
        <row r="1703">
          <cell r="A1703" t="str">
            <v>cltobiw-acu-oasy-p06-sn0500-cn0075-a040</v>
          </cell>
          <cell r="B1703" t="str">
            <v>Acuvue</v>
          </cell>
        </row>
        <row r="1704">
          <cell r="A1704" t="str">
            <v>fw102318-spc-000866-2318-49</v>
          </cell>
          <cell r="B1704" t="str">
            <v>Spectus</v>
          </cell>
        </row>
        <row r="1705">
          <cell r="A1705" t="str">
            <v>sacchan-30s-emmy-silver</v>
          </cell>
          <cell r="B1705" t="str">
            <v>30Sunday</v>
          </cell>
        </row>
        <row r="1706">
          <cell r="A1706" t="str">
            <v>costmon-ama-lens-p02-mocca-sn0125</v>
          </cell>
          <cell r="B1706" t="str">
            <v>Amara</v>
          </cell>
        </row>
        <row r="1707">
          <cell r="A1707" t="str">
            <v>sm20702-30s-000207-0702-53</v>
          </cell>
          <cell r="B1707" t="str">
            <v>30Sunday</v>
          </cell>
        </row>
        <row r="1708">
          <cell r="A1708" t="str">
            <v>su60506-bla-000338-0506-55</v>
          </cell>
          <cell r="B1708" t="str">
            <v>BlackOut</v>
          </cell>
        </row>
        <row r="1709">
          <cell r="A1709" t="str">
            <v>sm20107-30s-000207-0101p-52</v>
          </cell>
          <cell r="B1709" t="str">
            <v>30Sunday</v>
          </cell>
        </row>
        <row r="1710">
          <cell r="A1710" t="str">
            <v>clstdai-eve-pure-p30-sn0350</v>
          </cell>
          <cell r="B1710" t="str">
            <v>Everva</v>
          </cell>
        </row>
        <row r="1711">
          <cell r="A1711" t="str">
            <v>costmon-ama-lens-p02-crocodile-green-sn0450</v>
          </cell>
          <cell r="B1711" t="str">
            <v>Amara</v>
          </cell>
        </row>
        <row r="1712">
          <cell r="A1712" t="str">
            <v>sacchan-30s-chain126-gld-kai-gold</v>
          </cell>
          <cell r="B1712" t="str">
            <v>30Sunday</v>
          </cell>
        </row>
        <row r="1713">
          <cell r="A1713" t="str">
            <v>clstdai-eve-pure-p90-sn0450</v>
          </cell>
          <cell r="B1713" t="str">
            <v>Everva</v>
          </cell>
        </row>
        <row r="1714">
          <cell r="A1714" t="str">
            <v>clstdai-acu-omax-p30-sn0100</v>
          </cell>
          <cell r="B1714" t="str">
            <v>Acuvue</v>
          </cell>
        </row>
        <row r="1715">
          <cell r="A1715" t="str">
            <v>costdai-ama-dail-p10-amber-sn0500</v>
          </cell>
          <cell r="B1715" t="str">
            <v>Amara</v>
          </cell>
        </row>
        <row r="1716">
          <cell r="A1716" t="str">
            <v>clstdai-lay-cont-p60-dazzle-brown-sn0575</v>
          </cell>
          <cell r="B1716" t="str">
            <v>Layala</v>
          </cell>
        </row>
        <row r="1717">
          <cell r="A1717" t="str">
            <v>su72906-bla-000237-2906-54</v>
          </cell>
          <cell r="B1717" t="str">
            <v>BlackOut</v>
          </cell>
        </row>
        <row r="1718">
          <cell r="A1718" t="str">
            <v>clstdai-lay-cont-p30-dazzle-black-sn0950</v>
          </cell>
          <cell r="B1718" t="str">
            <v>Layala</v>
          </cell>
        </row>
        <row r="1719">
          <cell r="A1719" t="str">
            <v>clstdai-acu-mois-p30-sn1150</v>
          </cell>
          <cell r="B1719" t="str">
            <v>Acuvue</v>
          </cell>
        </row>
        <row r="1720">
          <cell r="A1720" t="str">
            <v>clstbiw-acu-0002-p06-sn0350</v>
          </cell>
          <cell r="B1720" t="str">
            <v>Acuvue</v>
          </cell>
        </row>
        <row r="1721">
          <cell r="A1721" t="str">
            <v>clstdai-acu-dfvi-p90-sn0575</v>
          </cell>
          <cell r="B1721" t="str">
            <v>Acuvue</v>
          </cell>
        </row>
        <row r="1722">
          <cell r="A1722" t="str">
            <v>ru100618-spc-000882-0618-46-sp0100</v>
          </cell>
          <cell r="B1722" t="str">
            <v>Spectus</v>
          </cell>
        </row>
        <row r="1723">
          <cell r="A1723" t="str">
            <v>sw30202-30s-000292-0202-53</v>
          </cell>
          <cell r="B1723" t="str">
            <v>30Sunday</v>
          </cell>
        </row>
        <row r="1724">
          <cell r="A1724" t="str">
            <v>costmon-ama-2022-p02-tiger-eyes-sp0000</v>
          </cell>
          <cell r="B1724" t="str">
            <v>Amara</v>
          </cell>
        </row>
        <row r="1725">
          <cell r="A1725" t="str">
            <v>cost3mo-lay-lens-p02-crystal-brown-sn0350</v>
          </cell>
          <cell r="B1725" t="str">
            <v>Layala</v>
          </cell>
        </row>
        <row r="1726">
          <cell r="A1726" t="str">
            <v>cost3mo-lay-lens-p02-forest-green-sn0050</v>
          </cell>
          <cell r="B1726" t="str">
            <v>Layala</v>
          </cell>
        </row>
        <row r="1727">
          <cell r="A1727" t="str">
            <v>costdai-acu-dffr-p10-grayzel-sn0200</v>
          </cell>
          <cell r="B1727" t="str">
            <v>Acuvue</v>
          </cell>
        </row>
        <row r="1728">
          <cell r="A1728" t="str">
            <v>costmon-ama-2024-p02-matcha-sn0400</v>
          </cell>
          <cell r="B1728" t="str">
            <v>Amara</v>
          </cell>
        </row>
        <row r="1729">
          <cell r="A1729" t="str">
            <v>clstdai-acu-mois-p60-sn0650</v>
          </cell>
          <cell r="B1729" t="str">
            <v>Acuvue</v>
          </cell>
        </row>
        <row r="1730">
          <cell r="A1730" t="str">
            <v>cost3mo-lay-2025-p02-emerald-glow-sn0400</v>
          </cell>
          <cell r="B1730" t="str">
            <v>Layala</v>
          </cell>
        </row>
        <row r="1731">
          <cell r="A1731" t="str">
            <v>su20702-30s-000229-0702-53</v>
          </cell>
          <cell r="B1731" t="str">
            <v>30Sunday</v>
          </cell>
        </row>
        <row r="1732">
          <cell r="A1732" t="str">
            <v>costdai-acu-dffr-p10-rose-sn0350</v>
          </cell>
          <cell r="B1732" t="str">
            <v>Acuvue</v>
          </cell>
        </row>
        <row r="1733">
          <cell r="A1733" t="str">
            <v>sm100106-30s-00439-0106p-50</v>
          </cell>
          <cell r="B1733" t="str">
            <v>30Sunday</v>
          </cell>
        </row>
        <row r="1734">
          <cell r="A1734" t="str">
            <v>sw52907-bla-000301-2907-53</v>
          </cell>
          <cell r="B1734" t="str">
            <v>BlackOut</v>
          </cell>
        </row>
        <row r="1735">
          <cell r="A1735" t="str">
            <v>clstdai-acu-dfna-p90-sn0100</v>
          </cell>
          <cell r="B1735" t="str">
            <v>Acuvue</v>
          </cell>
        </row>
        <row r="1736">
          <cell r="A1736" t="str">
            <v>cost3mo-lay-2022-p02-sage-gray-sn0225</v>
          </cell>
          <cell r="B1736" t="str">
            <v>Layala</v>
          </cell>
        </row>
        <row r="1737">
          <cell r="A1737" t="str">
            <v>clstdai-acu-mois-p120-sn0650</v>
          </cell>
          <cell r="B1737" t="str">
            <v>Acuvue</v>
          </cell>
        </row>
        <row r="1738">
          <cell r="A1738" t="str">
            <v>clstbiw-acu-oasy-p06-sn0800</v>
          </cell>
          <cell r="B1738" t="str">
            <v>Acuvue</v>
          </cell>
        </row>
        <row r="1739">
          <cell r="A1739" t="str">
            <v>clstbiw-acu-oasy-p18-sn0175</v>
          </cell>
          <cell r="B1739" t="str">
            <v>Acuvue</v>
          </cell>
        </row>
        <row r="1740">
          <cell r="A1740" t="str">
            <v>sc21007-opc-190007-1007-39</v>
          </cell>
          <cell r="B1740" t="str">
            <v>Optical Club</v>
          </cell>
        </row>
        <row r="1741">
          <cell r="A1741" t="str">
            <v>sm12506-30s-000201-2506-57</v>
          </cell>
          <cell r="B1741" t="str">
            <v>30Sunday</v>
          </cell>
        </row>
        <row r="1742">
          <cell r="A1742" t="str">
            <v>clstdai-bme-1day-p30-sn0450</v>
          </cell>
          <cell r="B1742" t="str">
            <v>Biomedics</v>
          </cell>
        </row>
        <row r="1743">
          <cell r="A1743" t="str">
            <v>clstdai-eve-elit-p90-sn0425</v>
          </cell>
          <cell r="B1743" t="str">
            <v>Everva</v>
          </cell>
        </row>
        <row r="1744">
          <cell r="A1744" t="str">
            <v>clstdai-lay-cont-p60-dazzle-brown-sn0150</v>
          </cell>
          <cell r="B1744" t="str">
            <v>Layala</v>
          </cell>
        </row>
        <row r="1745">
          <cell r="A1745" t="str">
            <v>clstbiw-acu-0002-p18-sn0450</v>
          </cell>
          <cell r="B1745" t="str">
            <v>Acuvue</v>
          </cell>
        </row>
        <row r="1746">
          <cell r="A1746" t="str">
            <v>clstdai-acu-dfrb-p60-sn0350</v>
          </cell>
          <cell r="B1746" t="str">
            <v>Acuvue</v>
          </cell>
        </row>
        <row r="1747">
          <cell r="A1747" t="str">
            <v>clstdai-sof-sdai-p90-sn0625</v>
          </cell>
          <cell r="B1747" t="str">
            <v>Soflens</v>
          </cell>
        </row>
        <row r="1748">
          <cell r="A1748" t="str">
            <v>clstdai-eve-elit-p90-sp0400</v>
          </cell>
          <cell r="B1748" t="str">
            <v>Everva</v>
          </cell>
        </row>
        <row r="1749">
          <cell r="A1749" t="str">
            <v>clstdai-acu-mois-p90-sn0800</v>
          </cell>
          <cell r="B1749" t="str">
            <v>Acuvue</v>
          </cell>
        </row>
        <row r="1750">
          <cell r="A1750" t="str">
            <v>clstbiw-acu-cle-p06-sn1200</v>
          </cell>
          <cell r="B1750" t="str">
            <v>Acuvue</v>
          </cell>
        </row>
        <row r="1751">
          <cell r="A1751" t="str">
            <v>sw52901-bla-000306-2901-52</v>
          </cell>
          <cell r="B1751" t="str">
            <v>BlackOut</v>
          </cell>
        </row>
        <row r="1752">
          <cell r="A1752" t="str">
            <v>sw30702-bla-000273-0702-57</v>
          </cell>
          <cell r="B1752" t="str">
            <v>BlackOut</v>
          </cell>
        </row>
        <row r="1753">
          <cell r="A1753" t="str">
            <v>clstmon-sof-sl59-p06-sn0550</v>
          </cell>
          <cell r="B1753" t="str">
            <v>Soflens</v>
          </cell>
        </row>
        <row r="1754">
          <cell r="A1754" t="str">
            <v>cost3mo-lay-lens-p02-platinum-gray-sn0150</v>
          </cell>
          <cell r="B1754" t="str">
            <v>Layala</v>
          </cell>
        </row>
        <row r="1755">
          <cell r="A1755" t="str">
            <v>fw30618-spc-000537-0600-53</v>
          </cell>
          <cell r="B1755" t="str">
            <v>Spectus</v>
          </cell>
        </row>
        <row r="1756">
          <cell r="A1756" t="str">
            <v>clstdai-lay-cont-p30-dazzle-brown-sn0200</v>
          </cell>
          <cell r="B1756" t="str">
            <v>Layala</v>
          </cell>
        </row>
        <row r="1757">
          <cell r="A1757" t="str">
            <v>clstdai-acu-mois-p30-sp0400</v>
          </cell>
          <cell r="B1757" t="str">
            <v>Acuvue</v>
          </cell>
        </row>
        <row r="1758">
          <cell r="A1758" t="str">
            <v>sw30701-bla-000227-0701-57</v>
          </cell>
          <cell r="B1758" t="str">
            <v>BlackOut</v>
          </cell>
        </row>
        <row r="1759">
          <cell r="A1759" t="str">
            <v>cost3mo-lay-2025-p02-desert-topaz-sn0350</v>
          </cell>
          <cell r="B1759" t="str">
            <v>Layala</v>
          </cell>
        </row>
        <row r="1760">
          <cell r="A1760" t="str">
            <v>clstdai-dai-aqua-p30-sn0900</v>
          </cell>
          <cell r="B1760" t="str">
            <v>Dailies</v>
          </cell>
        </row>
        <row r="1761">
          <cell r="A1761" t="str">
            <v>clstbiw-acu-oasy-p06-sp0350</v>
          </cell>
          <cell r="B1761" t="str">
            <v>Acuvue</v>
          </cell>
        </row>
        <row r="1762">
          <cell r="A1762" t="str">
            <v>costmon-ama-2020-p02-pure-hazel-sn0100</v>
          </cell>
          <cell r="B1762" t="str">
            <v>Amara</v>
          </cell>
        </row>
        <row r="1763">
          <cell r="A1763" t="str">
            <v>cost3mo-lay-lens-p02-crystal-brown-sn0325</v>
          </cell>
          <cell r="B1763" t="str">
            <v>Layala</v>
          </cell>
        </row>
        <row r="1764">
          <cell r="A1764" t="str">
            <v>costmon-ama-2024-p02-matcha-sn0225</v>
          </cell>
          <cell r="B1764" t="str">
            <v>Amara</v>
          </cell>
        </row>
        <row r="1765">
          <cell r="A1765" t="str">
            <v>sm53207-30s-000504-3207-58</v>
          </cell>
          <cell r="B1765" t="str">
            <v>30Sunday</v>
          </cell>
        </row>
        <row r="1766">
          <cell r="A1766" t="str">
            <v>sw32907-bla-000220-2901-65</v>
          </cell>
          <cell r="B1766" t="str">
            <v>BlackOut</v>
          </cell>
        </row>
        <row r="1767">
          <cell r="A1767" t="str">
            <v>sc50207-bab-000526-0207-43</v>
          </cell>
          <cell r="B1767" t="str">
            <v>Babamio</v>
          </cell>
        </row>
        <row r="1768">
          <cell r="A1768" t="str">
            <v>clstbiw-acu-oasy-p06-sn0125</v>
          </cell>
          <cell r="B1768" t="str">
            <v>Acuvue</v>
          </cell>
        </row>
        <row r="1769">
          <cell r="A1769" t="str">
            <v>clstdai-eve-pure-p90-sn0300</v>
          </cell>
          <cell r="B1769" t="str">
            <v>Everva</v>
          </cell>
        </row>
        <row r="1770">
          <cell r="A1770" t="str">
            <v>clstdai-acu-omax-p90-sn0850</v>
          </cell>
          <cell r="B1770" t="str">
            <v>Acuvue</v>
          </cell>
        </row>
        <row r="1771">
          <cell r="A1771" t="str">
            <v>clstdai-btr-oned-p30-sn0200</v>
          </cell>
          <cell r="B1771" t="str">
            <v>Biotrue</v>
          </cell>
        </row>
        <row r="1772">
          <cell r="A1772" t="str">
            <v>cost3mo-lay-2024-p02-moon-gray-sn0275</v>
          </cell>
          <cell r="B1772" t="str">
            <v>Layala</v>
          </cell>
        </row>
        <row r="1773">
          <cell r="A1773" t="str">
            <v>cost3mo-lay-lens-p02-forest-green-sn0200</v>
          </cell>
          <cell r="B1773" t="str">
            <v>Layala</v>
          </cell>
        </row>
        <row r="1774">
          <cell r="A1774" t="str">
            <v>clstdai-acu-dfna-p30-sn0050</v>
          </cell>
          <cell r="B1774" t="str">
            <v>Acuvue</v>
          </cell>
        </row>
        <row r="1775">
          <cell r="A1775" t="str">
            <v>fw60918-spc-000877-0918-51</v>
          </cell>
          <cell r="B1775" t="str">
            <v>Spectus</v>
          </cell>
        </row>
        <row r="1776">
          <cell r="A1776" t="str">
            <v>clstdai-eve-pure-P30-Sn0100</v>
          </cell>
          <cell r="B1776" t="str">
            <v>Everva</v>
          </cell>
        </row>
        <row r="1777">
          <cell r="A1777" t="str">
            <v>sw101010-bla-000316-1010-51</v>
          </cell>
          <cell r="B1777" t="str">
            <v>BlackOut</v>
          </cell>
        </row>
        <row r="1778">
          <cell r="A1778" t="str">
            <v>sw20107-30s-000129-0107-51</v>
          </cell>
          <cell r="B1778" t="str">
            <v>30Sunday</v>
          </cell>
        </row>
        <row r="1779">
          <cell r="A1779" t="str">
            <v>sacchan-30s-chain126-svr-kai-silver</v>
          </cell>
          <cell r="B1779" t="str">
            <v>30Sunday</v>
          </cell>
        </row>
        <row r="1780">
          <cell r="A1780" t="str">
            <v>clstdai-acu-omax-p30-sp0450</v>
          </cell>
          <cell r="B1780" t="str">
            <v>Acuvue</v>
          </cell>
        </row>
        <row r="1781">
          <cell r="A1781" t="str">
            <v>saccase-30s-case103-brn-bge-caramel-brown</v>
          </cell>
          <cell r="B1781" t="str">
            <v>30Sunday</v>
          </cell>
        </row>
        <row r="1782">
          <cell r="A1782" t="str">
            <v>costmon-ama-2022-p02-tan-sn0400</v>
          </cell>
          <cell r="B1782" t="str">
            <v>Amara</v>
          </cell>
        </row>
        <row r="1783">
          <cell r="A1783" t="str">
            <v>cost3mo-lay-2022-p02-sweet-hazel-sn0325</v>
          </cell>
          <cell r="B1783" t="str">
            <v>Layala</v>
          </cell>
        </row>
        <row r="1784">
          <cell r="A1784" t="str">
            <v>clstdai-acu-omax-p30-sp0400</v>
          </cell>
          <cell r="B1784" t="str">
            <v>Acuvue</v>
          </cell>
        </row>
        <row r="1785">
          <cell r="A1785" t="str">
            <v>fw31218-spc-000810-1218-58</v>
          </cell>
          <cell r="B1785" t="str">
            <v>Spectus</v>
          </cell>
        </row>
        <row r="1786">
          <cell r="A1786" t="str">
            <v>cost3mo-lay-2022-p02-sweet-hazel-sn0150</v>
          </cell>
          <cell r="B1786" t="str">
            <v>Layala</v>
          </cell>
        </row>
        <row r="1787">
          <cell r="A1787" t="str">
            <v>clstdai-eve-elit-p30-sn0850</v>
          </cell>
          <cell r="B1787" t="str">
            <v>Everva</v>
          </cell>
        </row>
        <row r="1788">
          <cell r="A1788" t="str">
            <v>fw32918-spc-000810-2918-58</v>
          </cell>
          <cell r="B1788" t="str">
            <v>Spectus</v>
          </cell>
        </row>
        <row r="1789">
          <cell r="A1789" t="str">
            <v>sm100507-30s-000447-0507-53</v>
          </cell>
          <cell r="B1789" t="str">
            <v>30Sunday</v>
          </cell>
        </row>
        <row r="1790">
          <cell r="A1790" t="str">
            <v>clstdai-acu-mois-p90-sp0125</v>
          </cell>
          <cell r="B1790" t="str">
            <v>Acuvue</v>
          </cell>
        </row>
        <row r="1791">
          <cell r="A1791" t="str">
            <v>cost3mo-lay-2022-p02-sweet-hazel-sn0050</v>
          </cell>
          <cell r="B1791" t="str">
            <v>Layala</v>
          </cell>
        </row>
        <row r="1792">
          <cell r="A1792" t="str">
            <v>sw32604-30s-000108-2604-52</v>
          </cell>
          <cell r="B1792" t="str">
            <v>30Sunday</v>
          </cell>
        </row>
        <row r="1793">
          <cell r="A1793" t="str">
            <v>clstdai-btr-oned-p30-sn0150</v>
          </cell>
          <cell r="B1793" t="str">
            <v>Biotrue</v>
          </cell>
        </row>
        <row r="1794">
          <cell r="A1794" t="str">
            <v>clstdai-eve-pure-p30-sn1000</v>
          </cell>
          <cell r="B1794" t="str">
            <v>Everva</v>
          </cell>
        </row>
        <row r="1795">
          <cell r="A1795" t="str">
            <v>fw50918-spc-000742-0918-52</v>
          </cell>
          <cell r="B1795" t="str">
            <v>Spectus</v>
          </cell>
        </row>
        <row r="1796">
          <cell r="A1796" t="str">
            <v>clstmon-eve-prom-p06-sp0500</v>
          </cell>
          <cell r="B1796" t="str">
            <v>Everva</v>
          </cell>
        </row>
        <row r="1797">
          <cell r="A1797" t="str">
            <v>sw32904-bla-000227-2904-57</v>
          </cell>
          <cell r="B1797" t="str">
            <v>BlackOut</v>
          </cell>
        </row>
        <row r="1798">
          <cell r="A1798" t="str">
            <v>sc20207-bab-000501-0207-46</v>
          </cell>
          <cell r="B1798" t="str">
            <v>Babamio</v>
          </cell>
        </row>
        <row r="1799">
          <cell r="A1799" t="str">
            <v>sm22906-30s-000249-2906-53</v>
          </cell>
          <cell r="B1799" t="str">
            <v>30Sunday</v>
          </cell>
        </row>
        <row r="1800">
          <cell r="A1800" t="str">
            <v>clstbiw-acu-0002-p06-sn0425</v>
          </cell>
          <cell r="B1800" t="str">
            <v>Acuvue</v>
          </cell>
        </row>
        <row r="1801">
          <cell r="A1801" t="str">
            <v>costmon-ama-lens-p02-dark-sepia-sn0525</v>
          </cell>
          <cell r="B1801" t="str">
            <v>Amara</v>
          </cell>
        </row>
        <row r="1802">
          <cell r="A1802" t="str">
            <v>sw50504-bla-000214-2704-60</v>
          </cell>
          <cell r="B1802" t="str">
            <v>BlackOut</v>
          </cell>
        </row>
        <row r="1803">
          <cell r="A1803" t="str">
            <v>cost3mo-lay-lens-p02-cloudy-gray-sn0150</v>
          </cell>
          <cell r="B1803" t="str">
            <v>Layala</v>
          </cell>
        </row>
        <row r="1804">
          <cell r="A1804" t="str">
            <v>fw31118-spc-000640-1118-52</v>
          </cell>
          <cell r="B1804" t="str">
            <v>Spectus</v>
          </cell>
        </row>
        <row r="1805">
          <cell r="A1805" t="str">
            <v>sunglasses-30Sundays-30s-00453-0606p</v>
          </cell>
          <cell r="B1805" t="str">
            <v>30Sunday</v>
          </cell>
        </row>
        <row r="1806">
          <cell r="A1806" t="str">
            <v>costmon-ama-2024-p02-matcha-sn0125</v>
          </cell>
          <cell r="B1806" t="str">
            <v>Amara</v>
          </cell>
        </row>
        <row r="1807">
          <cell r="A1807" t="str">
            <v>fc50118-bab-000503-0118-46</v>
          </cell>
          <cell r="B1807" t="str">
            <v>Babamio</v>
          </cell>
        </row>
        <row r="1808">
          <cell r="A1808" t="str">
            <v>clstdai-acu-oasy-p60-sn0225</v>
          </cell>
          <cell r="B1808" t="str">
            <v>Acuvue</v>
          </cell>
        </row>
        <row r="1809">
          <cell r="A1809" t="str">
            <v>clstdai-acu-mois-p90-sn0050</v>
          </cell>
          <cell r="B1809" t="str">
            <v>Acuvue</v>
          </cell>
        </row>
        <row r="1810">
          <cell r="A1810" t="str">
            <v>clstdai-acu-mois-p120-sn0250</v>
          </cell>
          <cell r="B1810" t="str">
            <v>Acuvue</v>
          </cell>
        </row>
        <row r="1811">
          <cell r="A1811" t="str">
            <v>clstbiw-acu-0002-p06-sn0400</v>
          </cell>
          <cell r="B1811" t="str">
            <v>Acuvue</v>
          </cell>
        </row>
        <row r="1812">
          <cell r="A1812" t="str">
            <v>clstdai-acu-oasy-p60-sn0375</v>
          </cell>
          <cell r="B1812" t="str">
            <v>Acuvue</v>
          </cell>
        </row>
        <row r="1813">
          <cell r="A1813" t="str">
            <v>clstmon-eve-prom-p06-sn0750</v>
          </cell>
          <cell r="B1813" t="str">
            <v>Everva</v>
          </cell>
        </row>
        <row r="1814">
          <cell r="A1814" t="str">
            <v>clstdai-lay-cont-p10-dazzle-brown-sn0400</v>
          </cell>
          <cell r="B1814" t="str">
            <v>Layala</v>
          </cell>
        </row>
        <row r="1815">
          <cell r="A1815" t="str">
            <v>costmon-ama-lens-p02-crocodile-green-sn0125</v>
          </cell>
          <cell r="B1815" t="str">
            <v>Amara</v>
          </cell>
        </row>
        <row r="1816">
          <cell r="A1816" t="str">
            <v>sm71202-30s-000255-1202-54</v>
          </cell>
          <cell r="B1816" t="str">
            <v>30Sunday</v>
          </cell>
        </row>
        <row r="1817">
          <cell r="A1817" t="str">
            <v>sm50606-30s-000220-0102-55</v>
          </cell>
          <cell r="B1817" t="str">
            <v>30Sunday</v>
          </cell>
        </row>
        <row r="1818">
          <cell r="A1818" t="str">
            <v>sw30107-bla-000328-0107-52</v>
          </cell>
          <cell r="B1818" t="str">
            <v>BlackOut</v>
          </cell>
        </row>
        <row r="1819">
          <cell r="A1819" t="str">
            <v>sc50907-bab-000503-0907-46</v>
          </cell>
          <cell r="B1819" t="str">
            <v>Babamio</v>
          </cell>
        </row>
        <row r="1820">
          <cell r="A1820" t="str">
            <v>sc20207-bab-000502-2807-50</v>
          </cell>
          <cell r="B1820" t="str">
            <v>Babamio</v>
          </cell>
        </row>
        <row r="1821">
          <cell r="A1821" t="str">
            <v>bc22018-bab-000502-2018-50</v>
          </cell>
          <cell r="B1821" t="str">
            <v>Babamio</v>
          </cell>
        </row>
        <row r="1822">
          <cell r="A1822" t="str">
            <v>cost3mo-lay-2021-p02-golden-gray-sn0050</v>
          </cell>
          <cell r="B1822" t="str">
            <v>Layala</v>
          </cell>
        </row>
        <row r="1823">
          <cell r="A1823" t="str">
            <v>costdai-ama-dail-p10-amber-sn0125</v>
          </cell>
          <cell r="B1823" t="str">
            <v>Amara</v>
          </cell>
        </row>
        <row r="1824">
          <cell r="A1824" t="str">
            <v>cost3mo-lay-2021-p02-stardust-gray-sn0250</v>
          </cell>
          <cell r="B1824" t="str">
            <v>Layala</v>
          </cell>
        </row>
        <row r="1825">
          <cell r="A1825" t="str">
            <v>sw22904-bla-000217-2904-57</v>
          </cell>
          <cell r="B1825" t="str">
            <v>BlackOut</v>
          </cell>
        </row>
        <row r="1826">
          <cell r="A1826" t="str">
            <v>clstdai-lay-cont-p10-dazzle-brown-sn0350</v>
          </cell>
          <cell r="B1826" t="str">
            <v>Layala</v>
          </cell>
        </row>
        <row r="1827">
          <cell r="A1827" t="str">
            <v>cost3mo-lay-2021-p02-polar-gray-sn0100</v>
          </cell>
          <cell r="B1827" t="str">
            <v>Layala</v>
          </cell>
        </row>
        <row r="1828">
          <cell r="A1828" t="str">
            <v>clstdai-acu-mois-p30-sp0200</v>
          </cell>
          <cell r="B1828" t="str">
            <v>Acuvue</v>
          </cell>
        </row>
        <row r="1829">
          <cell r="A1829" t="str">
            <v>sc41007-bab-000503-1007-46</v>
          </cell>
          <cell r="B1829" t="str">
            <v>Babamio</v>
          </cell>
        </row>
        <row r="1830">
          <cell r="A1830" t="str">
            <v>sw22907-bla-000106-2901-57</v>
          </cell>
          <cell r="B1830" t="str">
            <v>BlackOut</v>
          </cell>
        </row>
        <row r="1831">
          <cell r="A1831" t="str">
            <v>sc51402-bab-000527-1402-48</v>
          </cell>
          <cell r="B1831" t="str">
            <v>Babamio</v>
          </cell>
        </row>
        <row r="1832">
          <cell r="A1832" t="str">
            <v>clstdai-lay-cont-p30-dazzle-brown-sn0300</v>
          </cell>
          <cell r="B1832" t="str">
            <v>Layala</v>
          </cell>
        </row>
        <row r="1833">
          <cell r="A1833" t="str">
            <v>clstmon-bme-bm55-p06-sn0575</v>
          </cell>
          <cell r="B1833" t="str">
            <v>Biomedics</v>
          </cell>
        </row>
        <row r="1834">
          <cell r="A1834" t="str">
            <v>cost3mo-lay-2023-p02-sable-brown-sn0250</v>
          </cell>
          <cell r="B1834" t="str">
            <v>Layala</v>
          </cell>
        </row>
        <row r="1835">
          <cell r="A1835" t="str">
            <v>clstdai-acu-dfvi-p60-sn0125</v>
          </cell>
          <cell r="B1835" t="str">
            <v>Acuvue</v>
          </cell>
        </row>
        <row r="1836">
          <cell r="A1836" t="str">
            <v>sw30107-30s-000108-0107-52</v>
          </cell>
          <cell r="B1836" t="str">
            <v>30Sunday</v>
          </cell>
        </row>
        <row r="1837">
          <cell r="A1837" t="str">
            <v>costmon-ama-2023-p02-chai-sn0250</v>
          </cell>
          <cell r="B1837" t="str">
            <v>Amara</v>
          </cell>
        </row>
        <row r="1838">
          <cell r="A1838" t="str">
            <v>clstdai-lay-cont-p90-dazzle-brown-sn0600</v>
          </cell>
          <cell r="B1838" t="str">
            <v>Layala</v>
          </cell>
        </row>
        <row r="1839">
          <cell r="A1839" t="str">
            <v>costdai-acu-dffr-p10-rose-sn0500</v>
          </cell>
          <cell r="B1839" t="str">
            <v>Acuvue</v>
          </cell>
        </row>
        <row r="1840">
          <cell r="A1840" t="str">
            <v>sm70702-30s-000250-0702-55</v>
          </cell>
          <cell r="B1840" t="str">
            <v>30Sunday</v>
          </cell>
        </row>
        <row r="1841">
          <cell r="A1841" t="str">
            <v>clstdai-acu-mois-p120-sn0475</v>
          </cell>
          <cell r="B1841" t="str">
            <v>Acuvue</v>
          </cell>
        </row>
        <row r="1842">
          <cell r="A1842" t="str">
            <v>costdai-acu-dffr-p10-rose-sn0200</v>
          </cell>
          <cell r="B1842" t="str">
            <v>Acuvue</v>
          </cell>
        </row>
        <row r="1843">
          <cell r="A1843" t="str">
            <v>sw22404-30s-000112-2404-50</v>
          </cell>
          <cell r="B1843" t="str">
            <v>30Sunday</v>
          </cell>
        </row>
        <row r="1844">
          <cell r="A1844" t="str">
            <v>sw40107-bla-000305-0107-54</v>
          </cell>
          <cell r="B1844" t="str">
            <v>BlackOut</v>
          </cell>
        </row>
        <row r="1845">
          <cell r="A1845" t="str">
            <v>costmon-ama-2020-p02-charcoal-gray-sn0300</v>
          </cell>
          <cell r="B1845" t="str">
            <v>Amara</v>
          </cell>
        </row>
        <row r="1846">
          <cell r="A1846" t="str">
            <v>cost3mo-lay-lens-p02-chocolate-brown-sn0375</v>
          </cell>
          <cell r="B1846" t="str">
            <v>Layala</v>
          </cell>
        </row>
        <row r="1847">
          <cell r="A1847" t="str">
            <v>clstdai-acu-oasy-p120-sn0125</v>
          </cell>
          <cell r="B1847" t="str">
            <v>Acuvue</v>
          </cell>
        </row>
        <row r="1848">
          <cell r="A1848" t="str">
            <v>sw103207-30s-000493-3207-56</v>
          </cell>
          <cell r="B1848" t="str">
            <v>30Sunday</v>
          </cell>
        </row>
        <row r="1849">
          <cell r="A1849" t="str">
            <v>sw30107-bla-000255-0101-52</v>
          </cell>
          <cell r="B1849" t="str">
            <v>BlackOut</v>
          </cell>
        </row>
        <row r="1850">
          <cell r="A1850" t="str">
            <v>sw60104-bla-000377-0104-52</v>
          </cell>
          <cell r="B1850" t="str">
            <v>BlackOut</v>
          </cell>
        </row>
        <row r="1851">
          <cell r="A1851" t="str">
            <v>clstdai-acu-oasy-p30-sn0650</v>
          </cell>
          <cell r="B1851" t="str">
            <v>Acuvue</v>
          </cell>
        </row>
        <row r="1852">
          <cell r="A1852" t="str">
            <v>sw31202-bla-000250-1202-54</v>
          </cell>
          <cell r="B1852" t="str">
            <v>BlackOut</v>
          </cell>
        </row>
        <row r="1853">
          <cell r="A1853" t="str">
            <v>costdai-ama-dail-p10-honey-sn0100</v>
          </cell>
          <cell r="B1853" t="str">
            <v>Amara</v>
          </cell>
        </row>
        <row r="1854">
          <cell r="A1854" t="str">
            <v>costmon-ama-lens-p02-dark-sepia-sn0225</v>
          </cell>
          <cell r="B1854" t="str">
            <v>Amara</v>
          </cell>
        </row>
        <row r="1855">
          <cell r="A1855" t="str">
            <v>clstdai-acu-mois-p30-sn0200</v>
          </cell>
          <cell r="B1855" t="str">
            <v>Acuvue</v>
          </cell>
        </row>
        <row r="1856">
          <cell r="A1856" t="str">
            <v>clstdai-eve-elit-p30-sn0800</v>
          </cell>
          <cell r="B1856" t="str">
            <v>Everva</v>
          </cell>
        </row>
        <row r="1857">
          <cell r="A1857" t="str">
            <v>cltodai-acu-mois-p30-sn0375-cn0075-a010</v>
          </cell>
          <cell r="B1857" t="str">
            <v>Acuvue</v>
          </cell>
        </row>
        <row r="1858">
          <cell r="A1858" t="str">
            <v>clstdai-acu-oasy-p120-sn0325</v>
          </cell>
          <cell r="B1858" t="str">
            <v>Acuvue</v>
          </cell>
        </row>
        <row r="1859">
          <cell r="A1859" t="str">
            <v>sunglasses-30Sundays-30s-000447-0107</v>
          </cell>
          <cell r="B1859" t="str">
            <v>30Sunday</v>
          </cell>
        </row>
        <row r="1860">
          <cell r="A1860" t="str">
            <v>su20107-30s-000218-0107-51</v>
          </cell>
          <cell r="B1860" t="str">
            <v>30Sunday</v>
          </cell>
        </row>
        <row r="1861">
          <cell r="A1861" t="str">
            <v>costmon-ama-lens-p02-crocodile-green-sn0800</v>
          </cell>
          <cell r="B1861" t="str">
            <v>Amara</v>
          </cell>
        </row>
        <row r="1862">
          <cell r="A1862" t="str">
            <v>clstdai-eve-elit-p90-sn0025</v>
          </cell>
          <cell r="B1862" t="str">
            <v>Everva</v>
          </cell>
        </row>
        <row r="1863">
          <cell r="A1863" t="str">
            <v>clstmon-eve-prom-p06-sp0400</v>
          </cell>
          <cell r="B1863" t="str">
            <v>Everva</v>
          </cell>
        </row>
        <row r="1864">
          <cell r="A1864" t="str">
            <v>sm110202-30s-000451-0202-49</v>
          </cell>
          <cell r="B1864" t="str">
            <v>30Sunday</v>
          </cell>
        </row>
        <row r="1865">
          <cell r="A1865" t="str">
            <v>sm100107-30s-00407-0107p-52</v>
          </cell>
          <cell r="B1865" t="str">
            <v>30Sunday</v>
          </cell>
        </row>
        <row r="1866">
          <cell r="A1866" t="str">
            <v>sc22507-bab-000500-0207-40</v>
          </cell>
          <cell r="B1866" t="str">
            <v>Babamio</v>
          </cell>
        </row>
        <row r="1867">
          <cell r="A1867" t="str">
            <v>costdai-ama-dail-p10-honey-sn0425</v>
          </cell>
          <cell r="B1867" t="str">
            <v>Amara</v>
          </cell>
        </row>
        <row r="1868">
          <cell r="A1868" t="str">
            <v>su100304-bla-000380-0304-54</v>
          </cell>
          <cell r="B1868" t="str">
            <v>BlackOut</v>
          </cell>
        </row>
        <row r="1869">
          <cell r="A1869" t="str">
            <v>clstdai-acu-oasy-p60-sn0600</v>
          </cell>
          <cell r="B1869" t="str">
            <v>Acuvue</v>
          </cell>
        </row>
        <row r="1870">
          <cell r="A1870" t="str">
            <v>sw101207-bla-000321-1207-52</v>
          </cell>
          <cell r="B1870" t="str">
            <v>BlackOut</v>
          </cell>
        </row>
        <row r="1871">
          <cell r="A1871" t="str">
            <v>sw32904-bla-000311-2904-58</v>
          </cell>
          <cell r="B1871" t="str">
            <v>BlackOut</v>
          </cell>
        </row>
        <row r="1872">
          <cell r="A1872" t="str">
            <v>costdai-acu-dffr-p10-grayzel-sn0450</v>
          </cell>
          <cell r="B1872" t="str">
            <v>Acuvue</v>
          </cell>
        </row>
        <row r="1873">
          <cell r="A1873" t="str">
            <v>sw100507-30s-000295-0101-53</v>
          </cell>
          <cell r="B1873" t="str">
            <v>30Sunday</v>
          </cell>
        </row>
        <row r="1874">
          <cell r="A1874" t="str">
            <v>clstdai-eve-elit-p30-sn0150</v>
          </cell>
          <cell r="B1874" t="str">
            <v>Everva</v>
          </cell>
        </row>
        <row r="1875">
          <cell r="A1875" t="str">
            <v>cost3mo-lay-2021-p02-polar-gray-sn0125</v>
          </cell>
          <cell r="B1875" t="str">
            <v>Layala</v>
          </cell>
        </row>
        <row r="1876">
          <cell r="A1876" t="str">
            <v>clstdai-eve-pure-P30-Sn0525</v>
          </cell>
          <cell r="B1876" t="str">
            <v>Everva</v>
          </cell>
        </row>
        <row r="1877">
          <cell r="A1877" t="str">
            <v>cltodai-acu-mois-p30-sn0500-cn0075-a070</v>
          </cell>
          <cell r="B1877" t="str">
            <v>Acuvue</v>
          </cell>
        </row>
        <row r="1878">
          <cell r="A1878" t="str">
            <v>sm100406-30s-000266-0406-59</v>
          </cell>
          <cell r="B1878" t="str">
            <v>30Sunday</v>
          </cell>
        </row>
        <row r="1879">
          <cell r="A1879" t="str">
            <v>clstdai-eve-elit-p30-sn1150</v>
          </cell>
          <cell r="B1879" t="str">
            <v>Everva</v>
          </cell>
        </row>
        <row r="1880">
          <cell r="A1880" t="str">
            <v>sunglasses-30Sundays-30s-000455-0104</v>
          </cell>
          <cell r="B1880" t="str">
            <v>30Sunday</v>
          </cell>
        </row>
        <row r="1881">
          <cell r="A1881" t="str">
            <v>clstdai-lay-cont-p90-dazzle-brown-sn0550</v>
          </cell>
          <cell r="B1881" t="str">
            <v>Layala</v>
          </cell>
        </row>
        <row r="1882">
          <cell r="A1882" t="str">
            <v>clstdai-lay-cont-p60-dazzle-black-sn0900</v>
          </cell>
          <cell r="B1882" t="str">
            <v>Layala</v>
          </cell>
        </row>
        <row r="1883">
          <cell r="A1883" t="str">
            <v>clstdai-dai-aqua-p30-sp0400</v>
          </cell>
          <cell r="B1883" t="str">
            <v>Dailies</v>
          </cell>
        </row>
        <row r="1884">
          <cell r="A1884" t="str">
            <v>sw50107-bla-000219-2901-57</v>
          </cell>
          <cell r="B1884" t="str">
            <v>BlackOut</v>
          </cell>
        </row>
        <row r="1885">
          <cell r="A1885" t="str">
            <v>sw30404-bla-000323-0404-49</v>
          </cell>
          <cell r="B1885" t="str">
            <v>BlackOut</v>
          </cell>
        </row>
        <row r="1886">
          <cell r="A1886" t="str">
            <v>sm10702-bla-000342-0702-57</v>
          </cell>
          <cell r="B1886" t="str">
            <v>BlackOut</v>
          </cell>
        </row>
        <row r="1887">
          <cell r="A1887" t="str">
            <v>clstdai-eve-pure-p30-sn0950</v>
          </cell>
          <cell r="B1887" t="str">
            <v>Everva</v>
          </cell>
        </row>
        <row r="1888">
          <cell r="A1888" t="str">
            <v>clstmon-ava-avai-p06-sn0300</v>
          </cell>
          <cell r="B1888" t="str">
            <v>Avaira</v>
          </cell>
        </row>
        <row r="1889">
          <cell r="A1889" t="str">
            <v>clstdai-acu-omax-p90-sn0375</v>
          </cell>
          <cell r="B1889" t="str">
            <v>Acuvue</v>
          </cell>
        </row>
        <row r="1890">
          <cell r="A1890" t="str">
            <v>su21402-30s-000213-1402-50</v>
          </cell>
          <cell r="B1890" t="str">
            <v>30Sunday</v>
          </cell>
        </row>
        <row r="1891">
          <cell r="A1891" t="str">
            <v>cost3mo-lay-2023-p02-selene-green-sn0225</v>
          </cell>
          <cell r="B1891" t="str">
            <v>Layala</v>
          </cell>
        </row>
        <row r="1892">
          <cell r="A1892" t="str">
            <v>su61206-bla-000259-1206-53</v>
          </cell>
          <cell r="B1892" t="str">
            <v>BlackOut</v>
          </cell>
        </row>
        <row r="1893">
          <cell r="A1893" t="str">
            <v>clstdai-btr-oned-p90-sp0425</v>
          </cell>
          <cell r="B1893" t="str">
            <v>Biotrue</v>
          </cell>
        </row>
        <row r="1894">
          <cell r="A1894" t="str">
            <v>clstbiw-acu-oasy-p06-sn0600</v>
          </cell>
          <cell r="B1894" t="str">
            <v>Acuvue</v>
          </cell>
        </row>
        <row r="1895">
          <cell r="A1895" t="str">
            <v>clstdai-acu-mois-p30-sp0525</v>
          </cell>
          <cell r="B1895" t="str">
            <v>Acuvue</v>
          </cell>
        </row>
        <row r="1896">
          <cell r="A1896" t="str">
            <v>clstdai-lay-cont-p10-dazzle-black-sn0950</v>
          </cell>
          <cell r="B1896" t="str">
            <v>Layala</v>
          </cell>
        </row>
        <row r="1897">
          <cell r="A1897" t="str">
            <v>sacchan-30s-chain128-gld-mia-gold</v>
          </cell>
          <cell r="B1897" t="str">
            <v>30Sunday</v>
          </cell>
        </row>
        <row r="1898">
          <cell r="A1898" t="str">
            <v>clstdai-lay-cont-p60-dazzle-brown-sn0275</v>
          </cell>
          <cell r="B1898" t="str">
            <v>Layala</v>
          </cell>
        </row>
        <row r="1899">
          <cell r="A1899" t="str">
            <v>cost3mo-lay-lens-p02-platinum-gray-sn0200</v>
          </cell>
          <cell r="B1899" t="str">
            <v>Layala</v>
          </cell>
        </row>
        <row r="1900">
          <cell r="A1900" t="str">
            <v>sw21306-30s-000131-1306-52</v>
          </cell>
          <cell r="B1900" t="str">
            <v>30Sunday</v>
          </cell>
        </row>
        <row r="1901">
          <cell r="A1901" t="str">
            <v>sm50404-30s-000283-0304-54</v>
          </cell>
          <cell r="B1901" t="str">
            <v>30Sunday</v>
          </cell>
        </row>
        <row r="1902">
          <cell r="A1902" t="str">
            <v>costmon-ama-lens-p02-crocodile-green-sn0350</v>
          </cell>
          <cell r="B1902" t="str">
            <v>Amara</v>
          </cell>
        </row>
        <row r="1903">
          <cell r="A1903" t="str">
            <v>clstmon-bio-biof-p06-sn0700</v>
          </cell>
          <cell r="B1903" t="str">
            <v>Biofinity</v>
          </cell>
        </row>
        <row r="1904">
          <cell r="A1904" t="str">
            <v>clstdai-eve-elit-p90-sn0200</v>
          </cell>
          <cell r="B1904" t="str">
            <v>Everva</v>
          </cell>
        </row>
        <row r="1905">
          <cell r="A1905" t="str">
            <v>clstdai-acu-dfvi-p60-sn0800</v>
          </cell>
          <cell r="B1905" t="str">
            <v>Acuvue</v>
          </cell>
        </row>
        <row r="1906">
          <cell r="A1906" t="str">
            <v>clstbiw-acu-0002-p18-sn0575</v>
          </cell>
          <cell r="B1906" t="str">
            <v>Acuvue</v>
          </cell>
        </row>
        <row r="1907">
          <cell r="A1907" t="str">
            <v>clstdai-acu-dfvi-p30-sn0125</v>
          </cell>
          <cell r="B1907" t="str">
            <v>Acuvue</v>
          </cell>
        </row>
        <row r="1908">
          <cell r="A1908" t="str">
            <v>clstdai-acu-dfvi-p90-sn0350</v>
          </cell>
          <cell r="B1908" t="str">
            <v>Acuvue</v>
          </cell>
        </row>
        <row r="1909">
          <cell r="A1909" t="str">
            <v>sc50202-bab-000527-0202-48</v>
          </cell>
          <cell r="B1909" t="str">
            <v>Babamio</v>
          </cell>
        </row>
        <row r="1910">
          <cell r="A1910" t="str">
            <v>costdai-acu-dffr-p30-green-sn0700</v>
          </cell>
          <cell r="B1910" t="str">
            <v>Acuvue</v>
          </cell>
        </row>
        <row r="1911">
          <cell r="A1911" t="str">
            <v>costdai-acu-dffr-p30-rose-sn0500</v>
          </cell>
          <cell r="B1911" t="str">
            <v>Acuvue</v>
          </cell>
        </row>
        <row r="1912">
          <cell r="A1912" t="str">
            <v>clstdai-eve-elit-p90-sp0750</v>
          </cell>
          <cell r="B1912" t="str">
            <v>Everva</v>
          </cell>
        </row>
        <row r="1913">
          <cell r="A1913" t="str">
            <v>clstdai-acu-mois-p30-sn0950</v>
          </cell>
          <cell r="B1913" t="str">
            <v>Acuvue</v>
          </cell>
        </row>
        <row r="1914">
          <cell r="A1914" t="str">
            <v>clstmon-sof-sl59-p06-sn0525</v>
          </cell>
          <cell r="B1914" t="str">
            <v>Soflens</v>
          </cell>
        </row>
        <row r="1915">
          <cell r="A1915" t="str">
            <v>clstdai-dai-aqua-p90-sn0600</v>
          </cell>
          <cell r="B1915" t="str">
            <v>Dailies</v>
          </cell>
        </row>
        <row r="1916">
          <cell r="A1916" t="str">
            <v>sw70502-bla-000201-2702-52</v>
          </cell>
          <cell r="B1916" t="str">
            <v>BlackOut</v>
          </cell>
        </row>
        <row r="1917">
          <cell r="A1917" t="str">
            <v>costdai-acu-dffr-p10-honey-sn0350</v>
          </cell>
          <cell r="B1917" t="str">
            <v>Acuvue</v>
          </cell>
        </row>
        <row r="1918">
          <cell r="A1918" t="str">
            <v>cost3mo-lay-2021-p02-sunkiss-brown-sn0125</v>
          </cell>
          <cell r="B1918" t="str">
            <v>Layala</v>
          </cell>
        </row>
        <row r="1919">
          <cell r="A1919" t="str">
            <v>clstdai-acu-dfvi-p30-sn0700</v>
          </cell>
          <cell r="B1919" t="str">
            <v>Acuvue</v>
          </cell>
        </row>
        <row r="1920">
          <cell r="A1920" t="str">
            <v>clstdai-acu-omax-p30-sp0750</v>
          </cell>
          <cell r="B1920" t="str">
            <v>Acuvue</v>
          </cell>
        </row>
        <row r="1921">
          <cell r="A1921" t="str">
            <v>clstdai-acu-dfvi-p60-sn0050</v>
          </cell>
          <cell r="B1921" t="str">
            <v>Acuvue</v>
          </cell>
        </row>
        <row r="1922">
          <cell r="A1922" t="str">
            <v>sw30502-bla-000204-2702-66</v>
          </cell>
          <cell r="B1922" t="str">
            <v>BlackOut</v>
          </cell>
        </row>
        <row r="1923">
          <cell r="A1923" t="str">
            <v>sacchan-30s-chain127-gld-lulu-gold</v>
          </cell>
          <cell r="B1923" t="str">
            <v>30Sunday</v>
          </cell>
        </row>
        <row r="1924">
          <cell r="A1924" t="str">
            <v>cost3mo-lay-2022-p02-avena-brown-sn0375</v>
          </cell>
          <cell r="B1924" t="str">
            <v>Layala</v>
          </cell>
        </row>
        <row r="1925">
          <cell r="A1925" t="str">
            <v>cost3mo-lay-lens-p02-cloudy-gray-sn0400</v>
          </cell>
          <cell r="B1925" t="str">
            <v>Layala</v>
          </cell>
        </row>
        <row r="1926">
          <cell r="A1926" t="str">
            <v>clstbiw-acu-oasy-p06-sn0850</v>
          </cell>
          <cell r="B1926" t="str">
            <v>Acuvue</v>
          </cell>
        </row>
        <row r="1927">
          <cell r="A1927" t="str">
            <v>sw72302-bla-000231-2302-58</v>
          </cell>
          <cell r="B1927" t="str">
            <v>BlackOut</v>
          </cell>
        </row>
        <row r="1928">
          <cell r="A1928" t="str">
            <v>clstdai-eve-elit-p90-sn0350</v>
          </cell>
          <cell r="B1928" t="str">
            <v>Everva</v>
          </cell>
        </row>
        <row r="1929">
          <cell r="A1929" t="str">
            <v>costdai-ama-dail-p10-moon-stone-sn0600</v>
          </cell>
          <cell r="B1929" t="str">
            <v>Amara</v>
          </cell>
        </row>
        <row r="1930">
          <cell r="A1930" t="str">
            <v>clstdai-dai-aqua-p90-sp0575</v>
          </cell>
          <cell r="B1930" t="str">
            <v>Dailies</v>
          </cell>
        </row>
        <row r="1931">
          <cell r="A1931" t="str">
            <v>clstdai-acu-dfvi-p30-sn0575</v>
          </cell>
          <cell r="B1931" t="str">
            <v>Acuvue</v>
          </cell>
        </row>
        <row r="1932">
          <cell r="A1932" t="str">
            <v>sw30402-30s-000273-0402-54</v>
          </cell>
          <cell r="B1932" t="str">
            <v>30Sunday</v>
          </cell>
        </row>
        <row r="1933">
          <cell r="A1933" t="str">
            <v>costmon-ama-2024-p02-nmr-sp0000</v>
          </cell>
          <cell r="B1933" t="str">
            <v>Amara</v>
          </cell>
        </row>
        <row r="1934">
          <cell r="A1934" t="str">
            <v>costdai-ama-dail-p10-amber-sn0900</v>
          </cell>
          <cell r="B1934" t="str">
            <v>Amara</v>
          </cell>
        </row>
        <row r="1935">
          <cell r="A1935" t="str">
            <v>sm40102-30s-000289-0102-57</v>
          </cell>
          <cell r="B1935" t="str">
            <v>30Sunday</v>
          </cell>
        </row>
        <row r="1936">
          <cell r="A1936" t="str">
            <v>costmon-ama-lens-p02-mocca-sn0450</v>
          </cell>
          <cell r="B1936" t="str">
            <v>Amara</v>
          </cell>
        </row>
        <row r="1937">
          <cell r="A1937" t="str">
            <v>sacchan-30s-penelope-black</v>
          </cell>
          <cell r="B1937" t="str">
            <v>30Sunday</v>
          </cell>
        </row>
        <row r="1938">
          <cell r="A1938" t="str">
            <v>clstdai-acu-dfrb-p90-sn0200</v>
          </cell>
          <cell r="B1938" t="str">
            <v>Acuvue</v>
          </cell>
        </row>
        <row r="1939">
          <cell r="A1939" t="str">
            <v>clstdai-lay-cont-p60-dazzle-black-sn0250</v>
          </cell>
          <cell r="B1939" t="str">
            <v>Layala</v>
          </cell>
        </row>
        <row r="1940">
          <cell r="A1940" t="str">
            <v>clstdai-acu-mois-p120-sn0450</v>
          </cell>
          <cell r="B1940" t="str">
            <v>Acuvue</v>
          </cell>
        </row>
        <row r="1941">
          <cell r="A1941" t="str">
            <v>su72302-bla-000258-2302-60</v>
          </cell>
          <cell r="B1941" t="str">
            <v>BlackOut</v>
          </cell>
        </row>
        <row r="1942">
          <cell r="A1942" t="str">
            <v>clstdai-acu-omax-p90-sp0450</v>
          </cell>
          <cell r="B1942" t="str">
            <v>Acuvue</v>
          </cell>
        </row>
        <row r="1943">
          <cell r="A1943" t="str">
            <v>sacchan-30s-chain143-blk-juno-black</v>
          </cell>
          <cell r="B1943" t="str">
            <v>30Sunday</v>
          </cell>
        </row>
        <row r="1944">
          <cell r="A1944" t="str">
            <v>costdai-acu-dffr-p30-hazel-sn0050</v>
          </cell>
          <cell r="B1944" t="str">
            <v>Acuvue</v>
          </cell>
        </row>
        <row r="1945">
          <cell r="A1945" t="str">
            <v>clstdai-acu-omax-p30-sp0700</v>
          </cell>
          <cell r="B1945" t="str">
            <v>Acuvue</v>
          </cell>
        </row>
        <row r="1946">
          <cell r="A1946" t="str">
            <v>clstbiw-acu-oasy-p06-sn0750</v>
          </cell>
          <cell r="B1946" t="str">
            <v>Acuvue</v>
          </cell>
        </row>
        <row r="1947">
          <cell r="A1947" t="str">
            <v>cost3mo-lay-2022-p02-cosmo-gray-sn0175</v>
          </cell>
          <cell r="B1947" t="str">
            <v>Layala</v>
          </cell>
        </row>
        <row r="1948">
          <cell r="A1948" t="str">
            <v>cost3mo-lay-2020-p02-hazel-brown-sn0600</v>
          </cell>
          <cell r="B1948" t="str">
            <v>Layala</v>
          </cell>
        </row>
        <row r="1949">
          <cell r="A1949" t="str">
            <v>clstdai-acu-oasy-p90-sn0500</v>
          </cell>
          <cell r="B1949" t="str">
            <v>Acuvue</v>
          </cell>
        </row>
        <row r="1950">
          <cell r="A1950" t="str">
            <v>cost3mo-lay-2021-p02-sunkiss-brown-sn0300</v>
          </cell>
          <cell r="B1950" t="str">
            <v>Layala</v>
          </cell>
        </row>
        <row r="1951">
          <cell r="A1951" t="str">
            <v>clstdai-lay-cont-p60-dazzle-black-sn0175</v>
          </cell>
          <cell r="B1951" t="str">
            <v>Layala</v>
          </cell>
        </row>
        <row r="1952">
          <cell r="A1952" t="str">
            <v>cost3mo-lay-lens-p02-forest-green-sn0550</v>
          </cell>
          <cell r="B1952" t="str">
            <v>Layala</v>
          </cell>
        </row>
        <row r="1953">
          <cell r="A1953" t="str">
            <v>fw32318-spc-000750-2318-53</v>
          </cell>
          <cell r="B1953" t="str">
            <v>Spectus</v>
          </cell>
        </row>
        <row r="1954">
          <cell r="A1954" t="str">
            <v>clstdai-btr-oned-p30-sn0850</v>
          </cell>
          <cell r="B1954" t="str">
            <v>Biotrue</v>
          </cell>
        </row>
        <row r="1955">
          <cell r="A1955" t="str">
            <v>cost3mo-lay-lens-p02-cloudy-gray-sn0250</v>
          </cell>
          <cell r="B1955" t="str">
            <v>Layala</v>
          </cell>
        </row>
        <row r="1956">
          <cell r="A1956" t="str">
            <v>sc50202-bab-000503-0202-46</v>
          </cell>
          <cell r="B1956" t="str">
            <v>Babamio</v>
          </cell>
        </row>
        <row r="1957">
          <cell r="A1957" t="str">
            <v>fw30418-spc-000817-0418-54</v>
          </cell>
          <cell r="B1957" t="str">
            <v>Spectus</v>
          </cell>
        </row>
        <row r="1958">
          <cell r="A1958" t="str">
            <v>fm20718-spc-000635-0718-50</v>
          </cell>
          <cell r="B1958" t="str">
            <v>Spectus</v>
          </cell>
        </row>
        <row r="1959">
          <cell r="A1959" t="str">
            <v>clstbiw-acu-cle-p06-sn0400</v>
          </cell>
          <cell r="B1959" t="str">
            <v>Acuvue</v>
          </cell>
        </row>
        <row r="1960">
          <cell r="A1960" t="str">
            <v>fw20918-spc-000618-0918-49</v>
          </cell>
          <cell r="B1960" t="str">
            <v>Spectus</v>
          </cell>
        </row>
        <row r="1961">
          <cell r="A1961" t="str">
            <v>clstdai-acu-oasy-p60-sn0550</v>
          </cell>
          <cell r="B1961" t="str">
            <v>Acuvue</v>
          </cell>
        </row>
        <row r="1962">
          <cell r="A1962" t="str">
            <v>clstdai-btr-oned-p30-sp0250</v>
          </cell>
          <cell r="B1962" t="str">
            <v>Biotrue</v>
          </cell>
        </row>
        <row r="1963">
          <cell r="A1963" t="str">
            <v>clstdai-dai-aqua-p30-sp0475</v>
          </cell>
          <cell r="B1963" t="str">
            <v>Dailies</v>
          </cell>
        </row>
        <row r="1964">
          <cell r="A1964" t="str">
            <v>sm71202-30s-000209-1202-60</v>
          </cell>
          <cell r="B1964" t="str">
            <v>30Sunday</v>
          </cell>
        </row>
        <row r="1965">
          <cell r="A1965" t="str">
            <v>clstdai-acu-mois-p90-sn0850</v>
          </cell>
          <cell r="B1965" t="str">
            <v>Acuvue</v>
          </cell>
        </row>
        <row r="1966">
          <cell r="A1966" t="str">
            <v>clstdai-dai-tot1-p30-sp0350</v>
          </cell>
          <cell r="B1966" t="str">
            <v>Dailies</v>
          </cell>
        </row>
        <row r="1967">
          <cell r="A1967" t="str">
            <v>clstdai-acu-mois-p120-sn0700</v>
          </cell>
          <cell r="B1967" t="str">
            <v>Acuvue</v>
          </cell>
        </row>
        <row r="1968">
          <cell r="A1968" t="str">
            <v>clstdai-acu-mois-p90-sn0375</v>
          </cell>
          <cell r="B1968" t="str">
            <v>Acuvue</v>
          </cell>
        </row>
        <row r="1969">
          <cell r="A1969" t="str">
            <v>clstdai-dai-aqua-p90-sn1500</v>
          </cell>
          <cell r="B1969" t="str">
            <v>Dailies</v>
          </cell>
        </row>
        <row r="1970">
          <cell r="A1970" t="str">
            <v>clstdai-acu-dfrb-p90-sn0500</v>
          </cell>
          <cell r="B1970" t="str">
            <v>Acuvue</v>
          </cell>
        </row>
        <row r="1971">
          <cell r="A1971" t="str">
            <v>cost3mo-lay-2023-p02-sable-brown-sn0500</v>
          </cell>
          <cell r="B1971" t="str">
            <v>Layala</v>
          </cell>
        </row>
        <row r="1972">
          <cell r="A1972" t="str">
            <v>sw102306-bla-000266-2306-55</v>
          </cell>
          <cell r="B1972" t="str">
            <v>BlackOut</v>
          </cell>
        </row>
        <row r="1973">
          <cell r="A1973" t="str">
            <v>clstdai-sof-sdai-p30-sn0250</v>
          </cell>
          <cell r="B1973" t="str">
            <v>Soflens</v>
          </cell>
        </row>
        <row r="1974">
          <cell r="A1974" t="str">
            <v>clstdai-acu-omax-p30-sp0325</v>
          </cell>
          <cell r="B1974" t="str">
            <v>Acuvue</v>
          </cell>
        </row>
        <row r="1975">
          <cell r="A1975" t="str">
            <v>clstdai-acu-oasy-p60-sn0475</v>
          </cell>
          <cell r="B1975" t="str">
            <v>Acuvue</v>
          </cell>
        </row>
        <row r="1976">
          <cell r="A1976" t="str">
            <v>clstdai-acu-omax-p90-sn0100</v>
          </cell>
          <cell r="B1976" t="str">
            <v>Acuvue</v>
          </cell>
        </row>
        <row r="1977">
          <cell r="A1977" t="str">
            <v>clstdai-sof-sdai-p30-sn0125</v>
          </cell>
          <cell r="B1977" t="str">
            <v>Soflens</v>
          </cell>
        </row>
        <row r="1978">
          <cell r="A1978" t="str">
            <v>clstdai-eve-elit-p90-sp0475</v>
          </cell>
          <cell r="B1978" t="str">
            <v>Everva</v>
          </cell>
        </row>
        <row r="1979">
          <cell r="A1979" t="str">
            <v>sw20107-30s-000269-0107-51</v>
          </cell>
          <cell r="B1979" t="str">
            <v>30Sunday</v>
          </cell>
        </row>
        <row r="1980">
          <cell r="A1980" t="str">
            <v>cltodai-acu-mois-p30-sn0700-cn0075-a110</v>
          </cell>
          <cell r="B1980" t="str">
            <v>Acuvue</v>
          </cell>
        </row>
        <row r="1981">
          <cell r="A1981" t="str">
            <v>clstmon-ava-avai-p06-sn0200</v>
          </cell>
          <cell r="B1981" t="str">
            <v>Avaira</v>
          </cell>
        </row>
        <row r="1982">
          <cell r="A1982" t="str">
            <v>cost3mo-lay-lens-p02-crystal-brown-sn0900</v>
          </cell>
          <cell r="B1982" t="str">
            <v>Layala</v>
          </cell>
        </row>
        <row r="1983">
          <cell r="A1983" t="str">
            <v>sw42404-30s-000300-2404-50</v>
          </cell>
          <cell r="B1983" t="str">
            <v>30Sunday</v>
          </cell>
        </row>
        <row r="1984">
          <cell r="A1984" t="str">
            <v>sm100707-30s-000303-0707-52</v>
          </cell>
          <cell r="B1984" t="str">
            <v>30Sunday</v>
          </cell>
        </row>
        <row r="1985">
          <cell r="A1985" t="str">
            <v>sm50404-30s-000221-0102-52</v>
          </cell>
          <cell r="B1985" t="str">
            <v>30Sunday</v>
          </cell>
        </row>
        <row r="1986">
          <cell r="A1986" t="str">
            <v>sm40107-30s-000214-0107-51</v>
          </cell>
          <cell r="B1986" t="str">
            <v>30Sunday</v>
          </cell>
        </row>
        <row r="1987">
          <cell r="A1987" t="str">
            <v>sw50606-30s-000231-0304-63</v>
          </cell>
          <cell r="B1987" t="str">
            <v>30Sunday</v>
          </cell>
        </row>
        <row r="1988">
          <cell r="A1988" t="str">
            <v>su40707-30s-00416-0707p-54</v>
          </cell>
          <cell r="B1988" t="str">
            <v>30Sunday</v>
          </cell>
        </row>
        <row r="1989">
          <cell r="A1989" t="str">
            <v>clstdai-acu-dfna-p60-sn0300</v>
          </cell>
          <cell r="B1989" t="str">
            <v>Acuvue</v>
          </cell>
        </row>
        <row r="1990">
          <cell r="A1990" t="str">
            <v>clstdai-lay-cont-p30-dazzle-brown-sn0325</v>
          </cell>
          <cell r="B1990" t="str">
            <v>Layala</v>
          </cell>
        </row>
        <row r="1991">
          <cell r="A1991" t="str">
            <v>costmon-ama-2020-p02-pure-hazel-sn0350</v>
          </cell>
          <cell r="B1991" t="str">
            <v>Amara</v>
          </cell>
        </row>
        <row r="1992">
          <cell r="A1992" t="str">
            <v>costmon-ama-2020-p02-pure-hazel-sn0300</v>
          </cell>
          <cell r="B1992" t="str">
            <v>Amara</v>
          </cell>
        </row>
        <row r="1993">
          <cell r="A1993" t="str">
            <v>clstdai-lay-cont-p60-dazzle-black-sn0350</v>
          </cell>
          <cell r="B1993" t="str">
            <v>Layala</v>
          </cell>
        </row>
        <row r="1994">
          <cell r="A1994" t="str">
            <v>cost3mo-lay-2022-p02-sage-gray-sn0125</v>
          </cell>
          <cell r="B1994" t="str">
            <v>Layala</v>
          </cell>
        </row>
        <row r="1995">
          <cell r="A1995" t="str">
            <v>costmon-ama-2022-p02-tan-sn0275</v>
          </cell>
          <cell r="B1995" t="str">
            <v>Amara</v>
          </cell>
        </row>
        <row r="1996">
          <cell r="A1996" t="str">
            <v>clstdai-acu-oasy-p60-sn0125</v>
          </cell>
          <cell r="B1996" t="str">
            <v>Acuvue</v>
          </cell>
        </row>
        <row r="1997">
          <cell r="A1997" t="str">
            <v>clstdai-eve-pure-p30-sn0575</v>
          </cell>
          <cell r="B1997" t="str">
            <v>Everva</v>
          </cell>
        </row>
        <row r="1998">
          <cell r="A1998" t="str">
            <v>cost3mo-lay-lens-p02-ocean-blue-sn0350</v>
          </cell>
          <cell r="B1998" t="str">
            <v>Layala</v>
          </cell>
        </row>
        <row r="1999">
          <cell r="A1999" t="str">
            <v>clstdai-acu-dfna-p30-sn0350</v>
          </cell>
          <cell r="B1999" t="str">
            <v>Acuvue</v>
          </cell>
        </row>
        <row r="2000">
          <cell r="A2000" t="str">
            <v>cost3mo-lay-2021-p02-willow-green-sn0400</v>
          </cell>
          <cell r="B2000" t="str">
            <v>Layala</v>
          </cell>
        </row>
        <row r="2001">
          <cell r="A2001" t="str">
            <v>sw10404-30s-000288-0304-49</v>
          </cell>
          <cell r="B2001" t="str">
            <v>30Sunday</v>
          </cell>
        </row>
        <row r="2002">
          <cell r="A2002" t="str">
            <v>clstdai-dai-tot1-p90-sn1100</v>
          </cell>
          <cell r="B2002" t="str">
            <v>Dailies</v>
          </cell>
        </row>
        <row r="2003">
          <cell r="A2003" t="str">
            <v>clstdai-acu-dfrb-p60-sn0250</v>
          </cell>
          <cell r="B2003" t="str">
            <v>Acuvue</v>
          </cell>
        </row>
        <row r="2004">
          <cell r="A2004" t="str">
            <v>sm20107-30s-000219-0107-50</v>
          </cell>
          <cell r="B2004" t="str">
            <v>30Sunday</v>
          </cell>
        </row>
        <row r="2005">
          <cell r="A2005" t="str">
            <v>costdai-acu-dffr-p10-hazel-sn0425</v>
          </cell>
          <cell r="B2005" t="str">
            <v>Acuvue</v>
          </cell>
        </row>
        <row r="2006">
          <cell r="A2006" t="str">
            <v>cost3mo-lay-2021-p02-skye-blue-sn0150</v>
          </cell>
          <cell r="B2006" t="str">
            <v>Layala</v>
          </cell>
        </row>
        <row r="2007">
          <cell r="A2007" t="str">
            <v>clstdai-acu-mois-p120-sn0425</v>
          </cell>
          <cell r="B2007" t="str">
            <v>Acuvue</v>
          </cell>
        </row>
        <row r="2008">
          <cell r="A2008" t="str">
            <v>clstdai-acu-oasy-p90-sp0250</v>
          </cell>
          <cell r="B2008" t="str">
            <v>Acuvue</v>
          </cell>
        </row>
        <row r="2009">
          <cell r="A2009" t="str">
            <v>costmon-ama-2022-p02-dream-sn0475</v>
          </cell>
          <cell r="B2009" t="str">
            <v>Amara</v>
          </cell>
        </row>
        <row r="2010">
          <cell r="A2010" t="str">
            <v>costdai-ama-dail-p10-amber-sn0575</v>
          </cell>
          <cell r="B2010" t="str">
            <v>Amara</v>
          </cell>
        </row>
        <row r="2011">
          <cell r="A2011" t="str">
            <v>sc51306-bab-000503-1306-46</v>
          </cell>
          <cell r="B2011" t="str">
            <v>Babamio</v>
          </cell>
        </row>
        <row r="2012">
          <cell r="A2012" t="str">
            <v>cost3mo-lay-2025-p02-desert-topaz-sn0125</v>
          </cell>
          <cell r="B2012" t="str">
            <v>Layala</v>
          </cell>
        </row>
        <row r="2013">
          <cell r="A2013" t="str">
            <v>costdai-acu-dffr-p10-blue-sn0200</v>
          </cell>
          <cell r="B2013" t="str">
            <v>Acuvue</v>
          </cell>
        </row>
        <row r="2014">
          <cell r="A2014" t="str">
            <v>costmon-ama-2022-p02-tiger-eyes-sn0275</v>
          </cell>
          <cell r="B2014" t="str">
            <v>Amara</v>
          </cell>
        </row>
        <row r="2015">
          <cell r="A2015" t="str">
            <v>clstdai-dai-aqua-p90-sn0250</v>
          </cell>
          <cell r="B2015" t="str">
            <v>Dailies</v>
          </cell>
        </row>
        <row r="2016">
          <cell r="A2016" t="str">
            <v>clstdai-acu-mois-p120-sn0525</v>
          </cell>
          <cell r="B2016" t="str">
            <v>Acuvue</v>
          </cell>
        </row>
        <row r="2017">
          <cell r="A2017" t="str">
            <v>clstdai-acu-mois-p90-sn0525</v>
          </cell>
          <cell r="B2017" t="str">
            <v>Acuvue</v>
          </cell>
        </row>
        <row r="2018">
          <cell r="A2018" t="str">
            <v>clstdai-dai-aqua-p90-sp0275</v>
          </cell>
          <cell r="B2018" t="str">
            <v>Dailies</v>
          </cell>
        </row>
        <row r="2019">
          <cell r="A2019" t="str">
            <v>costdai-acu-dffr-p30-honey-sn0550</v>
          </cell>
          <cell r="B2019" t="str">
            <v>Acuvue</v>
          </cell>
        </row>
        <row r="2020">
          <cell r="A2020" t="str">
            <v>clstdai-acu-mois-p60-sn0325</v>
          </cell>
          <cell r="B2020" t="str">
            <v>Acuvue</v>
          </cell>
        </row>
        <row r="2021">
          <cell r="A2021" t="str">
            <v>costmon-ama-2022-p02-reemy-sn0100</v>
          </cell>
          <cell r="B2021" t="str">
            <v>Amara</v>
          </cell>
        </row>
        <row r="2022">
          <cell r="A2022" t="str">
            <v>sw52302-30s-000225-2302-61</v>
          </cell>
          <cell r="B2022" t="str">
            <v>30Sunday</v>
          </cell>
        </row>
        <row r="2023">
          <cell r="A2023" t="str">
            <v>costmon-ama-2022-p02-tiger-eyes-sn0225</v>
          </cell>
          <cell r="B2023" t="str">
            <v>Amara</v>
          </cell>
        </row>
        <row r="2024">
          <cell r="A2024" t="str">
            <v>sm50207-30s-000221-0207-52</v>
          </cell>
          <cell r="B2024" t="str">
            <v>30Sunday</v>
          </cell>
        </row>
        <row r="2025">
          <cell r="A2025" t="str">
            <v>clstdai-acu-dfvi-p30-sn0150</v>
          </cell>
          <cell r="B2025" t="str">
            <v>Acuvue</v>
          </cell>
        </row>
        <row r="2026">
          <cell r="A2026" t="str">
            <v>clstdai-dai-tot1-p90-sp0475</v>
          </cell>
          <cell r="B2026" t="str">
            <v>Dailies</v>
          </cell>
        </row>
        <row r="2027">
          <cell r="A2027" t="str">
            <v>su60107-30s-000215-0107-48</v>
          </cell>
          <cell r="B2027" t="str">
            <v>30Sunday</v>
          </cell>
        </row>
        <row r="2028">
          <cell r="A2028" t="str">
            <v>clstdai-eve-elit-p90-sn1100</v>
          </cell>
          <cell r="B2028" t="str">
            <v>Everva</v>
          </cell>
        </row>
        <row r="2029">
          <cell r="A2029" t="str">
            <v>sacchan-30s-emmy-rose-gold</v>
          </cell>
          <cell r="B2029" t="str">
            <v>30Sunday</v>
          </cell>
        </row>
        <row r="2030">
          <cell r="A2030" t="str">
            <v>fm20418-spc-000656-0418-48</v>
          </cell>
          <cell r="B2030" t="str">
            <v>Spectus</v>
          </cell>
        </row>
        <row r="2031">
          <cell r="A2031" t="str">
            <v>clstdai-lay-cont-p30-dazzle-black-sn0750</v>
          </cell>
          <cell r="B2031" t="str">
            <v>Layala</v>
          </cell>
        </row>
        <row r="2032">
          <cell r="A2032" t="str">
            <v>costdai-ama-dail-p10-moon-stone-sn0325</v>
          </cell>
          <cell r="B2032" t="str">
            <v>Amara</v>
          </cell>
        </row>
        <row r="2033">
          <cell r="A2033" t="str">
            <v>clstdai-eve-pure-p30-sn0375</v>
          </cell>
          <cell r="B2033" t="str">
            <v>Everva</v>
          </cell>
        </row>
        <row r="2034">
          <cell r="A2034" t="str">
            <v>sw20107-30s-000226-0101-54</v>
          </cell>
          <cell r="B2034" t="str">
            <v>30Sunday</v>
          </cell>
        </row>
        <row r="2035">
          <cell r="A2035" t="str">
            <v>cost3mo-lay-2020-p02-ash-gray-sn0050</v>
          </cell>
          <cell r="B2035" t="str">
            <v>Layala</v>
          </cell>
        </row>
        <row r="2036">
          <cell r="A2036" t="str">
            <v>cost3mo-lay-lens-p02-cloudy-gray-sn0075</v>
          </cell>
          <cell r="B2036" t="str">
            <v>Layala</v>
          </cell>
        </row>
        <row r="2037">
          <cell r="A2037" t="str">
            <v>costmon-ama-lens-p02-mocca-sn0700</v>
          </cell>
          <cell r="B2037" t="str">
            <v>Amara</v>
          </cell>
        </row>
        <row r="2038">
          <cell r="A2038" t="str">
            <v>sc50907-bab-000504-0907-51</v>
          </cell>
          <cell r="B2038" t="str">
            <v>Babamio</v>
          </cell>
        </row>
        <row r="2039">
          <cell r="A2039" t="str">
            <v>sw40202-30s-000274-0202-54</v>
          </cell>
          <cell r="B2039" t="str">
            <v>30Sunday</v>
          </cell>
        </row>
        <row r="2040">
          <cell r="A2040" t="str">
            <v>sw30504-bla-000215-2704-61</v>
          </cell>
          <cell r="B2040" t="str">
            <v>BlackOut</v>
          </cell>
        </row>
        <row r="2041">
          <cell r="A2041" t="str">
            <v>cost3mo-lay-2025-p02-desert-topaz-sn0325</v>
          </cell>
          <cell r="B2041" t="str">
            <v>Layala</v>
          </cell>
        </row>
        <row r="2042">
          <cell r="A2042" t="str">
            <v>sw52307-30s-000120-2307-59</v>
          </cell>
          <cell r="B2042" t="str">
            <v>30Sunday</v>
          </cell>
        </row>
        <row r="2043">
          <cell r="A2043" t="str">
            <v>sw60107-bla-000310-0107-55</v>
          </cell>
          <cell r="B2043" t="str">
            <v>BlackOut</v>
          </cell>
        </row>
        <row r="2044">
          <cell r="A2044" t="str">
            <v>clstdai-eve-elit-p90-sp0300</v>
          </cell>
          <cell r="B2044" t="str">
            <v>Everva</v>
          </cell>
        </row>
        <row r="2045">
          <cell r="A2045" t="str">
            <v>sunglasses-30Sundays-30s-000447-0404</v>
          </cell>
          <cell r="B2045" t="str">
            <v>30Sunday</v>
          </cell>
        </row>
        <row r="2046">
          <cell r="A2046" t="str">
            <v>clstdai-dai-aqua-p30-sp0575</v>
          </cell>
          <cell r="B2046" t="str">
            <v>Dailies</v>
          </cell>
        </row>
        <row r="2047">
          <cell r="A2047" t="str">
            <v>sw30107-bla-000349-0107-52</v>
          </cell>
          <cell r="B2047" t="str">
            <v>BlackOut</v>
          </cell>
        </row>
        <row r="2048">
          <cell r="A2048" t="str">
            <v>clstdai-eve-elit-p30-sp0700</v>
          </cell>
          <cell r="B2048" t="str">
            <v>Everva</v>
          </cell>
        </row>
        <row r="2049">
          <cell r="A2049" t="str">
            <v>sm101804-bla-000336-1804-54</v>
          </cell>
          <cell r="B2049" t="str">
            <v>BlackOut</v>
          </cell>
        </row>
        <row r="2050">
          <cell r="A2050" t="str">
            <v>su62904-bla-000319-2904-54</v>
          </cell>
          <cell r="B2050" t="str">
            <v>BlackOut</v>
          </cell>
        </row>
        <row r="2051">
          <cell r="A2051" t="str">
            <v>sm101704-30s-000503-1704-54</v>
          </cell>
          <cell r="B2051" t="str">
            <v>30Sunday</v>
          </cell>
        </row>
        <row r="2052">
          <cell r="A2052" t="str">
            <v>fc50918-bab-000503-0918-46</v>
          </cell>
          <cell r="B2052" t="str">
            <v>Babamio</v>
          </cell>
        </row>
        <row r="2053">
          <cell r="A2053" t="str">
            <v>sm50207-30s-000205-0207-55</v>
          </cell>
          <cell r="B2053" t="str">
            <v>30Sunday</v>
          </cell>
        </row>
        <row r="2054">
          <cell r="A2054" t="str">
            <v>cost3mo-lay-2022-p02-avena-brown-sn0075</v>
          </cell>
          <cell r="B2054" t="str">
            <v>Layala</v>
          </cell>
        </row>
        <row r="2055">
          <cell r="A2055" t="str">
            <v>sm50606-30s-00438-0606p-52</v>
          </cell>
          <cell r="B2055" t="str">
            <v>30Sunday</v>
          </cell>
        </row>
        <row r="2056">
          <cell r="A2056" t="str">
            <v>sw100101-30s-000261-0101-62</v>
          </cell>
          <cell r="B2056" t="str">
            <v>30Sunday</v>
          </cell>
        </row>
        <row r="2057">
          <cell r="A2057" t="str">
            <v>sw32604-30s-000302-2604-53</v>
          </cell>
          <cell r="B2057" t="str">
            <v>30Sunday</v>
          </cell>
        </row>
        <row r="2058">
          <cell r="A2058" t="str">
            <v>clstdai-dai-tot1-p90-sn0075</v>
          </cell>
          <cell r="B2058" t="str">
            <v>Dailies</v>
          </cell>
        </row>
        <row r="2059">
          <cell r="A2059" t="str">
            <v>sw30104-30s-000455-0104-54</v>
          </cell>
          <cell r="B2059" t="str">
            <v>30Sunday</v>
          </cell>
        </row>
        <row r="2060">
          <cell r="A2060" t="str">
            <v>sw40606-bla-000271-0606-49</v>
          </cell>
          <cell r="B2060" t="str">
            <v>BlackOut</v>
          </cell>
        </row>
        <row r="2061">
          <cell r="A2061" t="str">
            <v>costdai-ama-dail-p10-honey-sn0150</v>
          </cell>
          <cell r="B2061" t="str">
            <v>Amara</v>
          </cell>
        </row>
        <row r="2062">
          <cell r="A2062" t="str">
            <v>saccase-30s-case104-pnk-bge-blush-pink</v>
          </cell>
          <cell r="B2062" t="str">
            <v>30Sunday</v>
          </cell>
        </row>
        <row r="2063">
          <cell r="A2063" t="str">
            <v>costmon-ama-2024-p02-nmr-sn0150</v>
          </cell>
          <cell r="B2063" t="str">
            <v>Amara</v>
          </cell>
        </row>
        <row r="2064">
          <cell r="A2064" t="str">
            <v>sm100107-30s-000266-0107-59</v>
          </cell>
          <cell r="B2064" t="str">
            <v>30Sunday</v>
          </cell>
        </row>
        <row r="2065">
          <cell r="A2065" t="str">
            <v>sw30107-bla-000344-0107-56</v>
          </cell>
          <cell r="B2065" t="str">
            <v>BlackOut</v>
          </cell>
        </row>
        <row r="2066">
          <cell r="A2066" t="str">
            <v>sw50107-30s-000225-0101-59</v>
          </cell>
          <cell r="B2066" t="str">
            <v>30Sunday</v>
          </cell>
        </row>
        <row r="2067">
          <cell r="A2067" t="str">
            <v>sw30101-30s-000263-0101-56</v>
          </cell>
          <cell r="B2067" t="str">
            <v>30Sunday</v>
          </cell>
        </row>
        <row r="2068">
          <cell r="A2068" t="str">
            <v>sw30404-30s-000239-0909-54</v>
          </cell>
          <cell r="B2068" t="str">
            <v>30Sunday</v>
          </cell>
        </row>
        <row r="2069">
          <cell r="A2069" t="str">
            <v>fw32418-spc-000615-2418-55</v>
          </cell>
          <cell r="B2069" t="str">
            <v>Spectus</v>
          </cell>
        </row>
        <row r="2070">
          <cell r="A2070" t="str">
            <v>costmon-ama-2020-p02-charcoal-gray-sn0200</v>
          </cell>
          <cell r="B2070" t="str">
            <v>Amara</v>
          </cell>
        </row>
        <row r="2071">
          <cell r="A2071" t="str">
            <v>sm50107-30s-000223-0107-54</v>
          </cell>
          <cell r="B2071" t="str">
            <v>30Sunday</v>
          </cell>
        </row>
        <row r="2072">
          <cell r="A2072" t="str">
            <v>sw102004-30s-000424-2004-55</v>
          </cell>
          <cell r="B2072" t="str">
            <v>30Sunday</v>
          </cell>
        </row>
        <row r="2073">
          <cell r="A2073" t="str">
            <v>costdai-acu-dffr-p30-hazel-sn0175</v>
          </cell>
          <cell r="B2073" t="str">
            <v>Acuvue</v>
          </cell>
        </row>
        <row r="2074">
          <cell r="A2074" t="str">
            <v>clstdai-eve-pure-p30-sp0225</v>
          </cell>
          <cell r="B2074" t="str">
            <v>Everva</v>
          </cell>
        </row>
        <row r="2075">
          <cell r="A2075" t="str">
            <v>clstdai-lay-cont-p90-dazzle-brown-sn0850</v>
          </cell>
          <cell r="B2075" t="str">
            <v>Layala</v>
          </cell>
        </row>
        <row r="2076">
          <cell r="A2076" t="str">
            <v>clstdai-eve-pure-p30-sn0275</v>
          </cell>
          <cell r="B2076" t="str">
            <v>Everva</v>
          </cell>
        </row>
        <row r="2077">
          <cell r="A2077" t="str">
            <v>clstdai-lay-cont-p90-dazzle-brown-sn0425</v>
          </cell>
          <cell r="B2077" t="str">
            <v>Layala</v>
          </cell>
        </row>
        <row r="2078">
          <cell r="A2078" t="str">
            <v>clstdai-acu-oasy-p30-sn0350</v>
          </cell>
          <cell r="B2078" t="str">
            <v>Acuvue</v>
          </cell>
        </row>
        <row r="2079">
          <cell r="A2079" t="str">
            <v>clstbiw-acu-0002-p06-sn1050</v>
          </cell>
          <cell r="B2079" t="str">
            <v>Acuvue</v>
          </cell>
        </row>
        <row r="2080">
          <cell r="A2080" t="str">
            <v>cost3mo-lay-2022-p02-sage-gray-sn0200</v>
          </cell>
          <cell r="B2080" t="str">
            <v>Layala</v>
          </cell>
        </row>
        <row r="2081">
          <cell r="A2081" t="str">
            <v>clstdai-acu-mois-p120-sn0350</v>
          </cell>
          <cell r="B2081" t="str">
            <v>Acuvue</v>
          </cell>
        </row>
        <row r="2082">
          <cell r="A2082" t="str">
            <v>clstdai-acu-omax-p90-sp0075</v>
          </cell>
          <cell r="B2082" t="str">
            <v>Acuvue</v>
          </cell>
        </row>
        <row r="2083">
          <cell r="A2083" t="str">
            <v>clstdai-acu-oasy-p90-sp0475</v>
          </cell>
          <cell r="B2083" t="str">
            <v>Acuvue</v>
          </cell>
        </row>
        <row r="2084">
          <cell r="A2084" t="str">
            <v>cost3mo-lay-2021-p02-sunkiss-brown-sn0350</v>
          </cell>
          <cell r="B2084" t="str">
            <v>Layala</v>
          </cell>
        </row>
        <row r="2085">
          <cell r="A2085" t="str">
            <v>sw50904-30s-000275-0804-48</v>
          </cell>
          <cell r="B2085" t="str">
            <v>30Sunday</v>
          </cell>
        </row>
        <row r="2086">
          <cell r="A2086" t="str">
            <v>sw31310-bla-000223-1307-57</v>
          </cell>
          <cell r="B2086" t="str">
            <v>BlackOut</v>
          </cell>
        </row>
        <row r="2087">
          <cell r="A2087" t="str">
            <v>fu70218-spc-000832-0218-50</v>
          </cell>
          <cell r="B2087" t="str">
            <v>Spectus</v>
          </cell>
        </row>
        <row r="2088">
          <cell r="A2088" t="str">
            <v>clstdai-eve-elit-p90-sn0075</v>
          </cell>
          <cell r="B2088" t="str">
            <v>Everva</v>
          </cell>
        </row>
        <row r="2089">
          <cell r="A2089" t="str">
            <v>clstdai-acu-mois-p90-sp0350</v>
          </cell>
          <cell r="B2089" t="str">
            <v>Acuvue</v>
          </cell>
        </row>
        <row r="2090">
          <cell r="A2090" t="str">
            <v>clstdai-btr-oned-p30-sn0625</v>
          </cell>
          <cell r="B2090" t="str">
            <v>Biotrue</v>
          </cell>
        </row>
        <row r="2091">
          <cell r="A2091" t="str">
            <v>saccase-30s-case102-blk-blk-black</v>
          </cell>
          <cell r="B2091" t="str">
            <v>30Sunday</v>
          </cell>
        </row>
        <row r="2092">
          <cell r="A2092" t="str">
            <v>costmon-ama-2022-p02-tan-sn0100</v>
          </cell>
          <cell r="B2092" t="str">
            <v>Amara</v>
          </cell>
        </row>
        <row r="2093">
          <cell r="A2093" t="str">
            <v>clstdai-bme-1day-p30-sn0475</v>
          </cell>
          <cell r="B2093" t="str">
            <v>Biomedics</v>
          </cell>
        </row>
        <row r="2094">
          <cell r="A2094" t="str">
            <v>clstdai-sof-sdai-p90-sn0225</v>
          </cell>
          <cell r="B2094" t="str">
            <v>Soflens</v>
          </cell>
        </row>
        <row r="2095">
          <cell r="A2095" t="str">
            <v>clstdai-acu-mois-p30-sn0300</v>
          </cell>
          <cell r="B2095" t="str">
            <v>Acuvue</v>
          </cell>
        </row>
        <row r="2096">
          <cell r="A2096" t="str">
            <v>cost3mo-lay-2022-p02-sage-gray-sn0175</v>
          </cell>
          <cell r="B2096" t="str">
            <v>Layala</v>
          </cell>
        </row>
        <row r="2097">
          <cell r="A2097" t="str">
            <v>sm50404-30s-000298-0404-53</v>
          </cell>
          <cell r="B2097" t="str">
            <v>30Sunday</v>
          </cell>
        </row>
        <row r="2098">
          <cell r="A2098" t="str">
            <v>clstdai-acu-dfvi-p60-sn0475</v>
          </cell>
          <cell r="B2098" t="str">
            <v>Acuvue</v>
          </cell>
        </row>
        <row r="2099">
          <cell r="A2099" t="str">
            <v>sw52909-30s-000225-2909-59</v>
          </cell>
          <cell r="B2099" t="str">
            <v>30Sunday</v>
          </cell>
        </row>
        <row r="2100">
          <cell r="A2100" t="str">
            <v>clstdai-acu-oasy-p60-sn0425</v>
          </cell>
          <cell r="B2100" t="str">
            <v>Acuvue</v>
          </cell>
        </row>
        <row r="2101">
          <cell r="A2101" t="str">
            <v>clstdai-dai-aqua-p30-sp0150</v>
          </cell>
          <cell r="B2101" t="str">
            <v>Dailies</v>
          </cell>
        </row>
        <row r="2102">
          <cell r="A2102" t="str">
            <v>costmon-ama-2022-p02-tan-sn0250</v>
          </cell>
          <cell r="B2102" t="str">
            <v>Amara</v>
          </cell>
        </row>
        <row r="2103">
          <cell r="A2103" t="str">
            <v>sunglasses-30Sundays-30s-000447-0507</v>
          </cell>
          <cell r="B2103" t="str">
            <v>30Sunday</v>
          </cell>
        </row>
        <row r="2104">
          <cell r="A2104" t="str">
            <v>clstdai-acu-dfvi-p90-sn0325</v>
          </cell>
          <cell r="B2104" t="str">
            <v>Acuvue</v>
          </cell>
        </row>
        <row r="2105">
          <cell r="A2105" t="str">
            <v>cltodai-acu-mois-p30-sn0150-cn0075-a010</v>
          </cell>
          <cell r="B2105" t="str">
            <v>Acuvue</v>
          </cell>
        </row>
        <row r="2106">
          <cell r="A2106" t="str">
            <v>clstdai-acu-omax-p30-sn0400</v>
          </cell>
          <cell r="B2106" t="str">
            <v>Acuvue</v>
          </cell>
        </row>
        <row r="2107">
          <cell r="A2107" t="str">
            <v>costdai-ama-dail-p10-moon-stone-sn0575</v>
          </cell>
          <cell r="B2107" t="str">
            <v>Amara</v>
          </cell>
        </row>
        <row r="2108">
          <cell r="A2108" t="str">
            <v>cost3mo-lay-2025-p02-desert-topaz-sn0250</v>
          </cell>
          <cell r="B2108" t="str">
            <v>Layala</v>
          </cell>
        </row>
        <row r="2109">
          <cell r="A2109" t="str">
            <v>clstdai-dai-tot1-p90-sn0900</v>
          </cell>
          <cell r="B2109" t="str">
            <v>Dailies</v>
          </cell>
        </row>
        <row r="2110">
          <cell r="A2110" t="str">
            <v>clstdai-acu-dfvi-p60-sn0600</v>
          </cell>
          <cell r="B2110" t="str">
            <v>Acuvue</v>
          </cell>
        </row>
        <row r="2111">
          <cell r="A2111" t="str">
            <v>costdai-ama-dail-p10-honey-sn0600</v>
          </cell>
          <cell r="B2111" t="str">
            <v>Amara</v>
          </cell>
        </row>
        <row r="2112">
          <cell r="A2112" t="str">
            <v>saccase-30s-case104-nvy-bge-navy-blue</v>
          </cell>
          <cell r="B2112" t="str">
            <v>30Sunday</v>
          </cell>
        </row>
        <row r="2113">
          <cell r="A2113" t="str">
            <v>clstdai-acu-oasy-p60-sn0950</v>
          </cell>
          <cell r="B2113" t="str">
            <v>Acuvue</v>
          </cell>
        </row>
        <row r="2114">
          <cell r="A2114" t="str">
            <v>clstdai-eve-elit-p30-sp0175</v>
          </cell>
          <cell r="B2114" t="str">
            <v>Everva</v>
          </cell>
        </row>
        <row r="2115">
          <cell r="A2115" t="str">
            <v>clstmon-eve-prom-p06-sp0250</v>
          </cell>
          <cell r="B2115" t="str">
            <v>Everva</v>
          </cell>
        </row>
        <row r="2116">
          <cell r="A2116" t="str">
            <v>sm52406-30s-000299-2406p-53</v>
          </cell>
          <cell r="B2116" t="str">
            <v>30Sunday</v>
          </cell>
        </row>
        <row r="2117">
          <cell r="A2117" t="str">
            <v>sw30202-bla-000256-0202-51</v>
          </cell>
          <cell r="B2117" t="str">
            <v>BlackOut</v>
          </cell>
        </row>
        <row r="2118">
          <cell r="A2118" t="str">
            <v>clstdai-eve-elit-p90-sn0750</v>
          </cell>
          <cell r="B2118" t="str">
            <v>Everva</v>
          </cell>
        </row>
        <row r="2119">
          <cell r="A2119" t="str">
            <v>su100307-bla-000358-0307-47</v>
          </cell>
          <cell r="B2119" t="str">
            <v>BlackOut</v>
          </cell>
        </row>
        <row r="2120">
          <cell r="A2120" t="str">
            <v>clstmon-eve-prom-p06-sn0575</v>
          </cell>
          <cell r="B2120" t="str">
            <v>Everva</v>
          </cell>
        </row>
        <row r="2121">
          <cell r="A2121" t="str">
            <v>bc52018-bab-000503-2018-46</v>
          </cell>
          <cell r="B2121" t="str">
            <v>Babamio</v>
          </cell>
        </row>
        <row r="2122">
          <cell r="A2122" t="str">
            <v>cost3mo-lay-lens-p02-crystal-brown-sn0300</v>
          </cell>
          <cell r="B2122" t="str">
            <v>Layala</v>
          </cell>
        </row>
        <row r="2123">
          <cell r="A2123" t="str">
            <v>fc51418-bab-000504-1418-51</v>
          </cell>
          <cell r="B2123" t="str">
            <v>Babamio</v>
          </cell>
        </row>
        <row r="2124">
          <cell r="A2124" t="str">
            <v>su100107-bla-000362-0107-51</v>
          </cell>
          <cell r="B2124" t="str">
            <v>BlackOut</v>
          </cell>
        </row>
        <row r="2125">
          <cell r="A2125" t="str">
            <v>clstdai-eve-elit-p30-sp0150</v>
          </cell>
          <cell r="B2125" t="str">
            <v>Everva</v>
          </cell>
        </row>
        <row r="2126">
          <cell r="A2126" t="str">
            <v>costdai-acu-dffr-p10-green-sn0300</v>
          </cell>
          <cell r="B2126" t="str">
            <v>Acuvue</v>
          </cell>
        </row>
        <row r="2127">
          <cell r="A2127" t="str">
            <v>sw10502-bla-000213-2402-61</v>
          </cell>
          <cell r="B2127" t="str">
            <v>BlackOut</v>
          </cell>
        </row>
        <row r="2128">
          <cell r="A2128" t="str">
            <v>costmon-ama-2022-p02-dream-sn0275</v>
          </cell>
          <cell r="B2128" t="str">
            <v>Amara</v>
          </cell>
        </row>
        <row r="2129">
          <cell r="A2129" t="str">
            <v>clstdai-dai-aqua-p90-sn0350</v>
          </cell>
          <cell r="B2129" t="str">
            <v>Dailies</v>
          </cell>
        </row>
        <row r="2130">
          <cell r="A2130" t="str">
            <v>cost3mo-lay-2023-p02-sable-brown-sn0225</v>
          </cell>
          <cell r="B2130" t="str">
            <v>Layala</v>
          </cell>
        </row>
        <row r="2131">
          <cell r="A2131" t="str">
            <v>su10107-30s-000230-0107-58</v>
          </cell>
          <cell r="B2131" t="str">
            <v>30Sunday</v>
          </cell>
        </row>
        <row r="2132">
          <cell r="A2132" t="str">
            <v>clstdai-lay-cont-p10-dazzle-black-sn0025</v>
          </cell>
          <cell r="B2132" t="str">
            <v>Layala</v>
          </cell>
        </row>
        <row r="2133">
          <cell r="A2133" t="str">
            <v>sunglasses-30Sundays-30s-000456-0304</v>
          </cell>
          <cell r="B2133" t="str">
            <v>30Sunday</v>
          </cell>
        </row>
        <row r="2134">
          <cell r="A2134" t="str">
            <v>sw31201-bla-000230-1201-54</v>
          </cell>
          <cell r="B2134" t="str">
            <v>BlackOut</v>
          </cell>
        </row>
        <row r="2135">
          <cell r="A2135" t="str">
            <v>sw72904-bla-000231-2904-58</v>
          </cell>
          <cell r="B2135" t="str">
            <v>BlackOut</v>
          </cell>
        </row>
        <row r="2136">
          <cell r="A2136" t="str">
            <v>clstdai-dai-tot1-p90-sn1200</v>
          </cell>
          <cell r="B2136" t="str">
            <v>Dailies</v>
          </cell>
        </row>
        <row r="2137">
          <cell r="A2137" t="str">
            <v>sm70506-30s-000250-2706-55</v>
          </cell>
          <cell r="B2137" t="str">
            <v>30Sunday</v>
          </cell>
        </row>
        <row r="2138">
          <cell r="A2138" t="str">
            <v>costdai-acu-dffr-p10-rose-sn0175</v>
          </cell>
          <cell r="B2138" t="str">
            <v>Acuvue</v>
          </cell>
        </row>
        <row r="2139">
          <cell r="A2139" t="str">
            <v>costmon-ama-2024-p02-nmr-sn0175</v>
          </cell>
          <cell r="B2139" t="str">
            <v>Amara</v>
          </cell>
        </row>
        <row r="2140">
          <cell r="A2140" t="str">
            <v>clstdai-dai-aqua-p90-sn1100</v>
          </cell>
          <cell r="B2140" t="str">
            <v>Dailies</v>
          </cell>
        </row>
        <row r="2141">
          <cell r="A2141" t="str">
            <v>sacchan-30s-chain113-blu-kona-pastel-blue</v>
          </cell>
          <cell r="B2141" t="str">
            <v>30Sunday</v>
          </cell>
        </row>
        <row r="2142">
          <cell r="A2142" t="str">
            <v>clstdai-dai-tot1-p30-sn0600</v>
          </cell>
          <cell r="B2142" t="str">
            <v>Dailies</v>
          </cell>
        </row>
        <row r="2143">
          <cell r="A2143" t="str">
            <v>sw30107-bla-000307-0107-55</v>
          </cell>
          <cell r="B2143" t="str">
            <v>BlackOut</v>
          </cell>
        </row>
        <row r="2144">
          <cell r="A2144" t="str">
            <v>su41202-30s-000287-1202-52</v>
          </cell>
          <cell r="B2144" t="str">
            <v>30Sunday</v>
          </cell>
        </row>
        <row r="2145">
          <cell r="A2145" t="str">
            <v>clstdai-acu-omax-p30-sn0075</v>
          </cell>
          <cell r="B2145" t="str">
            <v>Acuvue</v>
          </cell>
        </row>
        <row r="2146">
          <cell r="A2146" t="str">
            <v>sw30604-30s-000302-0604-53</v>
          </cell>
          <cell r="B2146" t="str">
            <v>30Sunday</v>
          </cell>
        </row>
        <row r="2147">
          <cell r="A2147" t="str">
            <v>sm51402-30s-000467-1402-48</v>
          </cell>
          <cell r="B2147" t="str">
            <v>30Sunday</v>
          </cell>
        </row>
        <row r="2148">
          <cell r="A2148" t="str">
            <v>sw21306-30s-000128-1306-55</v>
          </cell>
          <cell r="B2148" t="str">
            <v>30Sunday</v>
          </cell>
        </row>
        <row r="2149">
          <cell r="A2149" t="str">
            <v>sm100107-bla-000337-0107-57</v>
          </cell>
          <cell r="B2149" t="str">
            <v>BlackOut</v>
          </cell>
        </row>
        <row r="2150">
          <cell r="A2150" t="str">
            <v>clstbiw-acu-oasy-p06-sn0550</v>
          </cell>
          <cell r="B2150" t="str">
            <v>Acuvue</v>
          </cell>
        </row>
        <row r="2151">
          <cell r="A2151" t="str">
            <v>clstdai-acu-oasy-p60-sn0175</v>
          </cell>
          <cell r="B2151" t="str">
            <v>Acuvue</v>
          </cell>
        </row>
        <row r="2152">
          <cell r="A2152" t="str">
            <v>clstdai-lay-cont-p60-dazzle-brown-sn0700</v>
          </cell>
          <cell r="B2152" t="str">
            <v>Layala</v>
          </cell>
        </row>
        <row r="2153">
          <cell r="A2153" t="str">
            <v>cost3mo-lay-2023-p02-sable-brown-sn0375</v>
          </cell>
          <cell r="B2153" t="str">
            <v>Layala</v>
          </cell>
        </row>
        <row r="2154">
          <cell r="A2154" t="str">
            <v>cost3mo-lay-2021-p02-golden-gray-sn0500</v>
          </cell>
          <cell r="B2154" t="str">
            <v>Layala</v>
          </cell>
        </row>
        <row r="2155">
          <cell r="A2155" t="str">
            <v>clstbiw-acu-0002-p12-sn0550</v>
          </cell>
          <cell r="B2155" t="str">
            <v>Acuvue</v>
          </cell>
        </row>
        <row r="2156">
          <cell r="A2156" t="str">
            <v>clstbiw-acu-0002-p12-sn0300</v>
          </cell>
          <cell r="B2156" t="str">
            <v>Acuvue</v>
          </cell>
        </row>
        <row r="2157">
          <cell r="A2157" t="str">
            <v>costmon-ama-2022-p02-dream-sn0175</v>
          </cell>
          <cell r="B2157" t="str">
            <v>Amara</v>
          </cell>
        </row>
        <row r="2158">
          <cell r="A2158" t="str">
            <v>clstdai-acu-oasy-p120-sn0525</v>
          </cell>
          <cell r="B2158" t="str">
            <v>Acuvue</v>
          </cell>
        </row>
        <row r="2159">
          <cell r="A2159" t="str">
            <v>clstdai-dai-aqua-p30-sn0850</v>
          </cell>
          <cell r="B2159" t="str">
            <v>Dailies</v>
          </cell>
        </row>
        <row r="2160">
          <cell r="A2160" t="str">
            <v>clstdai-dai-tot1-p90-sp0400</v>
          </cell>
          <cell r="B2160" t="str">
            <v>Dailies</v>
          </cell>
        </row>
        <row r="2161">
          <cell r="A2161" t="str">
            <v>clstbiw-acu-oasy-p06-sn0900</v>
          </cell>
          <cell r="B2161" t="str">
            <v>Acuvue</v>
          </cell>
        </row>
        <row r="2162">
          <cell r="A2162" t="str">
            <v>cost3mo-lay-2025-p02-emerald-glow-sn0150</v>
          </cell>
          <cell r="B2162" t="str">
            <v>Layala</v>
          </cell>
        </row>
        <row r="2163">
          <cell r="A2163" t="str">
            <v>fu70918-spc-000511-0900-52</v>
          </cell>
          <cell r="B2163" t="str">
            <v>Spectus</v>
          </cell>
        </row>
        <row r="2164">
          <cell r="A2164" t="str">
            <v>sw81502-bla-000210-1502-54</v>
          </cell>
          <cell r="B2164" t="str">
            <v>BlackOut</v>
          </cell>
        </row>
        <row r="2165">
          <cell r="A2165" t="str">
            <v>sw82311-bla-000212-2311-61</v>
          </cell>
          <cell r="B2165" t="str">
            <v>BlackOut</v>
          </cell>
        </row>
        <row r="2166">
          <cell r="A2166" t="str">
            <v>clstdai-acu-omax-p90-sn0575</v>
          </cell>
          <cell r="B2166" t="str">
            <v>Acuvue</v>
          </cell>
        </row>
        <row r="2167">
          <cell r="A2167" t="str">
            <v>sw50404-bla-000301-0404-53</v>
          </cell>
          <cell r="B2167" t="str">
            <v>BlackOut</v>
          </cell>
        </row>
        <row r="2168">
          <cell r="A2168" t="str">
            <v>clstdai-acu-mois-p120-sn0800</v>
          </cell>
          <cell r="B2168" t="str">
            <v>Acuvue</v>
          </cell>
        </row>
        <row r="2169">
          <cell r="A2169" t="str">
            <v>sw100101-30s-000290-0101-54</v>
          </cell>
          <cell r="B2169" t="str">
            <v>30Sunday</v>
          </cell>
        </row>
        <row r="2170">
          <cell r="A2170" t="str">
            <v>cost3mo-lay-2023-p02-selene-green-sn0200</v>
          </cell>
          <cell r="B2170" t="str">
            <v>Layala</v>
          </cell>
        </row>
        <row r="2171">
          <cell r="A2171" t="str">
            <v>clstdai-acu-mois-p120-sn0575</v>
          </cell>
          <cell r="B2171" t="str">
            <v>Acuvue</v>
          </cell>
        </row>
        <row r="2172">
          <cell r="A2172" t="str">
            <v>sm51306-30s-000223-1306-54</v>
          </cell>
          <cell r="B2172" t="str">
            <v>30Sunday</v>
          </cell>
        </row>
        <row r="2173">
          <cell r="A2173" t="str">
            <v>cost3mo-lay-lens-p02-ocean-blue-sn0175</v>
          </cell>
          <cell r="B2173" t="str">
            <v>Layala</v>
          </cell>
        </row>
        <row r="2174">
          <cell r="A2174" t="str">
            <v>costmon-ama-2020-p02-pure-hazel-sn0700</v>
          </cell>
          <cell r="B2174" t="str">
            <v>Amara</v>
          </cell>
        </row>
        <row r="2175">
          <cell r="A2175" t="str">
            <v>sm50404-30s-000217-1404-54</v>
          </cell>
          <cell r="B2175" t="str">
            <v>30Sunday</v>
          </cell>
        </row>
        <row r="2176">
          <cell r="A2176" t="str">
            <v>clstbiw-acu-oasy-p18-sn0075</v>
          </cell>
          <cell r="B2176" t="str">
            <v>Acuvue</v>
          </cell>
        </row>
        <row r="2177">
          <cell r="A2177" t="str">
            <v>clstdai-acu-oasy-p90-sn0600</v>
          </cell>
          <cell r="B2177" t="str">
            <v>Acuvue</v>
          </cell>
        </row>
        <row r="2178">
          <cell r="A2178" t="str">
            <v>sm100702-30s-000444-0702-53</v>
          </cell>
          <cell r="B2178" t="str">
            <v>30Sunday</v>
          </cell>
        </row>
        <row r="2179">
          <cell r="A2179" t="str">
            <v>cost3mo-lay-2022-p02-cosmo-gray-sp0000</v>
          </cell>
          <cell r="B2179" t="str">
            <v>Layala</v>
          </cell>
        </row>
        <row r="2180">
          <cell r="A2180" t="str">
            <v>su70701-bla-000237-0701-54</v>
          </cell>
          <cell r="B2180" t="str">
            <v>BlackOut</v>
          </cell>
        </row>
        <row r="2181">
          <cell r="A2181" t="str">
            <v>sc70207-bab-000513-0207-46</v>
          </cell>
          <cell r="B2181" t="str">
            <v>Babamio</v>
          </cell>
        </row>
        <row r="2182">
          <cell r="A2182" t="str">
            <v>sunglasses-30Sundays-30s-000457-0107</v>
          </cell>
          <cell r="B2182" t="str">
            <v>30Sunday</v>
          </cell>
        </row>
        <row r="2183">
          <cell r="A2183" t="str">
            <v>clstmon-bio-biof-p06-sn0450</v>
          </cell>
          <cell r="B2183" t="str">
            <v>Biofinity</v>
          </cell>
        </row>
        <row r="2184">
          <cell r="A2184" t="str">
            <v>sacchan-30s-chain128-rsg-mia-rose-gold</v>
          </cell>
          <cell r="B2184" t="str">
            <v>30Sunday</v>
          </cell>
        </row>
        <row r="2185">
          <cell r="A2185" t="str">
            <v>clstbiw-acu-oasy-p18-sn0575</v>
          </cell>
          <cell r="B2185" t="str">
            <v>Acuvue</v>
          </cell>
        </row>
        <row r="2186">
          <cell r="A2186" t="str">
            <v>clstbiw-acu-0002-p06-sn0600</v>
          </cell>
          <cell r="B2186" t="str">
            <v>Acuvue</v>
          </cell>
        </row>
        <row r="2187">
          <cell r="A2187" t="str">
            <v>sw100504-30s-000261-2904-62</v>
          </cell>
          <cell r="B2187" t="str">
            <v>30Sunday</v>
          </cell>
        </row>
        <row r="2188">
          <cell r="A2188" t="str">
            <v>sm40707-30s-000285-1407-53</v>
          </cell>
          <cell r="B2188" t="str">
            <v>30Sunday</v>
          </cell>
        </row>
        <row r="2189">
          <cell r="A2189" t="str">
            <v>clstdai-btr-oned-p90-sn0475</v>
          </cell>
          <cell r="B2189" t="str">
            <v>Biotrue</v>
          </cell>
        </row>
        <row r="2190">
          <cell r="A2190" t="str">
            <v>cost3mo-lay-2025-p02-desert-topaz-sn0550</v>
          </cell>
          <cell r="B2190" t="str">
            <v>Layala</v>
          </cell>
        </row>
        <row r="2191">
          <cell r="A2191" t="str">
            <v>su102904-bla-000274-2904-55</v>
          </cell>
          <cell r="B2191" t="str">
            <v>BlackOut</v>
          </cell>
        </row>
        <row r="2192">
          <cell r="A2192" t="str">
            <v>clstdai-acu-mois-p90-sn0200</v>
          </cell>
          <cell r="B2192" t="str">
            <v>Acuvue</v>
          </cell>
        </row>
        <row r="2193">
          <cell r="A2193" t="str">
            <v>sw30202-30s-000117-0202-57</v>
          </cell>
          <cell r="B2193" t="str">
            <v>30Sunday</v>
          </cell>
        </row>
        <row r="2194">
          <cell r="A2194" t="str">
            <v>clstdai-acu-oasy-p60-sn0200</v>
          </cell>
          <cell r="B2194" t="str">
            <v>Acuvue</v>
          </cell>
        </row>
        <row r="2195">
          <cell r="A2195" t="str">
            <v>fw72318-spc-000823-2318-50</v>
          </cell>
          <cell r="B2195" t="str">
            <v>Spectus</v>
          </cell>
        </row>
        <row r="2196">
          <cell r="A2196" t="str">
            <v>cost3mo-lay-lens-p02-platinum-gray-sn0225</v>
          </cell>
          <cell r="B2196" t="str">
            <v>Layala</v>
          </cell>
        </row>
        <row r="2197">
          <cell r="A2197" t="str">
            <v>sw72007-30s-000295-2007-53</v>
          </cell>
          <cell r="B2197" t="str">
            <v>30Sunday</v>
          </cell>
        </row>
        <row r="2198">
          <cell r="A2198" t="str">
            <v>clstdai-eve-elit-p30-sn0350</v>
          </cell>
          <cell r="B2198" t="str">
            <v>Everva</v>
          </cell>
        </row>
        <row r="2199">
          <cell r="A2199" t="str">
            <v>clstdai-acu-dfvi-p60-sn0450</v>
          </cell>
          <cell r="B2199" t="str">
            <v>Acuvue</v>
          </cell>
        </row>
        <row r="2200">
          <cell r="A2200" t="str">
            <v>su50202-30s-00237-0202p-51</v>
          </cell>
          <cell r="B2200" t="str">
            <v>30Sunday</v>
          </cell>
        </row>
        <row r="2201">
          <cell r="A2201" t="str">
            <v>sw71304-30s-000245-1304-55</v>
          </cell>
          <cell r="B2201" t="str">
            <v>30Sunday</v>
          </cell>
        </row>
        <row r="2202">
          <cell r="A2202" t="str">
            <v>clstdai-acu-oasy-p120-sn0400</v>
          </cell>
          <cell r="B2202" t="str">
            <v>Acuvue</v>
          </cell>
        </row>
        <row r="2203">
          <cell r="A2203" t="str">
            <v>clstdai-dai-tot1-p90-sn1150</v>
          </cell>
          <cell r="B2203" t="str">
            <v>Dailies</v>
          </cell>
        </row>
        <row r="2204">
          <cell r="A2204" t="str">
            <v>sw61207-bla-000378-1207-59</v>
          </cell>
          <cell r="B2204" t="str">
            <v>BlackOut</v>
          </cell>
        </row>
        <row r="2205">
          <cell r="A2205" t="str">
            <v>clstdai-acu-oasy-p30-sp0225</v>
          </cell>
          <cell r="B2205" t="str">
            <v>Acuvue</v>
          </cell>
        </row>
        <row r="2206">
          <cell r="A2206" t="str">
            <v>clstdai-dai-aqua-p90-sn0050</v>
          </cell>
          <cell r="B2206" t="str">
            <v>Dailies</v>
          </cell>
        </row>
        <row r="2207">
          <cell r="A2207" t="str">
            <v>clstdai-eve-elit-p30-sp0125</v>
          </cell>
          <cell r="B2207" t="str">
            <v>Everva</v>
          </cell>
        </row>
        <row r="2208">
          <cell r="A2208" t="str">
            <v>sw32306-30s-000111-0906-63</v>
          </cell>
          <cell r="B2208" t="str">
            <v>30Sunday</v>
          </cell>
        </row>
        <row r="2209">
          <cell r="A2209" t="str">
            <v>clstmon-ava-avai-p06-sp0475</v>
          </cell>
          <cell r="B2209" t="str">
            <v>Avaira</v>
          </cell>
        </row>
        <row r="2210">
          <cell r="A2210" t="str">
            <v>clstdai-eve-elit-p30-sp0300</v>
          </cell>
          <cell r="B2210" t="str">
            <v>Everva</v>
          </cell>
        </row>
        <row r="2211">
          <cell r="A2211" t="str">
            <v>costmon-ama-2020-p02-charcoal-gray-sn0225</v>
          </cell>
          <cell r="B2211" t="str">
            <v>Amara</v>
          </cell>
        </row>
        <row r="2212">
          <cell r="A2212" t="str">
            <v>ru20118-spc-000881-0118-48-sp0200</v>
          </cell>
          <cell r="B2212" t="str">
            <v>Spectus</v>
          </cell>
        </row>
        <row r="2213">
          <cell r="A2213" t="str">
            <v>cost3mo-lay-lens-p02-platinum-gray-sn0300</v>
          </cell>
          <cell r="B2213" t="str">
            <v>Layala</v>
          </cell>
        </row>
        <row r="2214">
          <cell r="A2214" t="str">
            <v>su50404-30s-000281-0304-55</v>
          </cell>
          <cell r="B2214" t="str">
            <v>30Sunday</v>
          </cell>
        </row>
        <row r="2215">
          <cell r="A2215" t="str">
            <v>clstdai-sof-sdai-p30-sn0100</v>
          </cell>
          <cell r="B2215" t="str">
            <v>Soflens</v>
          </cell>
        </row>
        <row r="2216">
          <cell r="A2216" t="str">
            <v>costdai-ama-dail-p10-amber-sn0950</v>
          </cell>
          <cell r="B2216" t="str">
            <v>Amara</v>
          </cell>
        </row>
        <row r="2217">
          <cell r="A2217" t="str">
            <v>costdai-acu-dffr-p30-green-sn0075</v>
          </cell>
          <cell r="B2217" t="str">
            <v>Acuvue</v>
          </cell>
        </row>
        <row r="2218">
          <cell r="A2218" t="str">
            <v>clstdai-acu-mois-p90-sp0200</v>
          </cell>
          <cell r="B2218" t="str">
            <v>Acuvue</v>
          </cell>
        </row>
        <row r="2219">
          <cell r="A2219" t="str">
            <v>fm70418-spc-000546-0400-50</v>
          </cell>
          <cell r="B2219" t="str">
            <v>Spectus</v>
          </cell>
        </row>
        <row r="2220">
          <cell r="A2220" t="str">
            <v>cost3mo-lay-lens-p02-ocean-blue-sn0100</v>
          </cell>
          <cell r="B2220" t="str">
            <v>Layala</v>
          </cell>
        </row>
        <row r="2221">
          <cell r="A2221" t="str">
            <v>clstbiw-acu-0002-p06-sn0050</v>
          </cell>
          <cell r="B2221" t="str">
            <v>Acuvue</v>
          </cell>
        </row>
        <row r="2222">
          <cell r="A2222" t="str">
            <v>sw60702-bla-000376-0702-55</v>
          </cell>
          <cell r="B2222" t="str">
            <v>BlackOut</v>
          </cell>
        </row>
        <row r="2223">
          <cell r="A2223" t="str">
            <v>cost3mo-lay-2021-p02-stardust-gray-sn0350</v>
          </cell>
          <cell r="B2223" t="str">
            <v>Layala</v>
          </cell>
        </row>
        <row r="2224">
          <cell r="A2224" t="str">
            <v>clstdai-eve-pure-p30-Sn0650</v>
          </cell>
          <cell r="B2224" t="str">
            <v>Everva</v>
          </cell>
        </row>
        <row r="2225">
          <cell r="A2225" t="str">
            <v>sw72404-30s-000259-2404-52</v>
          </cell>
          <cell r="B2225" t="str">
            <v>30Sunday</v>
          </cell>
        </row>
        <row r="2226">
          <cell r="A2226" t="str">
            <v>su20107-30s-000229-0101-53</v>
          </cell>
          <cell r="B2226" t="str">
            <v>30Sunday</v>
          </cell>
        </row>
        <row r="2227">
          <cell r="A2227" t="str">
            <v>sw32604-30s-000262-2604-50</v>
          </cell>
          <cell r="B2227" t="str">
            <v>30Sunday</v>
          </cell>
        </row>
        <row r="2228">
          <cell r="A2228" t="str">
            <v>cost3mo-lay-2023-p02-sable-brown-sn0350</v>
          </cell>
          <cell r="B2228" t="str">
            <v>Layala</v>
          </cell>
        </row>
        <row r="2229">
          <cell r="A2229" t="str">
            <v>clstdai-lay-cont-p30-dazzle-black-sn0025</v>
          </cell>
          <cell r="B2229" t="str">
            <v>Layala</v>
          </cell>
        </row>
        <row r="2230">
          <cell r="A2230" t="str">
            <v>clstdai-acu-omax-p90-sn0275</v>
          </cell>
          <cell r="B2230" t="str">
            <v>Acuvue</v>
          </cell>
        </row>
        <row r="2231">
          <cell r="A2231" t="str">
            <v>fu22918-spc-000827-2918-50</v>
          </cell>
          <cell r="B2231" t="str">
            <v>Spectus</v>
          </cell>
        </row>
        <row r="2232">
          <cell r="A2232" t="str">
            <v>cltodai-acu-mois-p30-sn0075-cn0075-a010</v>
          </cell>
          <cell r="B2232" t="str">
            <v>Acuvue</v>
          </cell>
        </row>
        <row r="2233">
          <cell r="A2233" t="str">
            <v>clstbiw-acu-oasy-p06-sp0500</v>
          </cell>
          <cell r="B2233" t="str">
            <v>Acuvue</v>
          </cell>
        </row>
        <row r="2234">
          <cell r="A2234" t="str">
            <v>costmon-ama-2022-p02-dream-sn0075</v>
          </cell>
          <cell r="B2234" t="str">
            <v>Amara</v>
          </cell>
        </row>
        <row r="2235">
          <cell r="A2235" t="str">
            <v>clstmon-bio-biof-p06-sn0225</v>
          </cell>
          <cell r="B2235" t="str">
            <v>Biofinity</v>
          </cell>
        </row>
        <row r="2236">
          <cell r="A2236" t="str">
            <v>clstdai-acu-omax-p30-sn0350</v>
          </cell>
          <cell r="B2236" t="str">
            <v>Acuvue</v>
          </cell>
        </row>
        <row r="2237">
          <cell r="A2237" t="str">
            <v>ru100618-spc-000882-0618-46-sp0300</v>
          </cell>
          <cell r="B2237" t="str">
            <v>Spectus</v>
          </cell>
        </row>
        <row r="2238">
          <cell r="A2238" t="str">
            <v>sw100404-bla-000327-0404-56</v>
          </cell>
          <cell r="B2238" t="str">
            <v>BlackOut</v>
          </cell>
        </row>
        <row r="2239">
          <cell r="A2239" t="str">
            <v>sunglasses-30Sundays-30s-000450-0407</v>
          </cell>
          <cell r="B2239" t="str">
            <v>30Sunday</v>
          </cell>
        </row>
        <row r="2240">
          <cell r="A2240" t="str">
            <v>clstdai-dai-aqua-p90-sp0700</v>
          </cell>
          <cell r="B2240" t="str">
            <v>Dailies</v>
          </cell>
        </row>
        <row r="2241">
          <cell r="A2241" t="str">
            <v>sw50710-bla-000262-0710-56</v>
          </cell>
          <cell r="B2241" t="str">
            <v>BlackOut</v>
          </cell>
        </row>
        <row r="2242">
          <cell r="A2242" t="str">
            <v>clstdai-dai-tot1-p90-sn0250</v>
          </cell>
          <cell r="B2242" t="str">
            <v>Dailies</v>
          </cell>
        </row>
        <row r="2243">
          <cell r="A2243" t="str">
            <v>costdai-acu-dffr-p30-honey-sn0275</v>
          </cell>
          <cell r="B2243" t="str">
            <v>Acuvue</v>
          </cell>
        </row>
        <row r="2244">
          <cell r="A2244" t="str">
            <v>clstdai-lay-cont-p30-dazzle-brown-sn0800</v>
          </cell>
          <cell r="B2244" t="str">
            <v>Layala</v>
          </cell>
        </row>
        <row r="2245">
          <cell r="A2245" t="str">
            <v>sw81302-bla-000210-1302-54</v>
          </cell>
          <cell r="B2245" t="str">
            <v>BlackOut</v>
          </cell>
        </row>
        <row r="2246">
          <cell r="A2246" t="str">
            <v>sw70107-bla-000201-1707-52</v>
          </cell>
          <cell r="B2246" t="str">
            <v>BlackOut</v>
          </cell>
        </row>
        <row r="2247">
          <cell r="A2247" t="str">
            <v>bc50618-bab-000505-0618-43</v>
          </cell>
          <cell r="B2247" t="str">
            <v>Babamio</v>
          </cell>
        </row>
        <row r="2248">
          <cell r="A2248" t="str">
            <v>clstdai-acu-dfvi-p90-sn0250</v>
          </cell>
          <cell r="B2248" t="str">
            <v>Acuvue</v>
          </cell>
        </row>
        <row r="2249">
          <cell r="A2249" t="str">
            <v>costmon-ama-lens-p02-crocodile-green-sn0475</v>
          </cell>
          <cell r="B2249" t="str">
            <v>Amara</v>
          </cell>
        </row>
        <row r="2250">
          <cell r="A2250" t="str">
            <v>clstdai-acu-mois-p90-sp0450</v>
          </cell>
          <cell r="B2250" t="str">
            <v>Acuvue</v>
          </cell>
        </row>
        <row r="2251">
          <cell r="A2251" t="str">
            <v>clstdai-dai-aqua-p30-sn1450</v>
          </cell>
          <cell r="B2251" t="str">
            <v>Dailies</v>
          </cell>
        </row>
        <row r="2252">
          <cell r="A2252" t="str">
            <v>fw52118-spc-000553-2100-54</v>
          </cell>
          <cell r="B2252" t="str">
            <v>Spectus</v>
          </cell>
        </row>
        <row r="2253">
          <cell r="A2253" t="str">
            <v>clstdai-eve-elit-p90-sn0050</v>
          </cell>
          <cell r="B2253" t="str">
            <v>Everva</v>
          </cell>
        </row>
        <row r="2254">
          <cell r="A2254" t="str">
            <v>clstdai-acu-mois-p90-sn0400</v>
          </cell>
          <cell r="B2254" t="str">
            <v>Acuvue</v>
          </cell>
        </row>
        <row r="2255">
          <cell r="A2255" t="str">
            <v>clstdai-dai-tot1-p90-sn0100</v>
          </cell>
          <cell r="B2255" t="str">
            <v>Dailies</v>
          </cell>
        </row>
        <row r="2256">
          <cell r="A2256" t="str">
            <v>clstdai-acu-dfna-p60-sn0350</v>
          </cell>
          <cell r="B2256" t="str">
            <v>Acuvue</v>
          </cell>
        </row>
        <row r="2257">
          <cell r="A2257" t="str">
            <v>sm20504-30s-000207-2904-52</v>
          </cell>
          <cell r="B2257" t="str">
            <v>30Sunday</v>
          </cell>
        </row>
        <row r="2258">
          <cell r="A2258" t="str">
            <v>clstdai-lay-cont-p30-dazzle-brown-sn0500</v>
          </cell>
          <cell r="B2258" t="str">
            <v>Layala</v>
          </cell>
        </row>
        <row r="2259">
          <cell r="A2259" t="str">
            <v>clstdai-acu-mois-p30-sp0600</v>
          </cell>
          <cell r="B2259" t="str">
            <v>Acuvue</v>
          </cell>
        </row>
        <row r="2260">
          <cell r="A2260" t="str">
            <v>cost3mo-lay-lens-p02-cloudy-gray-sn0500</v>
          </cell>
          <cell r="B2260" t="str">
            <v>Layala</v>
          </cell>
        </row>
        <row r="2261">
          <cell r="A2261" t="str">
            <v>clstdai-dai-aqua-p90-sp0375</v>
          </cell>
          <cell r="B2261" t="str">
            <v>Dailies</v>
          </cell>
        </row>
        <row r="2262">
          <cell r="A2262" t="str">
            <v>su40701-30s-000287-0701p-52</v>
          </cell>
          <cell r="B2262" t="str">
            <v>30Sunday</v>
          </cell>
        </row>
        <row r="2263">
          <cell r="A2263" t="str">
            <v>clstmon-ava-avai-p06-sp0600</v>
          </cell>
          <cell r="B2263" t="str">
            <v>Avaira</v>
          </cell>
        </row>
        <row r="2264">
          <cell r="A2264" t="str">
            <v>sm53207-30s-000495-3207-52</v>
          </cell>
          <cell r="B2264" t="str">
            <v>30Sunday</v>
          </cell>
        </row>
        <row r="2265">
          <cell r="A2265" t="str">
            <v>clstdai-sof-sdai-p30-sn0050</v>
          </cell>
          <cell r="B2265" t="str">
            <v>Soflens</v>
          </cell>
        </row>
        <row r="2266">
          <cell r="A2266" t="str">
            <v>sw22307-30s-000226-2302-54</v>
          </cell>
          <cell r="B2266" t="str">
            <v>30Sunday</v>
          </cell>
        </row>
        <row r="2267">
          <cell r="A2267" t="str">
            <v>clstdai-lay-cont-p60-dazzle-brown-sn0300</v>
          </cell>
          <cell r="B2267" t="str">
            <v>Layala</v>
          </cell>
        </row>
        <row r="2268">
          <cell r="A2268" t="str">
            <v>clstdai-acu-oasy-p90-sp0525</v>
          </cell>
          <cell r="B2268" t="str">
            <v>Acuvue</v>
          </cell>
        </row>
        <row r="2269">
          <cell r="A2269" t="str">
            <v>su20304-30s-000206-0304p-52</v>
          </cell>
          <cell r="B2269" t="str">
            <v>30Sunday</v>
          </cell>
        </row>
        <row r="2270">
          <cell r="A2270" t="str">
            <v>clstdai-dai-tot1-p30-sp0500</v>
          </cell>
          <cell r="B2270" t="str">
            <v>Dailies</v>
          </cell>
        </row>
        <row r="2271">
          <cell r="A2271" t="str">
            <v>sw32404-30s-000264-2404-54</v>
          </cell>
          <cell r="B2271" t="str">
            <v>30Sunday</v>
          </cell>
        </row>
        <row r="2272">
          <cell r="A2272" t="str">
            <v>clstdai-acu-dfna-p90-sn0425</v>
          </cell>
          <cell r="B2272" t="str">
            <v>Acuvue</v>
          </cell>
        </row>
        <row r="2273">
          <cell r="A2273" t="str">
            <v>su11716-rov-1001-13-41-55</v>
          </cell>
          <cell r="B2273" t="str">
            <v>Roav</v>
          </cell>
        </row>
        <row r="2274">
          <cell r="A2274" t="str">
            <v>clstdai-acu-omax-p30-sn0125</v>
          </cell>
          <cell r="B2274" t="str">
            <v>Acuvue</v>
          </cell>
        </row>
        <row r="2275">
          <cell r="A2275" t="str">
            <v>fm20618-spc-000564-0600-49</v>
          </cell>
          <cell r="B2275" t="str">
            <v>Spectus</v>
          </cell>
        </row>
        <row r="2276">
          <cell r="A2276" t="str">
            <v>clstdai-sof-sdai-p30-sn0175</v>
          </cell>
          <cell r="B2276" t="str">
            <v>Soflens</v>
          </cell>
        </row>
        <row r="2277">
          <cell r="A2277" t="str">
            <v>clstdai-acu-dfrb-p30-sn0200</v>
          </cell>
          <cell r="B2277" t="str">
            <v>Acuvue</v>
          </cell>
        </row>
        <row r="2278">
          <cell r="A2278" t="str">
            <v>cost3mo-lay-lens-p02-chocolate-brown-sp0000</v>
          </cell>
          <cell r="B2278" t="str">
            <v>Layala</v>
          </cell>
        </row>
        <row r="2279">
          <cell r="A2279" t="str">
            <v>clstdai-acu-oasy-p60-sn0300</v>
          </cell>
          <cell r="B2279" t="str">
            <v>Acuvue</v>
          </cell>
        </row>
        <row r="2280">
          <cell r="A2280" t="str">
            <v>costmon-ama-2023-p02-chai-sp0000</v>
          </cell>
          <cell r="B2280" t="str">
            <v>Amara</v>
          </cell>
        </row>
        <row r="2281">
          <cell r="A2281" t="str">
            <v>clstdai-acu-mois-p60-sn0450</v>
          </cell>
          <cell r="B2281" t="str">
            <v>Acuvue</v>
          </cell>
        </row>
        <row r="2282">
          <cell r="A2282" t="str">
            <v>clstmon-eve-prom-p06-sn0525</v>
          </cell>
          <cell r="B2282" t="str">
            <v>Everva</v>
          </cell>
        </row>
        <row r="2283">
          <cell r="A2283" t="str">
            <v>clstdai-btr-oned-p30-sn0350</v>
          </cell>
          <cell r="B2283" t="str">
            <v>Biotrue</v>
          </cell>
        </row>
        <row r="2284">
          <cell r="A2284" t="str">
            <v>clstdai-lay-cont-p30-dazzle-black-sn0500</v>
          </cell>
          <cell r="B2284" t="str">
            <v>Layala</v>
          </cell>
        </row>
        <row r="2285">
          <cell r="A2285" t="str">
            <v>clstdai-acu-dfrb-p90-sn0475</v>
          </cell>
          <cell r="B2285" t="str">
            <v>Acuvue</v>
          </cell>
        </row>
        <row r="2286">
          <cell r="A2286" t="str">
            <v>clstdai-lay-cont-p60-dazzle-black-sn0050</v>
          </cell>
          <cell r="B2286" t="str">
            <v>Layala</v>
          </cell>
        </row>
        <row r="2287">
          <cell r="A2287" t="str">
            <v>clstdai-acu-omax-p90-sp0325</v>
          </cell>
          <cell r="B2287" t="str">
            <v>Acuvue</v>
          </cell>
        </row>
        <row r="2288">
          <cell r="A2288" t="str">
            <v>cost3mo-lay-lens-p02-golden-brown-sn0125</v>
          </cell>
          <cell r="B2288" t="str">
            <v>Layala</v>
          </cell>
        </row>
        <row r="2289">
          <cell r="A2289" t="str">
            <v>sm21202-30s-000249-1202-53</v>
          </cell>
          <cell r="B2289" t="str">
            <v>30Sunday</v>
          </cell>
        </row>
        <row r="2290">
          <cell r="A2290" t="str">
            <v>costdai-acu-dffr-p10-green-sn0425</v>
          </cell>
          <cell r="B2290" t="str">
            <v>Acuvue</v>
          </cell>
        </row>
        <row r="2291">
          <cell r="A2291" t="str">
            <v>bc50218-bab-000503-0200-46</v>
          </cell>
          <cell r="B2291" t="str">
            <v>Babamio</v>
          </cell>
        </row>
        <row r="2292">
          <cell r="A2292" t="str">
            <v>clstdai-btr-oned-p90-sp0250</v>
          </cell>
          <cell r="B2292" t="str">
            <v>Biotrue</v>
          </cell>
        </row>
        <row r="2293">
          <cell r="A2293" t="str">
            <v>cost3mo-lay-2021-p02-stardust-gray-sn0600</v>
          </cell>
          <cell r="B2293" t="str">
            <v>Layala</v>
          </cell>
        </row>
        <row r="2294">
          <cell r="A2294" t="str">
            <v>clstdai-eve-pure-p30-sp0325</v>
          </cell>
          <cell r="B2294" t="str">
            <v>Everva</v>
          </cell>
        </row>
        <row r="2295">
          <cell r="A2295" t="str">
            <v>sw32404-bla-000253-2404-50</v>
          </cell>
          <cell r="B2295" t="str">
            <v>BlackOut</v>
          </cell>
        </row>
        <row r="2296">
          <cell r="A2296" t="str">
            <v>clstdai-lay-cont-p60-dazzle-brown-sn0750</v>
          </cell>
          <cell r="B2296" t="str">
            <v>Layala</v>
          </cell>
        </row>
        <row r="2297">
          <cell r="A2297" t="str">
            <v>clstdai-sof-sdai-p90-sn0600</v>
          </cell>
          <cell r="B2297" t="str">
            <v>Soflens</v>
          </cell>
        </row>
        <row r="2298">
          <cell r="A2298" t="str">
            <v>clstdai-acu-dfvi-p90-sn0200</v>
          </cell>
          <cell r="B2298" t="str">
            <v>Acuvue</v>
          </cell>
        </row>
        <row r="2299">
          <cell r="A2299" t="str">
            <v>clstdai-dai-aqua-p30-sp0050</v>
          </cell>
          <cell r="B2299" t="str">
            <v>Dailies</v>
          </cell>
        </row>
        <row r="2300">
          <cell r="A2300" t="str">
            <v>cost3mo-lay-2021-p02-stardust-gray-sn0050</v>
          </cell>
          <cell r="B2300" t="str">
            <v>Layala</v>
          </cell>
        </row>
        <row r="2301">
          <cell r="A2301" t="str">
            <v>cost3mo-lay-2022-p02-crescent-gray-sn0075</v>
          </cell>
          <cell r="B2301" t="str">
            <v>Layala</v>
          </cell>
        </row>
        <row r="2302">
          <cell r="A2302" t="str">
            <v>fm20418-spc-000860-0418-49</v>
          </cell>
          <cell r="B2302" t="str">
            <v>Spectus</v>
          </cell>
        </row>
        <row r="2303">
          <cell r="A2303" t="str">
            <v>sunglasses-30Sundays-30s-000449-0404</v>
          </cell>
          <cell r="B2303" t="str">
            <v>30Sunday</v>
          </cell>
        </row>
        <row r="2304">
          <cell r="A2304" t="str">
            <v>sw60202-bla-000242-0202-52</v>
          </cell>
          <cell r="B2304" t="str">
            <v>BlackOut</v>
          </cell>
        </row>
        <row r="2305">
          <cell r="A2305" t="str">
            <v>cost3mo-lay-2022-p02-crescent-gray-sp0000</v>
          </cell>
          <cell r="B2305" t="str">
            <v>Layala</v>
          </cell>
        </row>
        <row r="2306">
          <cell r="A2306" t="str">
            <v>sw30404-bla-000222-0404-57</v>
          </cell>
          <cell r="B2306" t="str">
            <v>BlackOut</v>
          </cell>
        </row>
        <row r="2307">
          <cell r="A2307" t="str">
            <v>su40107-bla-000314-0107-53</v>
          </cell>
          <cell r="B2307" t="str">
            <v>BlackOut</v>
          </cell>
        </row>
        <row r="2308">
          <cell r="A2308" t="str">
            <v>sw101206-30s-000261-1206-62</v>
          </cell>
          <cell r="B2308" t="str">
            <v>30Sunday</v>
          </cell>
        </row>
        <row r="2309">
          <cell r="A2309" t="str">
            <v>su100707-30s-00277-0707p-52</v>
          </cell>
          <cell r="B2309" t="str">
            <v>30Sunday</v>
          </cell>
        </row>
        <row r="2310">
          <cell r="A2310" t="str">
            <v>sacchan-30s-chain104-gpl-gold</v>
          </cell>
          <cell r="B2310" t="str">
            <v>30Sunday</v>
          </cell>
        </row>
        <row r="2311">
          <cell r="A2311" t="str">
            <v>cost3mo-lay-2022-p02-royal-green-sn0200</v>
          </cell>
          <cell r="B2311" t="str">
            <v>Layala</v>
          </cell>
        </row>
        <row r="2312">
          <cell r="A2312" t="str">
            <v>costmon-ama-2022-p02-tiger-eyes-sn0100</v>
          </cell>
          <cell r="B2312" t="str">
            <v>Amara</v>
          </cell>
        </row>
        <row r="2313">
          <cell r="A2313" t="str">
            <v>fm22618-spc-000664-2618-51</v>
          </cell>
          <cell r="B2313" t="str">
            <v>Spectus</v>
          </cell>
        </row>
        <row r="2314">
          <cell r="A2314" t="str">
            <v>cost3mo-lay-lens-p02-crystal-brown-sn0550</v>
          </cell>
          <cell r="B2314" t="str">
            <v>Layala</v>
          </cell>
        </row>
        <row r="2315">
          <cell r="A2315" t="str">
            <v>cost3mo-lay-2022-p02-sweet-hazel-sn0250</v>
          </cell>
          <cell r="B2315" t="str">
            <v>Layala</v>
          </cell>
        </row>
        <row r="2316">
          <cell r="A2316" t="str">
            <v>sw50904-bla-000235-2404-56</v>
          </cell>
          <cell r="B2316" t="str">
            <v>BlackOut</v>
          </cell>
        </row>
        <row r="2317">
          <cell r="A2317" t="str">
            <v>fw32918-spc-000862-2918-49</v>
          </cell>
          <cell r="B2317" t="str">
            <v>Spectus</v>
          </cell>
        </row>
        <row r="2318">
          <cell r="A2318" t="str">
            <v>clstmon-bio-biof-p06-sn0300</v>
          </cell>
          <cell r="B2318" t="str">
            <v>Biofinity</v>
          </cell>
        </row>
        <row r="2319">
          <cell r="A2319" t="str">
            <v>costmon-ama-2022-p02-dream-sp0000</v>
          </cell>
          <cell r="B2319" t="str">
            <v>Amara</v>
          </cell>
        </row>
        <row r="2320">
          <cell r="A2320" t="str">
            <v>cost3mo-lay-lens-p02-chocolate-brown-sn0025</v>
          </cell>
          <cell r="B2320" t="str">
            <v>Layala</v>
          </cell>
        </row>
        <row r="2321">
          <cell r="A2321" t="str">
            <v>costdai-ama-dail-p10-sugar-sn1000</v>
          </cell>
          <cell r="B2321" t="str">
            <v>Amara</v>
          </cell>
        </row>
        <row r="2322">
          <cell r="A2322" t="str">
            <v>cost3mo-lay-2021-p02-sunkiss-brown-sn0275</v>
          </cell>
          <cell r="B2322" t="str">
            <v>Layala</v>
          </cell>
        </row>
        <row r="2323">
          <cell r="A2323" t="str">
            <v>cost3mo-lay-lens-p02-ocean-blue-sn0275</v>
          </cell>
          <cell r="B2323" t="str">
            <v>Layala</v>
          </cell>
        </row>
        <row r="2324">
          <cell r="A2324" t="str">
            <v>clstdai-lay-cont-p90-dazzle-black-sn0125</v>
          </cell>
          <cell r="B2324" t="str">
            <v>Layala</v>
          </cell>
        </row>
        <row r="2325">
          <cell r="A2325" t="str">
            <v>clstbiw-acu-0002-p06-sp0650</v>
          </cell>
          <cell r="B2325" t="str">
            <v>Acuvue</v>
          </cell>
        </row>
        <row r="2326">
          <cell r="A2326" t="str">
            <v>clstdai-dai-tot1-p30-sp0550</v>
          </cell>
          <cell r="B2326" t="str">
            <v>Dailies</v>
          </cell>
        </row>
        <row r="2327">
          <cell r="A2327" t="str">
            <v>clstdai-eve-elit-p30-sn0275</v>
          </cell>
          <cell r="B2327" t="str">
            <v>Everva</v>
          </cell>
        </row>
        <row r="2328">
          <cell r="A2328" t="str">
            <v>costdai-ama-dail-p10-honey-sn0275</v>
          </cell>
          <cell r="B2328" t="str">
            <v>Amara</v>
          </cell>
        </row>
        <row r="2329">
          <cell r="A2329" t="str">
            <v>clstdai-acu-dfvi-p60-sn0300</v>
          </cell>
          <cell r="B2329" t="str">
            <v>Acuvue</v>
          </cell>
        </row>
        <row r="2330">
          <cell r="A2330" t="str">
            <v>clstdai-acu-mois-p60-sn0500</v>
          </cell>
          <cell r="B2330" t="str">
            <v>Acuvue</v>
          </cell>
        </row>
        <row r="2331">
          <cell r="A2331" t="str">
            <v>clstdai-dai-tot1-p30-sp0275</v>
          </cell>
          <cell r="B2331" t="str">
            <v>Dailies</v>
          </cell>
        </row>
        <row r="2332">
          <cell r="A2332" t="str">
            <v>clstdai-eve-pure-p90-sp0500</v>
          </cell>
          <cell r="B2332" t="str">
            <v>Everva</v>
          </cell>
        </row>
        <row r="2333">
          <cell r="A2333" t="str">
            <v>clstdai-eve-elit-p30-sn0225</v>
          </cell>
          <cell r="B2333" t="str">
            <v>Everva</v>
          </cell>
        </row>
        <row r="2334">
          <cell r="A2334" t="str">
            <v>clstdai-acu-oasy-p120-sn0550</v>
          </cell>
          <cell r="B2334" t="str">
            <v>Acuvue</v>
          </cell>
        </row>
        <row r="2335">
          <cell r="A2335" t="str">
            <v>sm70107-30s-000209-0107-60</v>
          </cell>
          <cell r="B2335" t="str">
            <v>30Sunday</v>
          </cell>
        </row>
        <row r="2336">
          <cell r="A2336" t="str">
            <v>costmon-ama-lens-p02-mocca-sn0075</v>
          </cell>
          <cell r="B2336" t="str">
            <v>Amara</v>
          </cell>
        </row>
        <row r="2337">
          <cell r="A2337" t="str">
            <v>clstdai-acu-oasy-p60-sn0650</v>
          </cell>
          <cell r="B2337" t="str">
            <v>Acuvue</v>
          </cell>
        </row>
        <row r="2338">
          <cell r="A2338" t="str">
            <v>costdai-acu-dffr-p10-hazel-sn0375</v>
          </cell>
          <cell r="B2338" t="str">
            <v>Acuvue</v>
          </cell>
        </row>
        <row r="2339">
          <cell r="A2339" t="str">
            <v>costmon-ama-2024-p02-nmr-sn0300</v>
          </cell>
          <cell r="B2339" t="str">
            <v>Amara</v>
          </cell>
        </row>
        <row r="2340">
          <cell r="A2340" t="str">
            <v>clstdai-acu-dfna-p60-sn0150</v>
          </cell>
          <cell r="B2340" t="str">
            <v>Acuvue</v>
          </cell>
        </row>
        <row r="2341">
          <cell r="A2341" t="str">
            <v>costdai-acu-dffr-p10-grayzel-sn0275</v>
          </cell>
          <cell r="B2341" t="str">
            <v>Acuvue</v>
          </cell>
        </row>
        <row r="2342">
          <cell r="A2342" t="str">
            <v>clstdai-acu-mois-p90-sp0150</v>
          </cell>
          <cell r="B2342" t="str">
            <v>Acuvue</v>
          </cell>
        </row>
        <row r="2343">
          <cell r="A2343" t="str">
            <v>costmon-ama-2022-p02-dream-sn0425</v>
          </cell>
          <cell r="B2343" t="str">
            <v>Amara</v>
          </cell>
        </row>
        <row r="2344">
          <cell r="A2344" t="str">
            <v>su20101-30s-000206-0101-52</v>
          </cell>
          <cell r="B2344" t="str">
            <v>30Sunday</v>
          </cell>
        </row>
        <row r="2345">
          <cell r="A2345" t="str">
            <v>clstdai-btr-oned-p30-sn0700</v>
          </cell>
          <cell r="B2345" t="str">
            <v>Biotrue</v>
          </cell>
        </row>
        <row r="2346">
          <cell r="A2346" t="str">
            <v>sw30107-30s-000238-0101-51</v>
          </cell>
          <cell r="B2346" t="str">
            <v>30Sunday</v>
          </cell>
        </row>
        <row r="2347">
          <cell r="A2347" t="str">
            <v>clstdai-acu-dfna-p30-sn0250</v>
          </cell>
          <cell r="B2347" t="str">
            <v>Acuvue</v>
          </cell>
        </row>
        <row r="2348">
          <cell r="A2348" t="str">
            <v>clstdai-acu-dfrb-p60-sn0375</v>
          </cell>
          <cell r="B2348" t="str">
            <v>Acuvue</v>
          </cell>
        </row>
        <row r="2349">
          <cell r="A2349" t="str">
            <v>sacchan-30s-chain120-gld-gia-ii-gold</v>
          </cell>
          <cell r="B2349" t="str">
            <v>30Sunday</v>
          </cell>
        </row>
        <row r="2350">
          <cell r="A2350" t="str">
            <v>clstdai-lay-cont-p60-dazzle-black-sn0075</v>
          </cell>
          <cell r="B2350" t="str">
            <v>Layala</v>
          </cell>
        </row>
        <row r="2351">
          <cell r="A2351" t="str">
            <v>su20102-bla-000238-0502-49</v>
          </cell>
          <cell r="B2351" t="str">
            <v>BlackOut</v>
          </cell>
        </row>
        <row r="2352">
          <cell r="A2352" t="str">
            <v>fm10218-spc-000636-0218-53</v>
          </cell>
          <cell r="B2352" t="str">
            <v>Spectus</v>
          </cell>
        </row>
        <row r="2353">
          <cell r="A2353" t="str">
            <v>clstbiw-acu-0002-p06-sp0050</v>
          </cell>
          <cell r="B2353" t="str">
            <v>Acuvue</v>
          </cell>
        </row>
        <row r="2354">
          <cell r="A2354" t="str">
            <v>sw100107-30s-000454-0107-54</v>
          </cell>
          <cell r="B2354" t="str">
            <v>30Sunday</v>
          </cell>
        </row>
        <row r="2355">
          <cell r="A2355" t="str">
            <v>cost3mo-lay-2025-p02-emerald-glow-sn0200</v>
          </cell>
          <cell r="B2355" t="str">
            <v>Layala</v>
          </cell>
        </row>
        <row r="2356">
          <cell r="A2356" t="str">
            <v>sw30107-30s-000273-0101-54</v>
          </cell>
          <cell r="B2356" t="str">
            <v>30Sunday</v>
          </cell>
        </row>
        <row r="2357">
          <cell r="A2357" t="str">
            <v>sw30202-30s-000291-0202-51</v>
          </cell>
          <cell r="B2357" t="str">
            <v>30Sunday</v>
          </cell>
        </row>
        <row r="2358">
          <cell r="A2358" t="str">
            <v>fw20618-spc-000653-0618-47</v>
          </cell>
          <cell r="B2358" t="str">
            <v>Spectus</v>
          </cell>
        </row>
        <row r="2359">
          <cell r="A2359" t="str">
            <v>clstdai-dai-aqua-p30-sn0575</v>
          </cell>
          <cell r="B2359" t="str">
            <v>Dailies</v>
          </cell>
        </row>
        <row r="2360">
          <cell r="A2360" t="str">
            <v>clstdai-lay-cont-p10-dazzle-brown-sn0300</v>
          </cell>
          <cell r="B2360" t="str">
            <v>Layala</v>
          </cell>
        </row>
        <row r="2361">
          <cell r="A2361" t="str">
            <v>clstdai-sof-sdai-p90-sn0350</v>
          </cell>
          <cell r="B2361" t="str">
            <v>Soflens</v>
          </cell>
        </row>
        <row r="2362">
          <cell r="A2362" t="str">
            <v>clstdai-acu-mois-p120-sn0150</v>
          </cell>
          <cell r="B2362" t="str">
            <v>Acuvue</v>
          </cell>
        </row>
        <row r="2363">
          <cell r="A2363" t="str">
            <v>clstbiw-acu-cle-p06-sn0100</v>
          </cell>
          <cell r="B2363" t="str">
            <v>Acuvue</v>
          </cell>
        </row>
        <row r="2364">
          <cell r="A2364" t="str">
            <v>clstmon-ava-avai-p06-sp0175</v>
          </cell>
          <cell r="B2364" t="str">
            <v>Avaira</v>
          </cell>
        </row>
        <row r="2365">
          <cell r="A2365" t="str">
            <v>clstdai-dai-aqua-p90-sp0350</v>
          </cell>
          <cell r="B2365" t="str">
            <v>Dailies</v>
          </cell>
        </row>
        <row r="2366">
          <cell r="A2366" t="str">
            <v>clstdai-acu-mois-p90-sn0575</v>
          </cell>
          <cell r="B2366" t="str">
            <v>Acuvue</v>
          </cell>
        </row>
        <row r="2367">
          <cell r="A2367" t="str">
            <v>sw50204-bla-000262-0204-56</v>
          </cell>
          <cell r="B2367" t="str">
            <v>BlackOut</v>
          </cell>
        </row>
        <row r="2368">
          <cell r="A2368" t="str">
            <v>clstdai-bme-1day-p30-sn0150</v>
          </cell>
          <cell r="B2368" t="str">
            <v>Biomedics</v>
          </cell>
        </row>
        <row r="2369">
          <cell r="A2369" t="str">
            <v>sacchan-30s-chain107-gld-gold</v>
          </cell>
          <cell r="B2369" t="str">
            <v>30Sunday</v>
          </cell>
        </row>
        <row r="2370">
          <cell r="A2370" t="str">
            <v>fm21218-spc-000612-1218-49</v>
          </cell>
          <cell r="B2370" t="str">
            <v>Spectus</v>
          </cell>
        </row>
        <row r="2371">
          <cell r="A2371" t="str">
            <v>clstbiw-acu-0002-p06-sn1100</v>
          </cell>
          <cell r="B2371" t="str">
            <v>Acuvue</v>
          </cell>
        </row>
        <row r="2372">
          <cell r="A2372" t="str">
            <v>costdai-acu-dffr-p30-green-sn0225</v>
          </cell>
          <cell r="B2372" t="str">
            <v>Acuvue</v>
          </cell>
        </row>
        <row r="2373">
          <cell r="A2373" t="str">
            <v>sw30107-30s-000111-0107-63</v>
          </cell>
          <cell r="B2373" t="str">
            <v>30Sunday</v>
          </cell>
        </row>
        <row r="2374">
          <cell r="A2374" t="str">
            <v>sm110606-30s-000451-0606-49</v>
          </cell>
          <cell r="B2374" t="str">
            <v>30Sunday</v>
          </cell>
        </row>
        <row r="2375">
          <cell r="A2375" t="str">
            <v>cltobiw-acu-oasy-p06-sn0350-cn0075-a080</v>
          </cell>
          <cell r="B2375" t="str">
            <v>Acuvue</v>
          </cell>
        </row>
        <row r="2376">
          <cell r="A2376" t="str">
            <v>clstdai-lay-cont-p10-dazzle-black-sn0900</v>
          </cell>
          <cell r="B2376" t="str">
            <v>Layala</v>
          </cell>
        </row>
        <row r="2377">
          <cell r="A2377" t="str">
            <v>clstdai-dai-aqua-p90-sp0475</v>
          </cell>
          <cell r="B2377" t="str">
            <v>Dailies</v>
          </cell>
        </row>
        <row r="2378">
          <cell r="A2378" t="str">
            <v>fu71218-spc-000512-1200-51</v>
          </cell>
          <cell r="B2378" t="str">
            <v>Spectus</v>
          </cell>
        </row>
        <row r="2379">
          <cell r="A2379" t="str">
            <v>su100404-bla-000317-0404-52</v>
          </cell>
          <cell r="B2379" t="str">
            <v>BlackOut</v>
          </cell>
        </row>
        <row r="2380">
          <cell r="A2380" t="str">
            <v>cost3mo-lay-2021-p02-skye-blue-sp0000</v>
          </cell>
          <cell r="B2380" t="str">
            <v>Layala</v>
          </cell>
        </row>
        <row r="2381">
          <cell r="A2381" t="str">
            <v>costdai-ama-dail-p10-moon-stone-sn0450</v>
          </cell>
          <cell r="B2381" t="str">
            <v>Amara</v>
          </cell>
        </row>
        <row r="2382">
          <cell r="A2382" t="str">
            <v>costdai-acu-dffr-p10-green-sn0150</v>
          </cell>
          <cell r="B2382" t="str">
            <v>Acuvue</v>
          </cell>
        </row>
        <row r="2383">
          <cell r="A2383" t="str">
            <v>clstdai-dai-aqua-p30-sn1350</v>
          </cell>
          <cell r="B2383" t="str">
            <v>Dailies</v>
          </cell>
        </row>
        <row r="2384">
          <cell r="A2384" t="str">
            <v>sw30107-30s-000127-0107-49</v>
          </cell>
          <cell r="B2384" t="str">
            <v>30Sunday</v>
          </cell>
        </row>
        <row r="2385">
          <cell r="A2385" t="str">
            <v>costdai-acu-dffr-p30-grayzel-sn0475</v>
          </cell>
          <cell r="B2385" t="str">
            <v>Acuvue</v>
          </cell>
        </row>
        <row r="2386">
          <cell r="A2386" t="str">
            <v>sw11202-30s-000288-1202-49</v>
          </cell>
          <cell r="B2386" t="str">
            <v>30Sunday</v>
          </cell>
        </row>
        <row r="2387">
          <cell r="A2387" t="str">
            <v>clstbiw-acu-0002-p06-sn0575</v>
          </cell>
          <cell r="B2387" t="str">
            <v>Acuvue</v>
          </cell>
        </row>
        <row r="2388">
          <cell r="A2388" t="str">
            <v>clstdai-eve-elit-p90-sn0650</v>
          </cell>
          <cell r="B2388" t="str">
            <v>Everva</v>
          </cell>
        </row>
        <row r="2389">
          <cell r="A2389" t="str">
            <v>costmon-ama-lens-p02-mocca-sn0325</v>
          </cell>
          <cell r="B2389" t="str">
            <v>Amara</v>
          </cell>
        </row>
        <row r="2390">
          <cell r="A2390" t="str">
            <v>clstdai-acu-omax-p90-sp0575</v>
          </cell>
          <cell r="B2390" t="str">
            <v>Acuvue</v>
          </cell>
        </row>
        <row r="2391">
          <cell r="A2391" t="str">
            <v>clstbiw-acu-oasy-p06-sp0175</v>
          </cell>
          <cell r="B2391" t="str">
            <v>Acuvue</v>
          </cell>
        </row>
        <row r="2392">
          <cell r="A2392" t="str">
            <v>cost3mo-lay-2025-p02-desert-topaz-sn0375</v>
          </cell>
          <cell r="B2392" t="str">
            <v>Layala</v>
          </cell>
        </row>
        <row r="2393">
          <cell r="A2393" t="str">
            <v>clstdai-dai-aqua-p90-sn1400</v>
          </cell>
          <cell r="B2393" t="str">
            <v>Dailies</v>
          </cell>
        </row>
        <row r="2394">
          <cell r="A2394" t="str">
            <v>cost3mo-lay-2020-p02-ash-gray-sn0200</v>
          </cell>
          <cell r="B2394" t="str">
            <v>Layala</v>
          </cell>
        </row>
        <row r="2395">
          <cell r="A2395" t="str">
            <v>clstdai-eve-pure-p30-sn0325</v>
          </cell>
          <cell r="B2395" t="str">
            <v>Everva</v>
          </cell>
        </row>
        <row r="2396">
          <cell r="A2396" t="str">
            <v>clstdai-sof-sdai-p30-sn0325</v>
          </cell>
          <cell r="B2396" t="str">
            <v>Soflens</v>
          </cell>
        </row>
        <row r="2397">
          <cell r="A2397" t="str">
            <v>cost3mo-lay-lens-p02-golden-brown-sp0000</v>
          </cell>
          <cell r="B2397" t="str">
            <v>Layala</v>
          </cell>
        </row>
        <row r="2398">
          <cell r="A2398" t="str">
            <v>clstdai-lay-cont-p90-dazzle-brown-sn0650</v>
          </cell>
          <cell r="B2398" t="str">
            <v>Layala</v>
          </cell>
        </row>
        <row r="2399">
          <cell r="A2399" t="str">
            <v>clstdai-eve-pure-p30-sn0600</v>
          </cell>
          <cell r="B2399" t="str">
            <v>Everva</v>
          </cell>
        </row>
        <row r="2400">
          <cell r="A2400" t="str">
            <v>sw70404-30s-000259-0404-52</v>
          </cell>
          <cell r="B2400" t="str">
            <v>30Sunday</v>
          </cell>
        </row>
        <row r="2401">
          <cell r="A2401" t="str">
            <v>clstdai-acu-oasy-p30-sn0600</v>
          </cell>
          <cell r="B2401" t="str">
            <v>Acuvue</v>
          </cell>
        </row>
        <row r="2402">
          <cell r="A2402" t="str">
            <v>sw60107-bla-000304-0107-55</v>
          </cell>
          <cell r="B2402" t="str">
            <v>BlackOut</v>
          </cell>
        </row>
        <row r="2403">
          <cell r="A2403" t="str">
            <v>clstdai-acu-dfna-p30-sn0225</v>
          </cell>
          <cell r="B2403" t="str">
            <v>Acuvue</v>
          </cell>
        </row>
        <row r="2404">
          <cell r="A2404" t="str">
            <v>costdai-ama-dail-p10-sugar-sn0400</v>
          </cell>
          <cell r="B2404" t="str">
            <v>Amara</v>
          </cell>
        </row>
        <row r="2405">
          <cell r="A2405" t="str">
            <v>clstdai-acu-oasy-p90-sn0150</v>
          </cell>
          <cell r="B2405" t="str">
            <v>Acuvue</v>
          </cell>
        </row>
        <row r="2406">
          <cell r="A2406" t="str">
            <v>cost3mo-lay-lens-p02-cloudy-gray-sn0550</v>
          </cell>
          <cell r="B2406" t="str">
            <v>Layala</v>
          </cell>
        </row>
        <row r="2407">
          <cell r="A2407" t="str">
            <v>cost3mo-lay-lens-p02-golden-brown-sn0050</v>
          </cell>
          <cell r="B2407" t="str">
            <v>Layala</v>
          </cell>
        </row>
        <row r="2408">
          <cell r="A2408" t="str">
            <v>costdai-acu-dffr-p30-grayzel-sn0275</v>
          </cell>
          <cell r="B2408" t="str">
            <v>Acuvue</v>
          </cell>
        </row>
        <row r="2409">
          <cell r="A2409" t="str">
            <v>clstdai-acu-oasy-p30-sp0450</v>
          </cell>
          <cell r="B2409" t="str">
            <v>Acuvue</v>
          </cell>
        </row>
        <row r="2410">
          <cell r="A2410" t="str">
            <v>costdai-ama-dail-p10-sugar-sn0450</v>
          </cell>
          <cell r="B2410" t="str">
            <v>Amara</v>
          </cell>
        </row>
        <row r="2411">
          <cell r="A2411" t="str">
            <v>cost3mo-lay-2022-p02-crescent-gray-sn0200</v>
          </cell>
          <cell r="B2411" t="str">
            <v>Layala</v>
          </cell>
        </row>
        <row r="2412">
          <cell r="A2412" t="str">
            <v>clstdai-acu-dfna-p90-sn0275</v>
          </cell>
          <cell r="B2412" t="str">
            <v>Acuvue</v>
          </cell>
        </row>
        <row r="2413">
          <cell r="A2413" t="str">
            <v>clstdai-dai-tot1-p30-sn0150</v>
          </cell>
          <cell r="B2413" t="str">
            <v>Dailies</v>
          </cell>
        </row>
        <row r="2414">
          <cell r="A2414" t="str">
            <v>cost3mo-lay-2022-p02-royal-green-sn0075</v>
          </cell>
          <cell r="B2414" t="str">
            <v>Layala</v>
          </cell>
        </row>
        <row r="2415">
          <cell r="A2415" t="str">
            <v>clstbiw-acu-oasy-p06-sp0700</v>
          </cell>
          <cell r="B2415" t="str">
            <v>Acuvue</v>
          </cell>
        </row>
        <row r="2416">
          <cell r="A2416" t="str">
            <v>clstbiw-acu-0002-p06-sp0225</v>
          </cell>
          <cell r="B2416" t="str">
            <v>Acuvue</v>
          </cell>
        </row>
        <row r="2417">
          <cell r="A2417" t="str">
            <v>sm50706-bla-000359-0706-53</v>
          </cell>
          <cell r="B2417" t="str">
            <v>BlackOut</v>
          </cell>
        </row>
        <row r="2418">
          <cell r="A2418" t="str">
            <v>sw72302-bla-000247-2304-59</v>
          </cell>
          <cell r="B2418" t="str">
            <v>BlackOut</v>
          </cell>
        </row>
        <row r="2419">
          <cell r="A2419" t="str">
            <v>costdai-acu-dffr-p30-hazel-sn0225</v>
          </cell>
          <cell r="B2419" t="str">
            <v>Acuvue</v>
          </cell>
        </row>
        <row r="2420">
          <cell r="A2420" t="str">
            <v>cost3mo-lay-2022-p02-royal-green-sn0350</v>
          </cell>
          <cell r="B2420" t="str">
            <v>Layala</v>
          </cell>
        </row>
        <row r="2421">
          <cell r="A2421" t="str">
            <v>sw30101-30s-000264-0101-54</v>
          </cell>
          <cell r="B2421" t="str">
            <v>30Sunday</v>
          </cell>
        </row>
        <row r="2422">
          <cell r="A2422" t="str">
            <v>cost3mo-lay-2022-p02-crescent-gray-sn0300</v>
          </cell>
          <cell r="B2422" t="str">
            <v>Layala</v>
          </cell>
        </row>
        <row r="2423">
          <cell r="A2423" t="str">
            <v>sm11315-bla-000375-1315-57</v>
          </cell>
          <cell r="B2423" t="str">
            <v>BlackOut</v>
          </cell>
        </row>
        <row r="2424">
          <cell r="A2424" t="str">
            <v>sm12904-30s-000254-2904-54</v>
          </cell>
          <cell r="B2424" t="str">
            <v>30Sunday</v>
          </cell>
        </row>
        <row r="2425">
          <cell r="A2425" t="str">
            <v>clstdai-lay-cont-p30-dazzle-brown-sn0275</v>
          </cell>
          <cell r="B2425" t="str">
            <v>Layala</v>
          </cell>
        </row>
        <row r="2426">
          <cell r="A2426" t="str">
            <v>clstdai-eve-elit-p90-sp0375</v>
          </cell>
          <cell r="B2426" t="str">
            <v>Everva</v>
          </cell>
        </row>
        <row r="2427">
          <cell r="A2427" t="str">
            <v>fm50118-spc-000836-0118-54</v>
          </cell>
          <cell r="B2427" t="str">
            <v>Spectus</v>
          </cell>
        </row>
        <row r="2428">
          <cell r="A2428" t="str">
            <v>su100606-30s-00453-0606p-51</v>
          </cell>
          <cell r="B2428" t="str">
            <v>30Sunday</v>
          </cell>
        </row>
        <row r="2429">
          <cell r="A2429" t="str">
            <v>cost3mo-lay-2023-p02-sable-brown-sn0600</v>
          </cell>
          <cell r="B2429" t="str">
            <v>Layala</v>
          </cell>
        </row>
        <row r="2430">
          <cell r="A2430" t="str">
            <v>su60704-bla-000259-0702-53</v>
          </cell>
          <cell r="B2430" t="str">
            <v>BlackOut</v>
          </cell>
        </row>
        <row r="2431">
          <cell r="A2431" t="str">
            <v>clstdai-sof-sdai-p30-sn0800</v>
          </cell>
          <cell r="B2431" t="str">
            <v>Soflens</v>
          </cell>
        </row>
        <row r="2432">
          <cell r="A2432" t="str">
            <v>clstdai-dai-tot1-p30-sn0700</v>
          </cell>
          <cell r="B2432" t="str">
            <v>Dailies</v>
          </cell>
        </row>
        <row r="2433">
          <cell r="A2433" t="str">
            <v>sw100104-bla-000357-0104-49</v>
          </cell>
          <cell r="B2433" t="str">
            <v>BlackOut</v>
          </cell>
        </row>
        <row r="2434">
          <cell r="A2434" t="str">
            <v>sw70202-bla-000257-0202-57</v>
          </cell>
          <cell r="B2434" t="str">
            <v>BlackOut</v>
          </cell>
        </row>
        <row r="2435">
          <cell r="A2435" t="str">
            <v>costdai-ama-dail-p10-honey-sn0575</v>
          </cell>
          <cell r="B2435" t="str">
            <v>Amara</v>
          </cell>
        </row>
        <row r="2436">
          <cell r="A2436" t="str">
            <v>cost3mo-lay-lens-p02-crystal-brown-sn0600</v>
          </cell>
          <cell r="B2436" t="str">
            <v>Layala</v>
          </cell>
        </row>
        <row r="2437">
          <cell r="A2437" t="str">
            <v>cost3mo-lay-lens-p02-golden-brown-sn0200</v>
          </cell>
          <cell r="B2437" t="str">
            <v>Layala</v>
          </cell>
        </row>
        <row r="2438">
          <cell r="A2438" t="str">
            <v>cost3mo-lay-2022-p02-royal-green-sn0275</v>
          </cell>
          <cell r="B2438" t="str">
            <v>Layala</v>
          </cell>
        </row>
        <row r="2439">
          <cell r="A2439" t="str">
            <v>cost3mo-lay-2021-p02-willow-green-sn0125</v>
          </cell>
          <cell r="B2439" t="str">
            <v>Layala</v>
          </cell>
        </row>
        <row r="2440">
          <cell r="A2440" t="str">
            <v>sm100707-30s-00303-0707p-52</v>
          </cell>
          <cell r="B2440" t="str">
            <v>30Sunday</v>
          </cell>
        </row>
        <row r="2441">
          <cell r="A2441" t="str">
            <v>cost3mo-lay-2022-p02-crescent-gray-sn0400</v>
          </cell>
          <cell r="B2441" t="str">
            <v>Layala</v>
          </cell>
        </row>
        <row r="2442">
          <cell r="A2442" t="str">
            <v>clstdai-acu-mois-p90-sp0575</v>
          </cell>
          <cell r="B2442" t="str">
            <v>Acuvue</v>
          </cell>
        </row>
        <row r="2443">
          <cell r="A2443" t="str">
            <v>clstdai-eve-elit-p90-sp0325</v>
          </cell>
          <cell r="B2443" t="str">
            <v>Everva</v>
          </cell>
        </row>
        <row r="2444">
          <cell r="A2444" t="str">
            <v>clstdai-eve-elit-p90-sp0225</v>
          </cell>
          <cell r="B2444" t="str">
            <v>Everva</v>
          </cell>
        </row>
        <row r="2445">
          <cell r="A2445" t="str">
            <v>sw60101-bla-000264-0101-50</v>
          </cell>
          <cell r="B2445" t="str">
            <v>BlackOut</v>
          </cell>
        </row>
        <row r="2446">
          <cell r="A2446" t="str">
            <v>costmon-ama-2022-p02-tiger-eyes-sn0250</v>
          </cell>
          <cell r="B2446" t="str">
            <v>Amara</v>
          </cell>
        </row>
        <row r="2447">
          <cell r="A2447" t="str">
            <v>fu50418-spc-000705-0418-51</v>
          </cell>
          <cell r="B2447" t="str">
            <v>Spectus</v>
          </cell>
        </row>
        <row r="2448">
          <cell r="A2448" t="str">
            <v>cost3mo-lay-lens-p02-chestnut-brown-sn0550</v>
          </cell>
          <cell r="B2448" t="str">
            <v>Layala</v>
          </cell>
        </row>
        <row r="2449">
          <cell r="A2449" t="str">
            <v>clstdai-lay-cont-p30-dazzle-black-sn0150</v>
          </cell>
          <cell r="B2449" t="str">
            <v>Layala</v>
          </cell>
        </row>
        <row r="2450">
          <cell r="A2450" t="str">
            <v>clstdai-acu-mois-p30-sp0125</v>
          </cell>
          <cell r="B2450" t="str">
            <v>Acuvue</v>
          </cell>
        </row>
        <row r="2451">
          <cell r="A2451" t="str">
            <v>clstdai-acu-mois-p90-sn0225</v>
          </cell>
          <cell r="B2451" t="str">
            <v>Acuvue</v>
          </cell>
        </row>
        <row r="2452">
          <cell r="A2452" t="str">
            <v>clstdai-sof-sdai-p30-sp0450</v>
          </cell>
          <cell r="B2452" t="str">
            <v>Soflens</v>
          </cell>
        </row>
        <row r="2453">
          <cell r="A2453" t="str">
            <v>sw40101-bla-000260-0101-52</v>
          </cell>
          <cell r="B2453" t="str">
            <v>BlackOut</v>
          </cell>
        </row>
        <row r="2454">
          <cell r="A2454" t="str">
            <v>clstdai-dai-tot1-p90-sp0200</v>
          </cell>
          <cell r="B2454" t="str">
            <v>Dailies</v>
          </cell>
        </row>
        <row r="2455">
          <cell r="A2455" t="str">
            <v>clstdai-acu-mois-p90-sp0600</v>
          </cell>
          <cell r="B2455" t="str">
            <v>Acuvue</v>
          </cell>
        </row>
        <row r="2456">
          <cell r="A2456" t="str">
            <v>clstdai-acu-omax-p30-sn1200</v>
          </cell>
          <cell r="B2456" t="str">
            <v>Acuvue</v>
          </cell>
        </row>
        <row r="2457">
          <cell r="A2457" t="str">
            <v>clstdai-sof-sdai-p90-sn0650</v>
          </cell>
          <cell r="B2457" t="str">
            <v>Soflens</v>
          </cell>
        </row>
        <row r="2458">
          <cell r="A2458" t="str">
            <v>sc20207-bab-000501-2807-46</v>
          </cell>
          <cell r="B2458" t="str">
            <v>Babamio</v>
          </cell>
        </row>
        <row r="2459">
          <cell r="A2459" t="str">
            <v>clstdai-dai-tot1-p30-sp0600</v>
          </cell>
          <cell r="B2459" t="str">
            <v>Dailies</v>
          </cell>
        </row>
        <row r="2460">
          <cell r="A2460" t="str">
            <v>clstmon-sof-sl59-p06-sn0100</v>
          </cell>
          <cell r="B2460" t="str">
            <v>Soflens</v>
          </cell>
        </row>
        <row r="2461">
          <cell r="A2461" t="str">
            <v>sw32504-30s-000124-2504-51</v>
          </cell>
          <cell r="B2461" t="str">
            <v>30Sunday</v>
          </cell>
        </row>
        <row r="2462">
          <cell r="A2462" t="str">
            <v>costdai-acu-dffr-p10-green-sn0375</v>
          </cell>
          <cell r="B2462" t="str">
            <v>Acuvue</v>
          </cell>
        </row>
        <row r="2463">
          <cell r="A2463" t="str">
            <v>clstdai-acu-dfrb-p60-sn0400</v>
          </cell>
          <cell r="B2463" t="str">
            <v>Acuvue</v>
          </cell>
        </row>
        <row r="2464">
          <cell r="A2464" t="str">
            <v>clstdai-dai-tot1-p30-sp0325</v>
          </cell>
          <cell r="B2464" t="str">
            <v>Dailies</v>
          </cell>
        </row>
        <row r="2465">
          <cell r="A2465" t="str">
            <v>clstdai-lay-cont-p90-dazzle-black-sn0150</v>
          </cell>
          <cell r="B2465" t="str">
            <v>Layala</v>
          </cell>
        </row>
        <row r="2466">
          <cell r="A2466" t="str">
            <v>clstdai-acu-oasy-p90-sn0850</v>
          </cell>
          <cell r="B2466" t="str">
            <v>Acuvue</v>
          </cell>
        </row>
        <row r="2467">
          <cell r="A2467" t="str">
            <v>sc40606-bab-000515-0606d-46</v>
          </cell>
          <cell r="B2467" t="str">
            <v>Babamio</v>
          </cell>
        </row>
        <row r="2468">
          <cell r="A2468" t="str">
            <v>clstdai-acu-omax-p30-sn0600</v>
          </cell>
          <cell r="B2468" t="str">
            <v>Acuvue</v>
          </cell>
        </row>
        <row r="2469">
          <cell r="A2469" t="str">
            <v>sc20807-bab-000500-0807-40</v>
          </cell>
          <cell r="B2469" t="str">
            <v>Babamio</v>
          </cell>
        </row>
        <row r="2470">
          <cell r="A2470" t="str">
            <v>clstdai-eve-elit-p90-sn1200</v>
          </cell>
          <cell r="B2470" t="str">
            <v>Everva</v>
          </cell>
        </row>
        <row r="2471">
          <cell r="A2471" t="str">
            <v>costdai-acu-dffr-p10-grayzel-sn0075</v>
          </cell>
          <cell r="B2471" t="str">
            <v>Acuvue</v>
          </cell>
        </row>
        <row r="2472">
          <cell r="A2472" t="str">
            <v>clstdai-acu-mois-p90-sn1100</v>
          </cell>
          <cell r="B2472" t="str">
            <v>Acuvue</v>
          </cell>
        </row>
        <row r="2473">
          <cell r="A2473" t="str">
            <v>clstdai-acu-dfna-p30-sn0450</v>
          </cell>
          <cell r="B2473" t="str">
            <v>Acuvue</v>
          </cell>
        </row>
        <row r="2474">
          <cell r="A2474" t="str">
            <v>clstdai-acu-dfna-p30-sn0500</v>
          </cell>
          <cell r="B2474" t="str">
            <v>Acuvue</v>
          </cell>
        </row>
        <row r="2475">
          <cell r="A2475" t="str">
            <v>clstdai-acu-dfvi-p60-sn0400</v>
          </cell>
          <cell r="B2475" t="str">
            <v>Acuvue</v>
          </cell>
        </row>
        <row r="2476">
          <cell r="A2476" t="str">
            <v>clstdai-acu-oasy-p30-sn0550</v>
          </cell>
          <cell r="B2476" t="str">
            <v>Acuvue</v>
          </cell>
        </row>
        <row r="2477">
          <cell r="A2477" t="str">
            <v>sacchan-30s-chain133-wht-ivy-white</v>
          </cell>
          <cell r="B2477" t="str">
            <v>30Sunday</v>
          </cell>
        </row>
        <row r="2478">
          <cell r="A2478" t="str">
            <v>cost3mo-lay-2021-p02-stardust-gray-sn0375</v>
          </cell>
          <cell r="B2478" t="str">
            <v>Layala</v>
          </cell>
        </row>
        <row r="2479">
          <cell r="A2479" t="str">
            <v>clstdai-eve-elit-p90-sp0550</v>
          </cell>
          <cell r="B2479" t="str">
            <v>Everva</v>
          </cell>
        </row>
        <row r="2480">
          <cell r="A2480" t="str">
            <v>sc20607-bab-000240-0607-42</v>
          </cell>
          <cell r="B2480" t="str">
            <v>Babamio</v>
          </cell>
        </row>
        <row r="2481">
          <cell r="A2481" t="str">
            <v>clstdai-acu-oasy-p90-sp0425</v>
          </cell>
          <cell r="B2481" t="str">
            <v>Acuvue</v>
          </cell>
        </row>
        <row r="2482">
          <cell r="A2482" t="str">
            <v>sunglasses-30Sundays-30s-000451-0107</v>
          </cell>
          <cell r="B2482" t="str">
            <v>30Sunday</v>
          </cell>
        </row>
        <row r="2483">
          <cell r="A2483" t="str">
            <v>costdai-acu-dffr-p10-honey-sn0125</v>
          </cell>
          <cell r="B2483" t="str">
            <v>Acuvue</v>
          </cell>
        </row>
        <row r="2484">
          <cell r="A2484" t="str">
            <v>clstmon-sof-sl59-p06-sn0275</v>
          </cell>
          <cell r="B2484" t="str">
            <v>Soflens</v>
          </cell>
        </row>
        <row r="2485">
          <cell r="A2485" t="str">
            <v>clstdai-acu-mois-p60-sn0225</v>
          </cell>
          <cell r="B2485" t="str">
            <v>Acuvue</v>
          </cell>
        </row>
        <row r="2486">
          <cell r="A2486" t="str">
            <v>clstbiw-acu-0002-p06-sn1200</v>
          </cell>
          <cell r="B2486" t="str">
            <v>Acuvue</v>
          </cell>
        </row>
        <row r="2487">
          <cell r="A2487" t="str">
            <v>clstdai-acu-dfrb-p90-sn0325</v>
          </cell>
          <cell r="B2487" t="str">
            <v>Acuvue</v>
          </cell>
        </row>
        <row r="2488">
          <cell r="A2488" t="str">
            <v>sw30404-30s-000108-0404-52</v>
          </cell>
          <cell r="B2488" t="str">
            <v>30Sunday</v>
          </cell>
        </row>
        <row r="2489">
          <cell r="A2489" t="str">
            <v>clstdai-acu-dfrb-p60-sn0600</v>
          </cell>
          <cell r="B2489" t="str">
            <v>Acuvue</v>
          </cell>
        </row>
        <row r="2490">
          <cell r="A2490" t="str">
            <v>cost3mo-lay-2025-p02-emerald-glow-sn0575</v>
          </cell>
          <cell r="B2490" t="str">
            <v>Layala</v>
          </cell>
        </row>
        <row r="2491">
          <cell r="A2491" t="str">
            <v>fw20218-spc-000505-0200-50</v>
          </cell>
          <cell r="B2491" t="str">
            <v>Spectus</v>
          </cell>
        </row>
        <row r="2492">
          <cell r="A2492" t="str">
            <v>cost3mo-lay-2025-p02-desert-topaz-sn0100</v>
          </cell>
          <cell r="B2492" t="str">
            <v>Layala</v>
          </cell>
        </row>
        <row r="2493">
          <cell r="A2493" t="str">
            <v>clstbiw-acu-oasy-p06-sn0525</v>
          </cell>
          <cell r="B2493" t="str">
            <v>Acuvue</v>
          </cell>
        </row>
        <row r="2494">
          <cell r="A2494" t="str">
            <v>clstdai-lay-cont-p30-dazzle-black-sp0000</v>
          </cell>
          <cell r="B2494" t="str">
            <v>Layala</v>
          </cell>
        </row>
        <row r="2495">
          <cell r="A2495" t="str">
            <v>cltodai-acu-mois-p30-sn0575-cn0075-a160</v>
          </cell>
          <cell r="B2495" t="str">
            <v>Acuvue</v>
          </cell>
        </row>
        <row r="2496">
          <cell r="A2496" t="str">
            <v>clstdai-acu-dfrb-p30-sn0375</v>
          </cell>
          <cell r="B2496" t="str">
            <v>Acuvue</v>
          </cell>
        </row>
        <row r="2497">
          <cell r="A2497" t="str">
            <v>costdai-acu-dffr-p10-hazel-sn0350</v>
          </cell>
          <cell r="B2497" t="str">
            <v>Acuvue</v>
          </cell>
        </row>
        <row r="2498">
          <cell r="A2498" t="str">
            <v>clstdai-acu-mois-p30-sn1000</v>
          </cell>
          <cell r="B2498" t="str">
            <v>Acuvue</v>
          </cell>
        </row>
        <row r="2499">
          <cell r="A2499" t="str">
            <v>costmon-ama-lens-p02-dark-sepia-sn0575</v>
          </cell>
          <cell r="B2499" t="str">
            <v>Amara</v>
          </cell>
        </row>
        <row r="2500">
          <cell r="A2500" t="str">
            <v>clstdai-dai-aqua-p30-sn0100</v>
          </cell>
          <cell r="B2500" t="str">
            <v>Dailies</v>
          </cell>
        </row>
        <row r="2501">
          <cell r="A2501" t="str">
            <v>su20707-30s-000206-0707p-52</v>
          </cell>
          <cell r="B2501" t="str">
            <v>30Sunday</v>
          </cell>
        </row>
        <row r="2502">
          <cell r="A2502" t="str">
            <v>su20707-30s-000446-0707-52</v>
          </cell>
          <cell r="B2502" t="str">
            <v>30Sunday</v>
          </cell>
        </row>
        <row r="2503">
          <cell r="A2503" t="str">
            <v>clstdai-lay-cont-p10-dazzle-brown-sn0150</v>
          </cell>
          <cell r="B2503" t="str">
            <v>Layala</v>
          </cell>
        </row>
        <row r="2504">
          <cell r="A2504" t="str">
            <v>clstdai-sof-sdai-p90-sn0200</v>
          </cell>
          <cell r="B2504" t="str">
            <v>Soflens</v>
          </cell>
        </row>
        <row r="2505">
          <cell r="A2505" t="str">
            <v>cltodai-acu-mois-p30-sn0050-cn0075-a010</v>
          </cell>
          <cell r="B2505" t="str">
            <v>Acuvue</v>
          </cell>
        </row>
        <row r="2506">
          <cell r="A2506" t="str">
            <v>sw100104-bla-000351-0104-52</v>
          </cell>
          <cell r="B2506" t="str">
            <v>BlackOut</v>
          </cell>
        </row>
        <row r="2507">
          <cell r="A2507" t="str">
            <v>sm50207-30s-000220-0207-55</v>
          </cell>
          <cell r="B2507" t="str">
            <v>30Sunday</v>
          </cell>
        </row>
        <row r="2508">
          <cell r="A2508" t="str">
            <v>cost3mo-lay-2022-p02-avena-brown-sn0225</v>
          </cell>
          <cell r="B2508" t="str">
            <v>Layala</v>
          </cell>
        </row>
        <row r="2509">
          <cell r="A2509" t="str">
            <v>clstdai-acu-mois-p90-sp0050</v>
          </cell>
          <cell r="B2509" t="str">
            <v>Acuvue</v>
          </cell>
        </row>
        <row r="2510">
          <cell r="A2510" t="str">
            <v>cost3mo-lay-2022-p02-cosmo-gray-sn0275</v>
          </cell>
          <cell r="B2510" t="str">
            <v>Layala</v>
          </cell>
        </row>
        <row r="2511">
          <cell r="A2511" t="str">
            <v>cost3mo-lay-2020-p02-hazel-brown-sn0250</v>
          </cell>
          <cell r="B2511" t="str">
            <v>Layala</v>
          </cell>
        </row>
        <row r="2512">
          <cell r="A2512" t="str">
            <v>cltodai-acu-mois-p30-sn0475-cn0075-a020</v>
          </cell>
          <cell r="B2512" t="str">
            <v>Acuvue</v>
          </cell>
        </row>
        <row r="2513">
          <cell r="A2513" t="str">
            <v>clstdai-acu-dfrb-p30-sn0575</v>
          </cell>
          <cell r="B2513" t="str">
            <v>Acuvue</v>
          </cell>
        </row>
        <row r="2514">
          <cell r="A2514" t="str">
            <v>cost3mo-lay-2022-p02-cosmo-gray-sn0325</v>
          </cell>
          <cell r="B2514" t="str">
            <v>Layala</v>
          </cell>
        </row>
        <row r="2515">
          <cell r="A2515" t="str">
            <v>sw50701-bla-000229-0701-59</v>
          </cell>
          <cell r="B2515" t="str">
            <v>BlackOut</v>
          </cell>
        </row>
        <row r="2516">
          <cell r="A2516" t="str">
            <v>costdai-acu-dffr-p30-honey-sn0525</v>
          </cell>
          <cell r="B2516" t="str">
            <v>Acuvue</v>
          </cell>
        </row>
        <row r="2517">
          <cell r="A2517" t="str">
            <v>clstdai-btr-oned-p90-sn0400</v>
          </cell>
          <cell r="B2517" t="str">
            <v>Biotrue</v>
          </cell>
        </row>
        <row r="2518">
          <cell r="A2518" t="str">
            <v>cost3mo-lay-lens-p02-golden-brown-sn0325</v>
          </cell>
          <cell r="B2518" t="str">
            <v>Layala</v>
          </cell>
        </row>
        <row r="2519">
          <cell r="A2519" t="str">
            <v>clstbiw-acu-oasy-p18-sn0450</v>
          </cell>
          <cell r="B2519" t="str">
            <v>Acuvue</v>
          </cell>
        </row>
        <row r="2520">
          <cell r="A2520" t="str">
            <v>sw30404-30s-000122-0404-53</v>
          </cell>
          <cell r="B2520" t="str">
            <v>30Sunday</v>
          </cell>
        </row>
        <row r="2521">
          <cell r="A2521" t="str">
            <v>clstdai-acu-omax-p30-sp0375</v>
          </cell>
          <cell r="B2521" t="str">
            <v>Acuvue</v>
          </cell>
        </row>
        <row r="2522">
          <cell r="A2522" t="str">
            <v>clstdai-acu-oasy-p30-sn1050</v>
          </cell>
          <cell r="B2522" t="str">
            <v>Acuvue</v>
          </cell>
        </row>
        <row r="2523">
          <cell r="A2523" t="str">
            <v>clstdai-btr-oned-p30-sn0525</v>
          </cell>
          <cell r="B2523" t="str">
            <v>Biotrue</v>
          </cell>
        </row>
        <row r="2524">
          <cell r="A2524" t="str">
            <v>sacchan-30s-lola-rose-gold</v>
          </cell>
          <cell r="B2524" t="str">
            <v>30Sunday</v>
          </cell>
        </row>
        <row r="2525">
          <cell r="A2525" t="str">
            <v>costdai-acu-dffr-p10-rose-sn0600</v>
          </cell>
          <cell r="B2525" t="str">
            <v>Acuvue</v>
          </cell>
        </row>
        <row r="2526">
          <cell r="A2526" t="str">
            <v>clstdai-acu-oasy-p90-sp0125</v>
          </cell>
          <cell r="B2526" t="str">
            <v>Acuvue</v>
          </cell>
        </row>
        <row r="2527">
          <cell r="A2527" t="str">
            <v>clstdai-acu-mois-p90-sn1000</v>
          </cell>
          <cell r="B2527" t="str">
            <v>Acuvue</v>
          </cell>
        </row>
        <row r="2528">
          <cell r="A2528" t="str">
            <v>sm100606-30s-000303-0606p-52</v>
          </cell>
          <cell r="B2528" t="str">
            <v>30Sunday</v>
          </cell>
        </row>
        <row r="2529">
          <cell r="A2529" t="str">
            <v>clstbiw-acu-0002-p06-sn0850</v>
          </cell>
          <cell r="B2529" t="str">
            <v>Acuvue</v>
          </cell>
        </row>
        <row r="2530">
          <cell r="A2530" t="str">
            <v>cltodai-acu-mois-p30-sn0900-cn0125-a160</v>
          </cell>
          <cell r="B2530" t="str">
            <v>Acuvue</v>
          </cell>
        </row>
        <row r="2531">
          <cell r="A2531" t="str">
            <v>clstdai-acu-oasy-p120-sn0450</v>
          </cell>
          <cell r="B2531" t="str">
            <v>Acuvue</v>
          </cell>
        </row>
        <row r="2532">
          <cell r="A2532" t="str">
            <v>cltodai-acu-mois-p30-sn0200-cn0075-a060</v>
          </cell>
          <cell r="B2532" t="str">
            <v>Acuvue</v>
          </cell>
        </row>
        <row r="2533">
          <cell r="A2533" t="str">
            <v>clstdai-acu-mois-p90-sp0225</v>
          </cell>
          <cell r="B2533" t="str">
            <v>Acuvue</v>
          </cell>
        </row>
        <row r="2534">
          <cell r="A2534" t="str">
            <v>clstdai-acu-dfvi-p30-sn0400</v>
          </cell>
          <cell r="B2534" t="str">
            <v>Acuvue</v>
          </cell>
        </row>
        <row r="2535">
          <cell r="A2535" t="str">
            <v>clstmon-bme-bm55-p06-sn0850</v>
          </cell>
          <cell r="B2535" t="str">
            <v>Biomedics</v>
          </cell>
        </row>
        <row r="2536">
          <cell r="A2536" t="str">
            <v>clstdai-acu-mois-p90-sp0550</v>
          </cell>
          <cell r="B2536" t="str">
            <v>Acuvue</v>
          </cell>
        </row>
        <row r="2537">
          <cell r="A2537" t="str">
            <v>clstbiw-acu-0002-p06-sp0300</v>
          </cell>
          <cell r="B2537" t="str">
            <v>Acuvue</v>
          </cell>
        </row>
        <row r="2538">
          <cell r="A2538" t="str">
            <v>sm71207-30s-000252-1207-56</v>
          </cell>
          <cell r="B2538" t="str">
            <v>30Sunday</v>
          </cell>
        </row>
        <row r="2539">
          <cell r="A2539" t="str">
            <v>clstdai-acu-mois-p30-sn0500</v>
          </cell>
          <cell r="B2539" t="str">
            <v>Acuvue</v>
          </cell>
        </row>
        <row r="2540">
          <cell r="A2540" t="str">
            <v>clstdai-acu-oasy-p30-sn0150</v>
          </cell>
          <cell r="B2540" t="str">
            <v>Acuvue</v>
          </cell>
        </row>
        <row r="2541">
          <cell r="A2541" t="str">
            <v>clstbiw-acu-oasy-p06-sp0650</v>
          </cell>
          <cell r="B2541" t="str">
            <v>Acuvue</v>
          </cell>
        </row>
        <row r="2542">
          <cell r="A2542" t="str">
            <v>costmon-ama-lens-p02-dark-sepia-sn0900</v>
          </cell>
          <cell r="B2542" t="str">
            <v>Amara</v>
          </cell>
        </row>
        <row r="2543">
          <cell r="A2543" t="str">
            <v>clstdai-eve-elit-p90-sp0450</v>
          </cell>
          <cell r="B2543" t="str">
            <v>Everva</v>
          </cell>
        </row>
        <row r="2544">
          <cell r="A2544" t="str">
            <v>clstdai-lay-cont-p60-dazzle-black-sn0150</v>
          </cell>
          <cell r="B2544" t="str">
            <v>Layala</v>
          </cell>
        </row>
        <row r="2545">
          <cell r="A2545" t="str">
            <v>cost3mo-cel-natu-p01-azure-blue-sp0350</v>
          </cell>
          <cell r="B2545" t="str">
            <v>Celena</v>
          </cell>
        </row>
        <row r="2546">
          <cell r="A2546" t="str">
            <v>clstdai-acu-oasy-p90-sn0900</v>
          </cell>
          <cell r="B2546" t="str">
            <v>Acuvue</v>
          </cell>
        </row>
        <row r="2547">
          <cell r="A2547" t="str">
            <v>clstmon-bio-biof-p06-sn0250</v>
          </cell>
          <cell r="B2547" t="str">
            <v>Biofinity</v>
          </cell>
        </row>
        <row r="2548">
          <cell r="A2548" t="str">
            <v>sm101202-30s-000247-1202-57</v>
          </cell>
          <cell r="B2548" t="str">
            <v>30Sunday</v>
          </cell>
        </row>
        <row r="2549">
          <cell r="A2549" t="str">
            <v>clstdai-dai-tot1-p90-sp0375</v>
          </cell>
          <cell r="B2549" t="str">
            <v>Dailies</v>
          </cell>
        </row>
        <row r="2550">
          <cell r="A2550" t="str">
            <v>sm20707-30s-000293-0707p-52</v>
          </cell>
          <cell r="B2550" t="str">
            <v>30Sunday</v>
          </cell>
        </row>
        <row r="2551">
          <cell r="A2551" t="str">
            <v>clstdai-btr-oned-p90-sn0300</v>
          </cell>
          <cell r="B2551" t="str">
            <v>Biotrue</v>
          </cell>
        </row>
        <row r="2552">
          <cell r="A2552" t="str">
            <v>clstdai-acu-true-p30-sn0900</v>
          </cell>
          <cell r="B2552" t="str">
            <v>Acuvue</v>
          </cell>
        </row>
        <row r="2553">
          <cell r="A2553" t="str">
            <v>clstmon-sof-sl59-p06-sp0275</v>
          </cell>
          <cell r="B2553" t="str">
            <v>Soflens</v>
          </cell>
        </row>
        <row r="2554">
          <cell r="A2554" t="str">
            <v>sw30107-30s-000124-0107-51</v>
          </cell>
          <cell r="B2554" t="str">
            <v>30Sunday</v>
          </cell>
        </row>
        <row r="2555">
          <cell r="A2555" t="str">
            <v>clstdai-lay-cont-p30-dazzle-black-sn0350</v>
          </cell>
          <cell r="B2555" t="str">
            <v>Layala</v>
          </cell>
        </row>
        <row r="2556">
          <cell r="A2556" t="str">
            <v>clstdai-acu-oasy-p90-sp0225</v>
          </cell>
          <cell r="B2556" t="str">
            <v>Acuvue</v>
          </cell>
        </row>
        <row r="2557">
          <cell r="A2557" t="str">
            <v>fw52318-spc-000818-2318-55</v>
          </cell>
          <cell r="B2557" t="str">
            <v>Spectus</v>
          </cell>
        </row>
        <row r="2558">
          <cell r="A2558" t="str">
            <v>clstdai-lay-cont-p60-dazzle-black-sp0000</v>
          </cell>
          <cell r="B2558" t="str">
            <v>Layala</v>
          </cell>
        </row>
        <row r="2559">
          <cell r="A2559" t="str">
            <v>clstdai-dai-aqua-p90-sn0525</v>
          </cell>
          <cell r="B2559" t="str">
            <v>Dailies</v>
          </cell>
        </row>
        <row r="2560">
          <cell r="A2560" t="str">
            <v>sw32901-bla-000279-2901-54</v>
          </cell>
          <cell r="B2560" t="str">
            <v>BlackOut</v>
          </cell>
        </row>
        <row r="2561">
          <cell r="A2561" t="str">
            <v>cost3mo-lay-lens-p02-golden-brown-sn0400</v>
          </cell>
          <cell r="B2561" t="str">
            <v>Layala</v>
          </cell>
        </row>
        <row r="2562">
          <cell r="A2562" t="str">
            <v>clstdai-acu-omax-p90-sn0950</v>
          </cell>
          <cell r="B2562" t="str">
            <v>Acuvue</v>
          </cell>
        </row>
        <row r="2563">
          <cell r="A2563" t="str">
            <v>clstdai-acu-oasy-p90-sn0275</v>
          </cell>
          <cell r="B2563" t="str">
            <v>Acuvue</v>
          </cell>
        </row>
        <row r="2564">
          <cell r="A2564" t="str">
            <v>clstdai-lay-cont-p90-dazzle-black-sn0300</v>
          </cell>
          <cell r="B2564" t="str">
            <v>Layala</v>
          </cell>
        </row>
        <row r="2565">
          <cell r="A2565" t="str">
            <v>fw30118-spc-000723-0118-54</v>
          </cell>
          <cell r="B2565" t="str">
            <v>Spectus</v>
          </cell>
        </row>
        <row r="2566">
          <cell r="A2566" t="str">
            <v>cost3mo-lay-2021-p02-stardust-gray-sn0100</v>
          </cell>
          <cell r="B2566" t="str">
            <v>Layala</v>
          </cell>
        </row>
        <row r="2567">
          <cell r="A2567" t="str">
            <v>sw40404-30s-000123-0404-51</v>
          </cell>
          <cell r="B2567" t="str">
            <v>30Sunday</v>
          </cell>
        </row>
        <row r="2568">
          <cell r="A2568" t="str">
            <v>sm40106-30s-000502-0106-53</v>
          </cell>
          <cell r="B2568" t="str">
            <v>30Sunday</v>
          </cell>
        </row>
        <row r="2569">
          <cell r="A2569" t="str">
            <v>clstbiw-acu-oasy-p18-sn0500</v>
          </cell>
          <cell r="B2569" t="str">
            <v>Acuvue</v>
          </cell>
        </row>
        <row r="2570">
          <cell r="A2570" t="str">
            <v>sc52006-bab-000504-2006-51</v>
          </cell>
          <cell r="B2570" t="str">
            <v>Babamio</v>
          </cell>
        </row>
        <row r="2571">
          <cell r="A2571" t="str">
            <v>clstdai-acu-dfrb-p90-sn0350</v>
          </cell>
          <cell r="B2571" t="str">
            <v>Acuvue</v>
          </cell>
        </row>
        <row r="2572">
          <cell r="A2572" t="str">
            <v>clstdai-sof-sdai-p30-sp0400</v>
          </cell>
          <cell r="B2572" t="str">
            <v>Soflens</v>
          </cell>
        </row>
        <row r="2573">
          <cell r="A2573" t="str">
            <v>costdai-acu-dffr-p10-blue-sn0125</v>
          </cell>
          <cell r="B2573" t="str">
            <v>Acuvue</v>
          </cell>
        </row>
        <row r="2574">
          <cell r="A2574" t="str">
            <v>clstdai-lay-cont-p90-dazzle-brown-sn0950</v>
          </cell>
          <cell r="B2574" t="str">
            <v>Layala</v>
          </cell>
        </row>
        <row r="2575">
          <cell r="A2575" t="str">
            <v>costdai-ama-dail-p10-shadow-sp0000</v>
          </cell>
          <cell r="B2575" t="str">
            <v>Amara</v>
          </cell>
        </row>
        <row r="2576">
          <cell r="A2576" t="str">
            <v>clstdai-acu-oasy-p30-sp0250</v>
          </cell>
          <cell r="B2576" t="str">
            <v>Acuvue</v>
          </cell>
        </row>
        <row r="2577">
          <cell r="A2577" t="str">
            <v>clstdai-eve-elit-p30-sn1050</v>
          </cell>
          <cell r="B2577" t="str">
            <v>Everva</v>
          </cell>
        </row>
        <row r="2578">
          <cell r="A2578" t="str">
            <v>sw30107-bla-000243-0101-58</v>
          </cell>
          <cell r="B2578" t="str">
            <v>BlackOut</v>
          </cell>
        </row>
        <row r="2579">
          <cell r="A2579" t="str">
            <v>sm40107-bla-000339-0107-57</v>
          </cell>
          <cell r="B2579" t="str">
            <v>BlackOut</v>
          </cell>
        </row>
        <row r="2580">
          <cell r="A2580" t="str">
            <v>cost3mo-lay-2024-p02-terra-brown-sn0550</v>
          </cell>
          <cell r="B2580" t="str">
            <v>Layala</v>
          </cell>
        </row>
        <row r="2581">
          <cell r="A2581" t="str">
            <v>sw52904-bla-000229-2904-59</v>
          </cell>
          <cell r="B2581" t="str">
            <v>BlackOut</v>
          </cell>
        </row>
        <row r="2582">
          <cell r="A2582" t="str">
            <v>cltodai-acu-mois-p30-sn0550-cn0075-a010</v>
          </cell>
          <cell r="B2582" t="str">
            <v>Acuvue</v>
          </cell>
        </row>
        <row r="2583">
          <cell r="A2583" t="str">
            <v>cost3mo-lay-2021-p02-stardust-gray-sn0150</v>
          </cell>
          <cell r="B2583" t="str">
            <v>Layala</v>
          </cell>
        </row>
        <row r="2584">
          <cell r="A2584" t="str">
            <v>sm11702-30s-00443-1702p-56</v>
          </cell>
          <cell r="B2584" t="str">
            <v>30Sunday</v>
          </cell>
        </row>
        <row r="2585">
          <cell r="A2585" t="str">
            <v>clstdai-acu-mois-p60-sn0600</v>
          </cell>
          <cell r="B2585" t="str">
            <v>Acuvue</v>
          </cell>
        </row>
        <row r="2586">
          <cell r="A2586" t="str">
            <v>clstdai-lay-cont-p30-dazzle-black-sn0700</v>
          </cell>
          <cell r="B2586" t="str">
            <v>Layala</v>
          </cell>
        </row>
        <row r="2587">
          <cell r="A2587" t="str">
            <v>cost3mo-lay-2024-p02-terra-brown-sn0075</v>
          </cell>
          <cell r="B2587" t="str">
            <v>Layala</v>
          </cell>
        </row>
        <row r="2588">
          <cell r="A2588" t="str">
            <v>sw32904-bla-000250-2904-54</v>
          </cell>
          <cell r="B2588" t="str">
            <v>BlackOut</v>
          </cell>
        </row>
        <row r="2589">
          <cell r="A2589" t="str">
            <v>costdai-ama-dail-p10-shadow-sn0100</v>
          </cell>
          <cell r="B2589" t="str">
            <v>Amara</v>
          </cell>
        </row>
        <row r="2590">
          <cell r="A2590" t="str">
            <v>clstmon-eve-prom-p06-sn0375</v>
          </cell>
          <cell r="B2590" t="str">
            <v>Everva</v>
          </cell>
        </row>
        <row r="2591">
          <cell r="A2591" t="str">
            <v>clstdai-lay-cont-p10-dazzle-black-sn0250</v>
          </cell>
          <cell r="B2591" t="str">
            <v>Layala</v>
          </cell>
        </row>
        <row r="2592">
          <cell r="A2592" t="str">
            <v>clstmon-eve-prom-p06-sn0500</v>
          </cell>
          <cell r="B2592" t="str">
            <v>Everva</v>
          </cell>
        </row>
        <row r="2593">
          <cell r="A2593" t="str">
            <v>clstdai-acu-mois-p30-sn1200</v>
          </cell>
          <cell r="B2593" t="str">
            <v>Acuvue</v>
          </cell>
        </row>
        <row r="2594">
          <cell r="A2594" t="str">
            <v>sw50606-30s-000276-2102-53</v>
          </cell>
          <cell r="B2594" t="str">
            <v>30Sunday</v>
          </cell>
        </row>
        <row r="2595">
          <cell r="A2595" t="str">
            <v>costmon-ama-2020-p02-pure-hazel-sn0475</v>
          </cell>
          <cell r="B2595" t="str">
            <v>Amara</v>
          </cell>
        </row>
        <row r="2596">
          <cell r="A2596" t="str">
            <v>cost3mo-lay-2024-p02-terra-brown-sn0600</v>
          </cell>
          <cell r="B2596" t="str">
            <v>Layala</v>
          </cell>
        </row>
        <row r="2597">
          <cell r="A2597" t="str">
            <v>clstdai-acu-omax-p30-sp0425</v>
          </cell>
          <cell r="B2597" t="str">
            <v>Acuvue</v>
          </cell>
        </row>
        <row r="2598">
          <cell r="A2598" t="str">
            <v>sm20106-30s-000207-0106-53</v>
          </cell>
          <cell r="B2598" t="str">
            <v>30Sunday</v>
          </cell>
        </row>
        <row r="2599">
          <cell r="A2599" t="str">
            <v>sc20907-bab-000510-0907d-43</v>
          </cell>
          <cell r="B2599" t="str">
            <v>Babamio</v>
          </cell>
        </row>
        <row r="2600">
          <cell r="A2600" t="str">
            <v>sw60107-30s-000433-0107-52</v>
          </cell>
          <cell r="B2600" t="str">
            <v>30Sunday</v>
          </cell>
        </row>
        <row r="2601">
          <cell r="A2601" t="str">
            <v>costmon-ama-2020-p02-pure-hazel-sn0575</v>
          </cell>
          <cell r="B2601" t="str">
            <v>Amara</v>
          </cell>
        </row>
        <row r="2602">
          <cell r="A2602" t="str">
            <v>sm20101-30s-000249-0101p-53</v>
          </cell>
          <cell r="B2602" t="str">
            <v>30Sunday</v>
          </cell>
        </row>
        <row r="2603">
          <cell r="A2603" t="str">
            <v>sw31706-bla-000203-1706-56</v>
          </cell>
          <cell r="B2603" t="str">
            <v>BlackOut</v>
          </cell>
        </row>
        <row r="2604">
          <cell r="A2604" t="str">
            <v>su60502-bla-000259-0504-53</v>
          </cell>
          <cell r="B2604" t="str">
            <v>BlackOut</v>
          </cell>
        </row>
        <row r="2605">
          <cell r="A2605" t="str">
            <v>cost3mo-lay-2024-p02-terra-brown-sn0100</v>
          </cell>
          <cell r="B2605" t="str">
            <v>Layala</v>
          </cell>
        </row>
        <row r="2606">
          <cell r="A2606" t="str">
            <v>saccase-30s-case101-brn-bge-caramel-brown</v>
          </cell>
          <cell r="B2606" t="str">
            <v>30Sunday</v>
          </cell>
        </row>
        <row r="2607">
          <cell r="A2607" t="str">
            <v>fc50218-bab-000503-2818-46</v>
          </cell>
          <cell r="B2607" t="str">
            <v>Babamio</v>
          </cell>
        </row>
        <row r="2608">
          <cell r="A2608" t="str">
            <v>bc20218-bab-000502-0218-50</v>
          </cell>
          <cell r="B2608" t="str">
            <v>Babamio</v>
          </cell>
        </row>
        <row r="2609">
          <cell r="A2609" t="str">
            <v>cost3mo-lay-2021-p02-polar-gray-sn0350</v>
          </cell>
          <cell r="B2609" t="str">
            <v>Layala</v>
          </cell>
        </row>
        <row r="2610">
          <cell r="A2610" t="str">
            <v>su10404-30s-000279-0304-55</v>
          </cell>
          <cell r="B2610" t="str">
            <v>30Sunday</v>
          </cell>
        </row>
        <row r="2611">
          <cell r="A2611" t="str">
            <v>clstdai-acu-dfna-p60-sn0475</v>
          </cell>
          <cell r="B2611" t="str">
            <v>Acuvue</v>
          </cell>
        </row>
        <row r="2612">
          <cell r="A2612" t="str">
            <v>clstdai-acu-dfvi-p90-sn0550</v>
          </cell>
          <cell r="B2612" t="str">
            <v>Acuvue</v>
          </cell>
        </row>
        <row r="2613">
          <cell r="A2613" t="str">
            <v>costdai-acu-dffr-p10-honey-sn0150</v>
          </cell>
          <cell r="B2613" t="str">
            <v>Acuvue</v>
          </cell>
        </row>
        <row r="2614">
          <cell r="A2614" t="str">
            <v>clstbiw-acu-oasy-p18-sn0350</v>
          </cell>
          <cell r="B2614" t="str">
            <v>Acuvue</v>
          </cell>
        </row>
        <row r="2615">
          <cell r="A2615" t="str">
            <v>clstdai-sof-sdai-p90-sn0750</v>
          </cell>
          <cell r="B2615" t="str">
            <v>Soflens</v>
          </cell>
        </row>
        <row r="2616">
          <cell r="A2616" t="str">
            <v>cost3mo-lay-2024-p02-moon-gray-sn0325</v>
          </cell>
          <cell r="B2616" t="str">
            <v>Layala</v>
          </cell>
        </row>
        <row r="2617">
          <cell r="A2617" t="str">
            <v>saccase-30s-case102-brn-bge-caramel-brown</v>
          </cell>
          <cell r="B2617" t="str">
            <v>30Sunday</v>
          </cell>
        </row>
        <row r="2618">
          <cell r="A2618" t="str">
            <v>cost3mo-lay-lens-p02-crystal-brown-sn0175</v>
          </cell>
          <cell r="B2618" t="str">
            <v>Layala</v>
          </cell>
        </row>
        <row r="2619">
          <cell r="A2619" t="str">
            <v>sacchan-30s-cleo-tortoise</v>
          </cell>
          <cell r="B2619" t="str">
            <v>30Sunday</v>
          </cell>
        </row>
        <row r="2620">
          <cell r="A2620" t="str">
            <v>cost3mo-lay-2024-p02-moon-gray-sn0050</v>
          </cell>
          <cell r="B2620" t="str">
            <v>Layala</v>
          </cell>
        </row>
        <row r="2621">
          <cell r="A2621" t="str">
            <v>clstmon-bme-bm55-p06-sn1000</v>
          </cell>
          <cell r="B2621" t="str">
            <v>Biomedics</v>
          </cell>
        </row>
        <row r="2622">
          <cell r="A2622" t="str">
            <v>clstdai-lay-cont-p10-dazzle-black-sn0125</v>
          </cell>
          <cell r="B2622" t="str">
            <v>Layala</v>
          </cell>
        </row>
        <row r="2623">
          <cell r="A2623" t="str">
            <v>sacchan-30s-chain101-svr-fleek-silver</v>
          </cell>
          <cell r="B2623" t="str">
            <v>30Sunday</v>
          </cell>
        </row>
        <row r="2624">
          <cell r="A2624" t="str">
            <v>costdai-acu-dffr-p30-green-sn0125</v>
          </cell>
          <cell r="B2624" t="str">
            <v>Acuvue</v>
          </cell>
        </row>
        <row r="2625">
          <cell r="A2625" t="str">
            <v>sc51402-bab-000506-1402-48</v>
          </cell>
          <cell r="B2625" t="str">
            <v>Babamio</v>
          </cell>
        </row>
        <row r="2626">
          <cell r="A2626" t="str">
            <v>cltobiw-acu-oasy-p06-sn0325-cn0075-a170</v>
          </cell>
          <cell r="B2626" t="str">
            <v>Acuvue</v>
          </cell>
        </row>
        <row r="2627">
          <cell r="A2627" t="str">
            <v>clstdai-eve-elit-p90-sp0175</v>
          </cell>
          <cell r="B2627" t="str">
            <v>Everva</v>
          </cell>
        </row>
        <row r="2628">
          <cell r="A2628" t="str">
            <v>sw51307-bla-000225-1307-55</v>
          </cell>
          <cell r="B2628" t="str">
            <v>BlackOut</v>
          </cell>
        </row>
        <row r="2629">
          <cell r="A2629" t="str">
            <v>cost3mo-lay-2021-p02-willow-green-sn0225</v>
          </cell>
          <cell r="B2629" t="str">
            <v>Layala</v>
          </cell>
        </row>
        <row r="2630">
          <cell r="A2630" t="str">
            <v>cost3mo-lay-2022-p02-avena-brown-sn0275</v>
          </cell>
          <cell r="B2630" t="str">
            <v>Layala</v>
          </cell>
        </row>
        <row r="2631">
          <cell r="A2631" t="str">
            <v>clstdai-acu-dfna-p60-sn0800</v>
          </cell>
          <cell r="B2631" t="str">
            <v>Acuvue</v>
          </cell>
        </row>
        <row r="2632">
          <cell r="A2632" t="str">
            <v>clstdai-lay-cont-p30-dazzle-brown-sn0650</v>
          </cell>
          <cell r="B2632" t="str">
            <v>Layala</v>
          </cell>
        </row>
        <row r="2633">
          <cell r="A2633" t="str">
            <v>clstdai-dai-tot1-p90-sn0700</v>
          </cell>
          <cell r="B2633" t="str">
            <v>Dailies</v>
          </cell>
        </row>
        <row r="2634">
          <cell r="A2634" t="str">
            <v>sacchan-30s-chain142-wht-sky-white</v>
          </cell>
          <cell r="B2634" t="str">
            <v>30Sunday</v>
          </cell>
        </row>
        <row r="2635">
          <cell r="A2635" t="str">
            <v>su40406-bla-000278-0406-58</v>
          </cell>
          <cell r="B2635" t="str">
            <v>BlackOut</v>
          </cell>
        </row>
        <row r="2636">
          <cell r="A2636" t="str">
            <v>clstdai-acu-dfna-p90-sn0750</v>
          </cell>
          <cell r="B2636" t="str">
            <v>Acuvue</v>
          </cell>
        </row>
        <row r="2637">
          <cell r="A2637" t="str">
            <v>clstbiw-acu-oasy-p06-sn0475</v>
          </cell>
          <cell r="B2637" t="str">
            <v>Acuvue</v>
          </cell>
        </row>
        <row r="2638">
          <cell r="A2638" t="str">
            <v>sm52906-30s-000211-0106-51</v>
          </cell>
          <cell r="B2638" t="str">
            <v>30Sunday</v>
          </cell>
        </row>
        <row r="2639">
          <cell r="A2639" t="str">
            <v>clstdai-acu-mois-p30-sn0700</v>
          </cell>
          <cell r="B2639" t="str">
            <v>Acuvue</v>
          </cell>
        </row>
        <row r="2640">
          <cell r="A2640" t="str">
            <v>su100107-30s-000277-0101-52</v>
          </cell>
          <cell r="B2640" t="str">
            <v>30Sunday</v>
          </cell>
        </row>
        <row r="2641">
          <cell r="A2641" t="str">
            <v>su50107-30s-000236-0101-49</v>
          </cell>
          <cell r="B2641" t="str">
            <v>30Sunday</v>
          </cell>
        </row>
        <row r="2642">
          <cell r="A2642" t="str">
            <v>clstdai-sof-sdai-p30-sn0550</v>
          </cell>
          <cell r="B2642" t="str">
            <v>Soflens</v>
          </cell>
        </row>
        <row r="2643">
          <cell r="A2643" t="str">
            <v>clstdai-eve-elit-p30-sn0200</v>
          </cell>
          <cell r="B2643" t="str">
            <v>Everva</v>
          </cell>
        </row>
        <row r="2644">
          <cell r="A2644" t="str">
            <v>cost3mo-lay-2021-p02-willow-green-sn0450</v>
          </cell>
          <cell r="B2644" t="str">
            <v>Layala</v>
          </cell>
        </row>
        <row r="2645">
          <cell r="A2645" t="str">
            <v>clstdai-acu-oasy-p90-sn0575</v>
          </cell>
          <cell r="B2645" t="str">
            <v>Acuvue</v>
          </cell>
        </row>
        <row r="2646">
          <cell r="A2646" t="str">
            <v>cost3mo-lay-2024-p02-terra-brown-sn0350</v>
          </cell>
          <cell r="B2646" t="str">
            <v>Layala</v>
          </cell>
        </row>
        <row r="2647">
          <cell r="A2647" t="str">
            <v>sw101010-bla-000317-1010-52</v>
          </cell>
          <cell r="B2647" t="str">
            <v>BlackOut</v>
          </cell>
        </row>
        <row r="2648">
          <cell r="A2648" t="str">
            <v>sacchan-30s-luna-rose-gold</v>
          </cell>
          <cell r="B2648" t="str">
            <v>30Sunday</v>
          </cell>
        </row>
        <row r="2649">
          <cell r="A2649" t="str">
            <v>clstdai-eve-pure-p90-sn0225</v>
          </cell>
          <cell r="B2649" t="str">
            <v>Everva</v>
          </cell>
        </row>
        <row r="2650">
          <cell r="A2650" t="str">
            <v>sw30404-30s-000292-0404-54</v>
          </cell>
          <cell r="B2650" t="str">
            <v>30Sunday</v>
          </cell>
        </row>
        <row r="2651">
          <cell r="A2651" t="str">
            <v>clstdai-acu-dfna-p90-sn0075</v>
          </cell>
          <cell r="B2651" t="str">
            <v>Acuvue</v>
          </cell>
        </row>
        <row r="2652">
          <cell r="A2652" t="str">
            <v>clstdai-btr-oned-p90-sn0425</v>
          </cell>
          <cell r="B2652" t="str">
            <v>Biotrue</v>
          </cell>
        </row>
        <row r="2653">
          <cell r="A2653" t="str">
            <v>clstdai-acu-oasy-p120-sn0600</v>
          </cell>
          <cell r="B2653" t="str">
            <v>Acuvue</v>
          </cell>
        </row>
        <row r="2654">
          <cell r="A2654" t="str">
            <v>clstdai-acu-oasy-p30-sn0050</v>
          </cell>
          <cell r="B2654" t="str">
            <v>Acuvue</v>
          </cell>
        </row>
        <row r="2655">
          <cell r="A2655" t="str">
            <v>sw20107-bla-000107-0107-60</v>
          </cell>
          <cell r="B2655" t="str">
            <v>BlackOut</v>
          </cell>
        </row>
        <row r="2656">
          <cell r="A2656" t="str">
            <v>costdai-acu-dffr-p30-honey-sn0200</v>
          </cell>
          <cell r="B2656" t="str">
            <v>Acuvue</v>
          </cell>
        </row>
        <row r="2657">
          <cell r="A2657" t="str">
            <v>cost3mo-lay-2024-p02-moon-gray-sn0350</v>
          </cell>
          <cell r="B2657" t="str">
            <v>Layala</v>
          </cell>
        </row>
        <row r="2658">
          <cell r="A2658" t="str">
            <v>clstdai-acu-mois-p30-sn0125</v>
          </cell>
          <cell r="B2658" t="str">
            <v>Acuvue</v>
          </cell>
        </row>
        <row r="2659">
          <cell r="A2659" t="str">
            <v>clstdai-lay-cont-p30-dazzle-brown-sn0425</v>
          </cell>
          <cell r="B2659" t="str">
            <v>Layala</v>
          </cell>
        </row>
        <row r="2660">
          <cell r="A2660" t="str">
            <v>clstmon-bio-biof-p06-sn0550</v>
          </cell>
          <cell r="B2660" t="str">
            <v>Biofinity</v>
          </cell>
        </row>
        <row r="2661">
          <cell r="A2661" t="str">
            <v>costdai-acu-dffr-p30-hazel-sn0425</v>
          </cell>
          <cell r="B2661" t="str">
            <v>Acuvue</v>
          </cell>
        </row>
        <row r="2662">
          <cell r="A2662" t="str">
            <v>clstdai-acu-dfvi-p60-sn0500</v>
          </cell>
          <cell r="B2662" t="str">
            <v>Acuvue</v>
          </cell>
        </row>
        <row r="2663">
          <cell r="A2663" t="str">
            <v>clstdai-dai-aqua-p30-sn1000</v>
          </cell>
          <cell r="B2663" t="str">
            <v>Dailies</v>
          </cell>
        </row>
        <row r="2664">
          <cell r="A2664" t="str">
            <v>clstdai-acu-omax-p90-sp0500</v>
          </cell>
          <cell r="B2664" t="str">
            <v>Acuvue</v>
          </cell>
        </row>
        <row r="2665">
          <cell r="A2665" t="str">
            <v>fw40918-spc-000543-0900-55</v>
          </cell>
          <cell r="B2665" t="str">
            <v>Spectus</v>
          </cell>
        </row>
        <row r="2666">
          <cell r="A2666" t="str">
            <v>cltobiw-acu-oasy-p06-sn0300-cn0075-a170</v>
          </cell>
          <cell r="B2666" t="str">
            <v>Acuvue</v>
          </cell>
        </row>
        <row r="2667">
          <cell r="A2667" t="str">
            <v>fm72918-spc-000824-2918-51</v>
          </cell>
          <cell r="B2667" t="str">
            <v>Spectus</v>
          </cell>
        </row>
        <row r="2668">
          <cell r="A2668" t="str">
            <v>clstdai-btr-oned-p90-sn0200</v>
          </cell>
          <cell r="B2668" t="str">
            <v>Biotrue</v>
          </cell>
        </row>
        <row r="2669">
          <cell r="A2669" t="str">
            <v>clstdai-lay-cont-p90-dazzle-black-sn0275</v>
          </cell>
          <cell r="B2669" t="str">
            <v>Layala</v>
          </cell>
        </row>
        <row r="2670">
          <cell r="A2670" t="str">
            <v>costmon-ama-2023-p02-chai-sn0125</v>
          </cell>
          <cell r="B2670" t="str">
            <v>Amara</v>
          </cell>
        </row>
        <row r="2671">
          <cell r="A2671" t="str">
            <v>clstdai-acu-omax-p90-sp0050</v>
          </cell>
          <cell r="B2671" t="str">
            <v>Acuvue</v>
          </cell>
        </row>
        <row r="2672">
          <cell r="A2672" t="str">
            <v>clstdai-acu-dfna-p60-sn0450</v>
          </cell>
          <cell r="B2672" t="str">
            <v>Acuvue</v>
          </cell>
        </row>
        <row r="2673">
          <cell r="A2673" t="str">
            <v>clstdai-eve-pure-p90-sn0500</v>
          </cell>
          <cell r="B2673" t="str">
            <v>Everva</v>
          </cell>
        </row>
        <row r="2674">
          <cell r="A2674" t="str">
            <v>clstbiw-acu-0002-p12-sn0500</v>
          </cell>
          <cell r="B2674" t="str">
            <v>Acuvue</v>
          </cell>
        </row>
        <row r="2675">
          <cell r="A2675" t="str">
            <v>clstdai-acu-mois-p120-sn0275</v>
          </cell>
          <cell r="B2675" t="str">
            <v>Acuvue</v>
          </cell>
        </row>
        <row r="2676">
          <cell r="A2676" t="str">
            <v>clstdai-btr-oned-p90-sp0150</v>
          </cell>
          <cell r="B2676" t="str">
            <v>Biotrue</v>
          </cell>
        </row>
        <row r="2677">
          <cell r="A2677" t="str">
            <v>costmon-ama-2022-p02-dream-sn0700</v>
          </cell>
          <cell r="B2677" t="str">
            <v>Amara</v>
          </cell>
        </row>
        <row r="2678">
          <cell r="A2678" t="str">
            <v>cost3mo-cel-natu-p01-hazelwood-sp0300</v>
          </cell>
          <cell r="B2678" t="str">
            <v>Celena</v>
          </cell>
        </row>
        <row r="2679">
          <cell r="A2679" t="str">
            <v>costmon-ama-2024-p02-matcha-sn0525</v>
          </cell>
          <cell r="B2679" t="str">
            <v>Amara</v>
          </cell>
        </row>
        <row r="2680">
          <cell r="A2680" t="str">
            <v>clstdai-eve-elit-p30-sn0525</v>
          </cell>
          <cell r="B2680" t="str">
            <v>Everva</v>
          </cell>
        </row>
        <row r="2681">
          <cell r="A2681" t="str">
            <v>clstdai-acu-dfvi-p30-sn0050</v>
          </cell>
          <cell r="B2681" t="str">
            <v>Acuvue</v>
          </cell>
        </row>
        <row r="2682">
          <cell r="A2682" t="str">
            <v>costdai-acu-dffr-p10-grayzel-sn0525</v>
          </cell>
          <cell r="B2682" t="str">
            <v>Acuvue</v>
          </cell>
        </row>
        <row r="2683">
          <cell r="A2683" t="str">
            <v>costmon-ama-lens-p02-mocca-sn0150</v>
          </cell>
          <cell r="B2683" t="str">
            <v>Amara</v>
          </cell>
        </row>
        <row r="2684">
          <cell r="A2684" t="str">
            <v>costmon-ama-2024-p02-barbie-brown-sn0275</v>
          </cell>
          <cell r="B2684" t="str">
            <v>Amara</v>
          </cell>
        </row>
        <row r="2685">
          <cell r="A2685" t="str">
            <v>fu70118-spc-000637-0118-52</v>
          </cell>
          <cell r="B2685" t="str">
            <v>Spectus</v>
          </cell>
        </row>
        <row r="2686">
          <cell r="A2686" t="str">
            <v>su52907-30s-00448-2907p-51</v>
          </cell>
          <cell r="B2686" t="str">
            <v>30Sunday</v>
          </cell>
        </row>
        <row r="2687">
          <cell r="A2687" t="str">
            <v>cost3mo-lay-2020-p02-ash-gray-sp0000</v>
          </cell>
          <cell r="B2687" t="str">
            <v>Layala</v>
          </cell>
        </row>
        <row r="2688">
          <cell r="A2688" t="str">
            <v>costdai-ama-dail-p10-moon-stone-sp0000</v>
          </cell>
          <cell r="B2688" t="str">
            <v>Amara</v>
          </cell>
        </row>
        <row r="2689">
          <cell r="A2689" t="str">
            <v>cost3mo-cel-natu-p01-forest-green-sp0200</v>
          </cell>
          <cell r="B2689" t="str">
            <v>Celena</v>
          </cell>
        </row>
        <row r="2690">
          <cell r="A2690" t="str">
            <v>cost3mo-lay-2022-p02-sage-gray-sp0000</v>
          </cell>
          <cell r="B2690" t="str">
            <v>Layala</v>
          </cell>
        </row>
        <row r="2691">
          <cell r="A2691" t="str">
            <v>sw60107-bla-000324-0107-52</v>
          </cell>
          <cell r="B2691" t="str">
            <v>BlackOut</v>
          </cell>
        </row>
        <row r="2692">
          <cell r="A2692" t="str">
            <v>clstdai-lay-cont-p90-dazzle-brown-sn0175</v>
          </cell>
          <cell r="B2692" t="str">
            <v>Layala</v>
          </cell>
        </row>
        <row r="2693">
          <cell r="A2693" t="str">
            <v>sw30107-30s-000258-0107-54</v>
          </cell>
          <cell r="B2693" t="str">
            <v>30Sunday</v>
          </cell>
        </row>
        <row r="2694">
          <cell r="A2694" t="str">
            <v>clstdai-dai-tot1-p90-sn0575</v>
          </cell>
          <cell r="B2694" t="str">
            <v>Dailies</v>
          </cell>
        </row>
        <row r="2695">
          <cell r="A2695" t="str">
            <v>sw61107-bla-000324-1107-52</v>
          </cell>
          <cell r="B2695" t="str">
            <v>BlackOut</v>
          </cell>
        </row>
        <row r="2696">
          <cell r="A2696" t="str">
            <v>sw42904-bla-000246-2904-58</v>
          </cell>
          <cell r="B2696" t="str">
            <v>BlackOut</v>
          </cell>
        </row>
        <row r="2697">
          <cell r="A2697" t="str">
            <v>costdai-acu-dffr-p10-green-sn0050</v>
          </cell>
          <cell r="B2697" t="str">
            <v>Acuvue</v>
          </cell>
        </row>
        <row r="2698">
          <cell r="A2698" t="str">
            <v>clstdai-eve-pure-p30-sn0850</v>
          </cell>
          <cell r="B2698" t="str">
            <v>Everva</v>
          </cell>
        </row>
        <row r="2699">
          <cell r="A2699" t="str">
            <v>clstdai-lay-cont-p60-dazzle-black-sn1000</v>
          </cell>
          <cell r="B2699" t="str">
            <v>Layala</v>
          </cell>
        </row>
        <row r="2700">
          <cell r="A2700" t="str">
            <v>fw30418-spc-000556-0400-53</v>
          </cell>
          <cell r="B2700" t="str">
            <v>Spectus</v>
          </cell>
        </row>
        <row r="2701">
          <cell r="A2701" t="str">
            <v>clstbiw-acu-oasy-p06-sp0100</v>
          </cell>
          <cell r="B2701" t="str">
            <v>Acuvue</v>
          </cell>
        </row>
        <row r="2702">
          <cell r="A2702" t="str">
            <v>cost3mo-lay-lens-p02-platinum-gray-sn0575</v>
          </cell>
          <cell r="B2702" t="str">
            <v>Layala</v>
          </cell>
        </row>
        <row r="2703">
          <cell r="A2703" t="str">
            <v>clstdai-acu-oasy-p120-sn0475</v>
          </cell>
          <cell r="B2703" t="str">
            <v>Acuvue</v>
          </cell>
        </row>
        <row r="2704">
          <cell r="A2704" t="str">
            <v>sw20504-30s-000226-0504-54</v>
          </cell>
          <cell r="B2704" t="str">
            <v>30Sunday</v>
          </cell>
        </row>
        <row r="2705">
          <cell r="A2705" t="str">
            <v>sw101202-bla-000352-1202-52</v>
          </cell>
          <cell r="B2705" t="str">
            <v>BlackOut</v>
          </cell>
        </row>
        <row r="2706">
          <cell r="A2706" t="str">
            <v>sw100707-bla-000321-0707-52</v>
          </cell>
          <cell r="B2706" t="str">
            <v>BlackOut</v>
          </cell>
        </row>
        <row r="2707">
          <cell r="A2707" t="str">
            <v>clstdai-btr-oned-p30-sp0325</v>
          </cell>
          <cell r="B2707" t="str">
            <v>Biotrue</v>
          </cell>
        </row>
        <row r="2708">
          <cell r="A2708" t="str">
            <v>sw50904-bla-000101-2404-62</v>
          </cell>
          <cell r="B2708" t="str">
            <v>BlackOut</v>
          </cell>
        </row>
        <row r="2709">
          <cell r="A2709" t="str">
            <v>costdai-ama-dail-p10-shadow-sn0575</v>
          </cell>
          <cell r="B2709" t="str">
            <v>Amara</v>
          </cell>
        </row>
        <row r="2710">
          <cell r="A2710" t="str">
            <v>sc50607-bab-000506-0607-48</v>
          </cell>
          <cell r="B2710" t="str">
            <v>Babamio</v>
          </cell>
        </row>
        <row r="2711">
          <cell r="A2711" t="str">
            <v>costmon-ama-2020-p02-charcoal-gray-sp0000</v>
          </cell>
          <cell r="B2711" t="str">
            <v>Amara</v>
          </cell>
        </row>
        <row r="2712">
          <cell r="A2712" t="str">
            <v>fw52418-spc-000569-2418-54</v>
          </cell>
          <cell r="B2712" t="str">
            <v>Spectus</v>
          </cell>
        </row>
        <row r="2713">
          <cell r="A2713" t="str">
            <v>clstdai-acu-oasy-p30-sn0200</v>
          </cell>
          <cell r="B2713" t="str">
            <v>Acuvue</v>
          </cell>
        </row>
        <row r="2714">
          <cell r="A2714" t="str">
            <v>clstdai-lay-cont-p10-dazzle-brown-sn0050</v>
          </cell>
          <cell r="B2714" t="str">
            <v>Layala</v>
          </cell>
        </row>
        <row r="2715">
          <cell r="A2715" t="str">
            <v>fw20218-spc-000653-0218-47</v>
          </cell>
          <cell r="B2715" t="str">
            <v>Spectus</v>
          </cell>
        </row>
        <row r="2716">
          <cell r="A2716" t="str">
            <v>clstdai-lay-cont-p30-dazzle-brown-sn0075</v>
          </cell>
          <cell r="B2716" t="str">
            <v>Layala</v>
          </cell>
        </row>
        <row r="2717">
          <cell r="A2717" t="str">
            <v>clstdai-eve-elit-p90-sn0225</v>
          </cell>
          <cell r="B2717" t="str">
            <v>Everva</v>
          </cell>
        </row>
        <row r="2718">
          <cell r="A2718" t="str">
            <v>costdai-ama-dail-p10-amber-sn0750</v>
          </cell>
          <cell r="B2718" t="str">
            <v>Amara</v>
          </cell>
        </row>
        <row r="2719">
          <cell r="A2719" t="str">
            <v>clstdai-acu-omax-p90-sn0525</v>
          </cell>
          <cell r="B2719" t="str">
            <v>Acuvue</v>
          </cell>
        </row>
        <row r="2720">
          <cell r="A2720" t="str">
            <v>costmon-ama-2022-p02-dream-sn0350</v>
          </cell>
          <cell r="B2720" t="str">
            <v>Amara</v>
          </cell>
        </row>
        <row r="2721">
          <cell r="A2721" t="str">
            <v>clstdai-acu-oasy-p30-sn0325</v>
          </cell>
          <cell r="B2721" t="str">
            <v>Acuvue</v>
          </cell>
        </row>
        <row r="2722">
          <cell r="A2722" t="str">
            <v>clstdai-acu-dfvi-p30-sn0175</v>
          </cell>
          <cell r="B2722" t="str">
            <v>Acuvue</v>
          </cell>
        </row>
        <row r="2723">
          <cell r="A2723" t="str">
            <v>sacchan-30s-deja-silver</v>
          </cell>
          <cell r="B2723" t="str">
            <v>30Sunday</v>
          </cell>
        </row>
        <row r="2724">
          <cell r="A2724" t="str">
            <v>cost3mo-lay-lens-p02-forest-green-sn0325</v>
          </cell>
          <cell r="B2724" t="str">
            <v>Layala</v>
          </cell>
        </row>
        <row r="2725">
          <cell r="A2725" t="str">
            <v>clstdai-lay-cont-p30-dazzle-black-sn0250</v>
          </cell>
          <cell r="B2725" t="str">
            <v>Layala</v>
          </cell>
        </row>
        <row r="2726">
          <cell r="A2726" t="str">
            <v>clstdai-acu-mois-p30-sn0350</v>
          </cell>
          <cell r="B2726" t="str">
            <v>Acuvue</v>
          </cell>
        </row>
        <row r="2727">
          <cell r="A2727" t="str">
            <v>bc70118-bab-000513-0118-46</v>
          </cell>
          <cell r="B2727" t="str">
            <v>Babamio</v>
          </cell>
        </row>
        <row r="2728">
          <cell r="A2728" t="str">
            <v>sm51302-30s-000234-1302-48</v>
          </cell>
          <cell r="B2728" t="str">
            <v>30Sunday</v>
          </cell>
        </row>
        <row r="2729">
          <cell r="A2729" t="str">
            <v>clstdai-acu-mois-p60-sn0850</v>
          </cell>
          <cell r="B2729" t="str">
            <v>Acuvue</v>
          </cell>
        </row>
        <row r="2730">
          <cell r="A2730" t="str">
            <v>cost3mo-lay-2022-p02-cosmo-gray-sn0150</v>
          </cell>
          <cell r="B2730" t="str">
            <v>Layala</v>
          </cell>
        </row>
        <row r="2731">
          <cell r="A2731" t="str">
            <v>clstmon-bme-bm55-p06-sn0350</v>
          </cell>
          <cell r="B2731" t="str">
            <v>Biomedics</v>
          </cell>
        </row>
        <row r="2732">
          <cell r="A2732" t="str">
            <v>costmon-ama-2024-p02-matcha-sn0200</v>
          </cell>
          <cell r="B2732" t="str">
            <v>Amara</v>
          </cell>
        </row>
        <row r="2733">
          <cell r="A2733" t="str">
            <v>costdai-acu-dffr-p10-green-sn0125</v>
          </cell>
          <cell r="B2733" t="str">
            <v>Acuvue</v>
          </cell>
        </row>
        <row r="2734">
          <cell r="A2734" t="str">
            <v>cltobiw-acu-oasy-p06-sn0025-cn0125-a170</v>
          </cell>
          <cell r="B2734" t="str">
            <v>Acuvue</v>
          </cell>
        </row>
        <row r="2735">
          <cell r="A2735" t="str">
            <v>clstdai-lay-cont-p90-dazzle-brown-sn0300</v>
          </cell>
          <cell r="B2735" t="str">
            <v>Layala</v>
          </cell>
        </row>
        <row r="2736">
          <cell r="A2736" t="str">
            <v>clstdai-sof-sdai-p30-sn0475</v>
          </cell>
          <cell r="B2736" t="str">
            <v>Soflens</v>
          </cell>
        </row>
        <row r="2737">
          <cell r="A2737" t="str">
            <v>costdai-acu-dffr-p10-grayzel-sn0225</v>
          </cell>
          <cell r="B2737" t="str">
            <v>Acuvue</v>
          </cell>
        </row>
        <row r="2738">
          <cell r="A2738" t="str">
            <v>cost3mo-lay-lens-p02-golden-brown-sn0550</v>
          </cell>
          <cell r="B2738" t="str">
            <v>Layala</v>
          </cell>
        </row>
        <row r="2739">
          <cell r="A2739" t="str">
            <v>clstdai-acu-dfvi-p30-sn0850</v>
          </cell>
          <cell r="B2739" t="str">
            <v>Acuvue</v>
          </cell>
        </row>
        <row r="2740">
          <cell r="A2740" t="str">
            <v>clstdai-dai-tot1-p30-sp0300</v>
          </cell>
          <cell r="B2740" t="str">
            <v>Dailies</v>
          </cell>
        </row>
        <row r="2741">
          <cell r="A2741" t="str">
            <v>cost3mo-lay-lens-p02-forest-green-sp0000</v>
          </cell>
          <cell r="B2741" t="str">
            <v>Layala</v>
          </cell>
        </row>
        <row r="2742">
          <cell r="A2742" t="str">
            <v>clstdai-acu-omax-p90-sp0475</v>
          </cell>
          <cell r="B2742" t="str">
            <v>Acuvue</v>
          </cell>
        </row>
        <row r="2743">
          <cell r="A2743" t="str">
            <v>clstdai-acu-dfrb-p90-sn0275</v>
          </cell>
          <cell r="B2743" t="str">
            <v>Acuvue</v>
          </cell>
        </row>
        <row r="2744">
          <cell r="A2744" t="str">
            <v>clstdai-lay-cont-p30-dazzle-brown-sn0225</v>
          </cell>
          <cell r="B2744" t="str">
            <v>Layala</v>
          </cell>
        </row>
        <row r="2745">
          <cell r="A2745" t="str">
            <v>fc50218-bab-000504-0218-51</v>
          </cell>
          <cell r="B2745" t="str">
            <v>Babamio</v>
          </cell>
        </row>
        <row r="2746">
          <cell r="A2746" t="str">
            <v>sw30504-bla-000203-2904-59</v>
          </cell>
          <cell r="B2746" t="str">
            <v>BlackOut</v>
          </cell>
        </row>
        <row r="2747">
          <cell r="A2747" t="str">
            <v>costmon-ama-2024-p02-nmr-sn0100</v>
          </cell>
          <cell r="B2747" t="str">
            <v>Amara</v>
          </cell>
        </row>
        <row r="2748">
          <cell r="A2748" t="str">
            <v>costdai-acu-dffr-p10-green-sn0175</v>
          </cell>
          <cell r="B2748" t="str">
            <v>Acuvue</v>
          </cell>
        </row>
        <row r="2749">
          <cell r="A2749" t="str">
            <v>clstdai-eve-elit-p90-sp0700</v>
          </cell>
          <cell r="B2749" t="str">
            <v>Everva</v>
          </cell>
        </row>
        <row r="2750">
          <cell r="A2750" t="str">
            <v>clstdai-acu-dfna-p60-sn0575</v>
          </cell>
          <cell r="B2750" t="str">
            <v>Acuvue</v>
          </cell>
        </row>
        <row r="2751">
          <cell r="A2751" t="str">
            <v>clstmon-ava-avai-p06-sn0525</v>
          </cell>
          <cell r="B2751" t="str">
            <v>Avaira</v>
          </cell>
        </row>
        <row r="2752">
          <cell r="A2752" t="str">
            <v>clstbiw-acu-cle-p06-sn0525</v>
          </cell>
          <cell r="B2752" t="str">
            <v>Acuvue</v>
          </cell>
        </row>
        <row r="2753">
          <cell r="A2753" t="str">
            <v>clstbiw-acu-oasy-p06-sp0800</v>
          </cell>
          <cell r="B2753" t="str">
            <v>Acuvue</v>
          </cell>
        </row>
        <row r="2754">
          <cell r="A2754" t="str">
            <v>clstdai-acu-omax-p90-sn0750</v>
          </cell>
          <cell r="B2754" t="str">
            <v>Acuvue</v>
          </cell>
        </row>
        <row r="2755">
          <cell r="A2755" t="str">
            <v>su50106-rov-8002-13-11-53</v>
          </cell>
          <cell r="B2755" t="str">
            <v>Roav</v>
          </cell>
        </row>
        <row r="2756">
          <cell r="A2756" t="str">
            <v>sc50107-bab-000504-0107-51</v>
          </cell>
          <cell r="B2756" t="str">
            <v>Babamio</v>
          </cell>
        </row>
        <row r="2757">
          <cell r="A2757" t="str">
            <v>fm50218-spc-000746-0218-51</v>
          </cell>
          <cell r="B2757" t="str">
            <v>Spectus</v>
          </cell>
        </row>
        <row r="2758">
          <cell r="A2758" t="str">
            <v>clstdai-acu-omax-p30-sn0500</v>
          </cell>
          <cell r="B2758" t="str">
            <v>Acuvue</v>
          </cell>
        </row>
        <row r="2759">
          <cell r="A2759" t="str">
            <v>clstdai-bme-1day-p30-sn0600</v>
          </cell>
          <cell r="B2759" t="str">
            <v>Biomedics</v>
          </cell>
        </row>
        <row r="2760">
          <cell r="A2760" t="str">
            <v>cost3mo-lay-2021-p02-polar-gray-sn0600</v>
          </cell>
          <cell r="B2760" t="str">
            <v>Layala</v>
          </cell>
        </row>
        <row r="2761">
          <cell r="A2761" t="str">
            <v>clstdai-acu-mois-p60-sn0200</v>
          </cell>
          <cell r="B2761" t="str">
            <v>Acuvue</v>
          </cell>
        </row>
        <row r="2762">
          <cell r="A2762" t="str">
            <v>sw30107-bla-000222-0101-57</v>
          </cell>
          <cell r="B2762" t="str">
            <v>BlackOut</v>
          </cell>
        </row>
        <row r="2763">
          <cell r="A2763" t="str">
            <v>sw40107-bla-000330-0107-53</v>
          </cell>
          <cell r="B2763" t="str">
            <v>BlackOut</v>
          </cell>
        </row>
        <row r="2764">
          <cell r="A2764" t="str">
            <v>cltobiw-acu-oasy-p06-sn0575-cn0125-a010</v>
          </cell>
          <cell r="B2764" t="str">
            <v>Acuvue</v>
          </cell>
        </row>
        <row r="2765">
          <cell r="A2765" t="str">
            <v>clstdai-acu-oasy-p120-sn0100</v>
          </cell>
          <cell r="B2765" t="str">
            <v>Acuvue</v>
          </cell>
        </row>
        <row r="2766">
          <cell r="A2766" t="str">
            <v>clstdai-lay-cont-p90-dazzle-black-sn0225</v>
          </cell>
          <cell r="B2766" t="str">
            <v>Layala</v>
          </cell>
        </row>
        <row r="2767">
          <cell r="A2767" t="str">
            <v>sw40107-bla-000202-1707-58</v>
          </cell>
          <cell r="B2767" t="str">
            <v>BlackOut</v>
          </cell>
        </row>
        <row r="2768">
          <cell r="A2768" t="str">
            <v>cost3mo-lay-2021-p02-polar-gray-sn0050</v>
          </cell>
          <cell r="B2768" t="str">
            <v>Layala</v>
          </cell>
        </row>
        <row r="2769">
          <cell r="A2769" t="str">
            <v>clstdai-eve-elit-p30-sp0750</v>
          </cell>
          <cell r="B2769" t="str">
            <v>Everva</v>
          </cell>
        </row>
        <row r="2770">
          <cell r="A2770" t="str">
            <v>sacchan-30s-chain144-gld-lucile-gold-pearl</v>
          </cell>
          <cell r="B2770" t="str">
            <v>30Sunday</v>
          </cell>
        </row>
        <row r="2771">
          <cell r="A2771" t="str">
            <v>costdai-acu-dffr-p10-blue-sn0250</v>
          </cell>
          <cell r="B2771" t="str">
            <v>Acuvue</v>
          </cell>
        </row>
        <row r="2772">
          <cell r="A2772" t="str">
            <v>cost3mo-lay-2021-p02-willow-green-sn0175</v>
          </cell>
          <cell r="B2772" t="str">
            <v>Layala</v>
          </cell>
        </row>
        <row r="2773">
          <cell r="A2773" t="str">
            <v>sw30107-bla-000311-0107-58</v>
          </cell>
          <cell r="B2773" t="str">
            <v>BlackOut</v>
          </cell>
        </row>
        <row r="2774">
          <cell r="A2774" t="str">
            <v>clstdai-acu-omax-p30-sn0325</v>
          </cell>
          <cell r="B2774" t="str">
            <v>Acuvue</v>
          </cell>
        </row>
        <row r="2775">
          <cell r="A2775" t="str">
            <v>clstdai-dai-aqua-p30-sp0500</v>
          </cell>
          <cell r="B2775" t="str">
            <v>Dailies</v>
          </cell>
        </row>
        <row r="2776">
          <cell r="A2776" t="str">
            <v>su60704-30s-000437-0704-53</v>
          </cell>
          <cell r="B2776" t="str">
            <v>30Sunday</v>
          </cell>
        </row>
        <row r="2777">
          <cell r="A2777" t="str">
            <v>clstdai-eve-elit-p30-sn0125</v>
          </cell>
          <cell r="B2777" t="str">
            <v>Everva</v>
          </cell>
        </row>
        <row r="2778">
          <cell r="A2778" t="str">
            <v>cost3mo-lay-2024-p02-moon-gray-sn0150</v>
          </cell>
          <cell r="B2778" t="str">
            <v>Layala</v>
          </cell>
        </row>
        <row r="2779">
          <cell r="A2779" t="str">
            <v>clstdai-bme-1day-p30-sn0075</v>
          </cell>
          <cell r="B2779" t="str">
            <v>Biomedics</v>
          </cell>
        </row>
        <row r="2780">
          <cell r="A2780" t="str">
            <v>cltodai-acu-mois-p30-sn0300-cn0075-a010</v>
          </cell>
          <cell r="B2780" t="str">
            <v>Acuvue</v>
          </cell>
        </row>
        <row r="2781">
          <cell r="A2781" t="str">
            <v>costdai-ama-dail-p10-moon-stone-sn0275</v>
          </cell>
          <cell r="B2781" t="str">
            <v>Amara</v>
          </cell>
        </row>
        <row r="2782">
          <cell r="A2782" t="str">
            <v>clstdai-acu-mois-p90-sn0325</v>
          </cell>
          <cell r="B2782" t="str">
            <v>Acuvue</v>
          </cell>
        </row>
        <row r="2783">
          <cell r="A2783" t="str">
            <v>costdai-acu-dffr-p30-hazel-sn0075</v>
          </cell>
          <cell r="B2783" t="str">
            <v>Acuvue</v>
          </cell>
        </row>
        <row r="2784">
          <cell r="A2784" t="str">
            <v>costdai-acu-dffr-p10-hazel-sn0650</v>
          </cell>
          <cell r="B2784" t="str">
            <v>Acuvue</v>
          </cell>
        </row>
        <row r="2785">
          <cell r="A2785" t="str">
            <v>clstdai-lay-cont-p10-dazzle-brown-sn0375</v>
          </cell>
          <cell r="B2785" t="str">
            <v>Layala</v>
          </cell>
        </row>
        <row r="2786">
          <cell r="A2786" t="str">
            <v>costdai-acu-dffr-p30-honey-sn0225</v>
          </cell>
          <cell r="B2786" t="str">
            <v>Acuvue</v>
          </cell>
        </row>
        <row r="2787">
          <cell r="A2787" t="str">
            <v>cost3mo-lay-2025-p02-desert-topaz-sn0300</v>
          </cell>
          <cell r="B2787" t="str">
            <v>Layala</v>
          </cell>
        </row>
        <row r="2788">
          <cell r="A2788" t="str">
            <v>cost3mo-cel-natu-p01-desert-grey-sp0350</v>
          </cell>
          <cell r="B2788" t="str">
            <v>Celena</v>
          </cell>
        </row>
        <row r="2789">
          <cell r="A2789" t="str">
            <v>sw52910-bla-000221-0507-61</v>
          </cell>
          <cell r="B2789" t="str">
            <v>BlackOut</v>
          </cell>
        </row>
        <row r="2790">
          <cell r="A2790" t="str">
            <v>clstbiw-acu-oasy-p06-sp0375</v>
          </cell>
          <cell r="B2790" t="str">
            <v>Acuvue</v>
          </cell>
        </row>
        <row r="2791">
          <cell r="A2791" t="str">
            <v>clstdai-btr-oned-p90-sn0100</v>
          </cell>
          <cell r="B2791" t="str">
            <v>Biotrue</v>
          </cell>
        </row>
        <row r="2792">
          <cell r="A2792" t="str">
            <v>clstmon-eve-prom-p06-sp0600</v>
          </cell>
          <cell r="B2792" t="str">
            <v>Everva</v>
          </cell>
        </row>
        <row r="2793">
          <cell r="A2793" t="str">
            <v>sm50107-30s-000220-0107-55</v>
          </cell>
          <cell r="B2793" t="str">
            <v>30Sunday</v>
          </cell>
        </row>
        <row r="2794">
          <cell r="A2794" t="str">
            <v>su72404-30s-000268-2404-53</v>
          </cell>
          <cell r="B2794" t="str">
            <v>30Sunday</v>
          </cell>
        </row>
        <row r="2795">
          <cell r="A2795" t="str">
            <v>costmon-ama-2020-p02-charcoal-gray-sn1000</v>
          </cell>
          <cell r="B2795" t="str">
            <v>Amara</v>
          </cell>
        </row>
        <row r="2796">
          <cell r="A2796" t="str">
            <v>clstdai-acu-oasy-p60-sn0250</v>
          </cell>
          <cell r="B2796" t="str">
            <v>Acuvue</v>
          </cell>
        </row>
        <row r="2797">
          <cell r="A2797" t="str">
            <v>sm10101-30s-000284-0101-60</v>
          </cell>
          <cell r="B2797" t="str">
            <v>30Sunday</v>
          </cell>
        </row>
        <row r="2798">
          <cell r="A2798" t="str">
            <v>clstdai-eve-elit-p30-sn0900</v>
          </cell>
          <cell r="B2798" t="str">
            <v>Everva</v>
          </cell>
        </row>
        <row r="2799">
          <cell r="A2799" t="str">
            <v>sacchan-30s-chain140-rsg-elara-rose-gold</v>
          </cell>
          <cell r="B2799" t="str">
            <v>30Sunday</v>
          </cell>
        </row>
        <row r="2800">
          <cell r="A2800" t="str">
            <v>clstdai-acu-oasy-p90-sp0600</v>
          </cell>
          <cell r="B2800" t="str">
            <v>Acuvue</v>
          </cell>
        </row>
        <row r="2801">
          <cell r="A2801" t="str">
            <v>clstdai-acu-dfvi-p30-sn0250</v>
          </cell>
          <cell r="B2801" t="str">
            <v>Acuvue</v>
          </cell>
        </row>
        <row r="2802">
          <cell r="A2802" t="str">
            <v>cost3mo-lay-2021-p02-skye-blue-sn0600</v>
          </cell>
          <cell r="B2802" t="str">
            <v>Layala</v>
          </cell>
        </row>
        <row r="2803">
          <cell r="A2803" t="str">
            <v>costmon-ama-2023-p02-chai-sn0300</v>
          </cell>
          <cell r="B2803" t="str">
            <v>Amara</v>
          </cell>
        </row>
        <row r="2804">
          <cell r="A2804" t="str">
            <v>cost3mo-lay-2022-p02-sweet-hazel-sn0275</v>
          </cell>
          <cell r="B2804" t="str">
            <v>Layala</v>
          </cell>
        </row>
        <row r="2805">
          <cell r="A2805" t="str">
            <v>cost3mo-lay-2022-p02-crescent-gray-sn0375</v>
          </cell>
          <cell r="B2805" t="str">
            <v>Layala</v>
          </cell>
        </row>
        <row r="2806">
          <cell r="A2806" t="str">
            <v>clstmon-bme-bm55-p06-sn0100</v>
          </cell>
          <cell r="B2806" t="str">
            <v>Biomedics</v>
          </cell>
        </row>
        <row r="2807">
          <cell r="A2807" t="str">
            <v>sw32604-30s-000296-2604-54</v>
          </cell>
          <cell r="B2807" t="str">
            <v>30Sunday</v>
          </cell>
        </row>
        <row r="2808">
          <cell r="A2808" t="str">
            <v>clstdai-lay-cont-p30-dazzle-black-sn0125</v>
          </cell>
          <cell r="B2808" t="str">
            <v>Layala</v>
          </cell>
        </row>
        <row r="2809">
          <cell r="A2809" t="str">
            <v>cost3mo-lay-2023-p02-selene-green-sn0125</v>
          </cell>
          <cell r="B2809" t="str">
            <v>Layala</v>
          </cell>
        </row>
        <row r="2810">
          <cell r="A2810" t="str">
            <v>clstdai-lay-cont-p30-dazzle-black-sn0475</v>
          </cell>
          <cell r="B2810" t="str">
            <v>Layala</v>
          </cell>
        </row>
        <row r="2811">
          <cell r="A2811" t="str">
            <v>fc50918-bab-000505-0918-43</v>
          </cell>
          <cell r="B2811" t="str">
            <v>Babamio</v>
          </cell>
        </row>
        <row r="2812">
          <cell r="A2812" t="str">
            <v>cost3mo-lay-lens-p02-chocolate-brown-sn0350</v>
          </cell>
          <cell r="B2812" t="str">
            <v>Layala</v>
          </cell>
        </row>
        <row r="2813">
          <cell r="A2813" t="str">
            <v>fw72418-spc-000638-2418-50</v>
          </cell>
          <cell r="B2813" t="str">
            <v>Spectus</v>
          </cell>
        </row>
        <row r="2814">
          <cell r="A2814" t="str">
            <v>clstdai-dai-aqua-p30-sp0175</v>
          </cell>
          <cell r="B2814" t="str">
            <v>Dailies</v>
          </cell>
        </row>
        <row r="2815">
          <cell r="A2815" t="str">
            <v>clstbiw-acu-0002-p06-sp0425</v>
          </cell>
          <cell r="B2815" t="str">
            <v>Acuvue</v>
          </cell>
        </row>
        <row r="2816">
          <cell r="A2816" t="str">
            <v>costmon-ama-2020-p02-charcoal-gray-sn0350</v>
          </cell>
          <cell r="B2816" t="str">
            <v>Amara</v>
          </cell>
        </row>
        <row r="2817">
          <cell r="A2817" t="str">
            <v>sm20404-30s-000219-0102-50</v>
          </cell>
          <cell r="B2817" t="str">
            <v>30Sunday</v>
          </cell>
        </row>
        <row r="2818">
          <cell r="A2818" t="str">
            <v>clstdai-acu-dfrb-p30-sn0125</v>
          </cell>
          <cell r="B2818" t="str">
            <v>Acuvue</v>
          </cell>
        </row>
        <row r="2819">
          <cell r="A2819" t="str">
            <v>clstdai-dai-tot1-p90-sp0575</v>
          </cell>
          <cell r="B2819" t="str">
            <v>Dailies</v>
          </cell>
        </row>
        <row r="2820">
          <cell r="A2820" t="str">
            <v>clstdai-acu-oasy-p90-sn0200</v>
          </cell>
          <cell r="B2820" t="str">
            <v>Acuvue</v>
          </cell>
        </row>
        <row r="2821">
          <cell r="A2821" t="str">
            <v>clstdai-acu-mois-p30-sp0025</v>
          </cell>
          <cell r="B2821" t="str">
            <v>Acuvue</v>
          </cell>
        </row>
        <row r="2822">
          <cell r="A2822" t="str">
            <v>costmon-ama-2020-p02-pure-hazel-sn0150</v>
          </cell>
          <cell r="B2822" t="str">
            <v>Amara</v>
          </cell>
        </row>
        <row r="2823">
          <cell r="A2823" t="str">
            <v>sw32309-bla-000104-2310-59</v>
          </cell>
          <cell r="B2823" t="str">
            <v>BlackOut</v>
          </cell>
        </row>
        <row r="2824">
          <cell r="A2824" t="str">
            <v>sw60107-bla-000350-0107-51</v>
          </cell>
          <cell r="B2824" t="str">
            <v>BlackOut</v>
          </cell>
        </row>
        <row r="2825">
          <cell r="A2825" t="str">
            <v>costdai-acu-dffr-p30-grayzel-sn0425</v>
          </cell>
          <cell r="B2825" t="str">
            <v>Acuvue</v>
          </cell>
        </row>
        <row r="2826">
          <cell r="A2826" t="str">
            <v>clstdai-acu-oasy-p90-sn0750</v>
          </cell>
          <cell r="B2826" t="str">
            <v>Acuvue</v>
          </cell>
        </row>
        <row r="2827">
          <cell r="A2827" t="str">
            <v>sw40202-bla-000209-0202-52</v>
          </cell>
          <cell r="B2827" t="str">
            <v>BlackOut</v>
          </cell>
        </row>
        <row r="2828">
          <cell r="A2828" t="str">
            <v>sw30107-bla-000323-0107-49</v>
          </cell>
          <cell r="B2828" t="str">
            <v>BlackOut</v>
          </cell>
        </row>
        <row r="2829">
          <cell r="A2829" t="str">
            <v>fw30918-spc-000502-0900-54</v>
          </cell>
          <cell r="B2829" t="str">
            <v>Spectus</v>
          </cell>
        </row>
        <row r="2830">
          <cell r="A2830" t="str">
            <v>sw100504-30s-000295-2904-53</v>
          </cell>
          <cell r="B2830" t="str">
            <v>30Sunday</v>
          </cell>
        </row>
        <row r="2831">
          <cell r="A2831" t="str">
            <v>sm51202-30s-000248-1202-53</v>
          </cell>
          <cell r="B2831" t="str">
            <v>30Sunday</v>
          </cell>
        </row>
        <row r="2832">
          <cell r="A2832" t="str">
            <v>fw20918-spc-000526-0900-48</v>
          </cell>
          <cell r="B2832" t="str">
            <v>Spectus</v>
          </cell>
        </row>
        <row r="2833">
          <cell r="A2833" t="str">
            <v>cost3mo-lay-lens-p02-platinum-gray-sn0500</v>
          </cell>
          <cell r="B2833" t="str">
            <v>Layala</v>
          </cell>
        </row>
        <row r="2834">
          <cell r="A2834" t="str">
            <v>cost3mo-lay-2020-p02-ash-gray-sn0175</v>
          </cell>
          <cell r="B2834" t="str">
            <v>Layala</v>
          </cell>
        </row>
        <row r="2835">
          <cell r="A2835" t="str">
            <v>cost3mo-lay-lens-p02-platinum-gray-sn0350</v>
          </cell>
          <cell r="B2835" t="str">
            <v>Layala</v>
          </cell>
        </row>
        <row r="2836">
          <cell r="A2836" t="str">
            <v>clstdai-lay-cont-p60-dazzle-brown-sn0800</v>
          </cell>
          <cell r="B2836" t="str">
            <v>Layala</v>
          </cell>
        </row>
        <row r="2837">
          <cell r="A2837" t="str">
            <v>clstdai-eve-elit-p90-sn0800</v>
          </cell>
          <cell r="B2837" t="str">
            <v>Everva</v>
          </cell>
        </row>
        <row r="2838">
          <cell r="A2838" t="str">
            <v>sacchan-30s-chain131-grn-bella-green</v>
          </cell>
          <cell r="B2838" t="str">
            <v>30Sunday</v>
          </cell>
        </row>
        <row r="2839">
          <cell r="A2839" t="str">
            <v>clstdai-eve-elit-p90-sp0600</v>
          </cell>
          <cell r="B2839" t="str">
            <v>Everva</v>
          </cell>
        </row>
        <row r="2840">
          <cell r="A2840" t="str">
            <v>su62904-bla-000281-2904-54</v>
          </cell>
          <cell r="B2840" t="str">
            <v>BlackOut</v>
          </cell>
        </row>
        <row r="2841">
          <cell r="A2841" t="str">
            <v>clstdai-dai-tot1-p30-sn0450</v>
          </cell>
          <cell r="B2841" t="str">
            <v>Dailies</v>
          </cell>
        </row>
        <row r="2842">
          <cell r="A2842" t="str">
            <v>cltobiw-acu-oasy-p06-sn0175-cn0075-a020</v>
          </cell>
          <cell r="B2842" t="str">
            <v>Acuvue</v>
          </cell>
        </row>
        <row r="2843">
          <cell r="A2843" t="str">
            <v>costdai-ama-dail-p10-amber-sn0550</v>
          </cell>
          <cell r="B2843" t="str">
            <v>Amara</v>
          </cell>
        </row>
        <row r="2844">
          <cell r="A2844" t="str">
            <v>costmon-ama-2024-p02-matcha-sn0075</v>
          </cell>
          <cell r="B2844" t="str">
            <v>Amara</v>
          </cell>
        </row>
        <row r="2845">
          <cell r="A2845" t="str">
            <v>cost3mo-lay-2022-p02-sweet-hazel-sn0175</v>
          </cell>
          <cell r="B2845" t="str">
            <v>Layala</v>
          </cell>
        </row>
        <row r="2846">
          <cell r="A2846" t="str">
            <v>clstdai-acu-oasy-p30-sn1200</v>
          </cell>
          <cell r="B2846" t="str">
            <v>Acuvue</v>
          </cell>
        </row>
        <row r="2847">
          <cell r="A2847" t="str">
            <v>clstdai-acu-dfna-p90-sn0225</v>
          </cell>
          <cell r="B2847" t="str">
            <v>Acuvue</v>
          </cell>
        </row>
        <row r="2848">
          <cell r="A2848" t="str">
            <v>costmon-ama-2022-p02-tan-sn0225</v>
          </cell>
          <cell r="B2848" t="str">
            <v>Amara</v>
          </cell>
        </row>
        <row r="2849">
          <cell r="A2849" t="str">
            <v>cost3mo-lay-lens-p02-chestnut-brown-sn0325</v>
          </cell>
          <cell r="B2849" t="str">
            <v>Layala</v>
          </cell>
        </row>
        <row r="2850">
          <cell r="A2850" t="str">
            <v>sw60104-30s-000433-0104-52</v>
          </cell>
          <cell r="B2850" t="str">
            <v>30Sunday</v>
          </cell>
        </row>
        <row r="2851">
          <cell r="A2851" t="str">
            <v>costmon-ama-2024-p02-nmr-sn0350</v>
          </cell>
          <cell r="B2851" t="str">
            <v>Amara</v>
          </cell>
        </row>
        <row r="2852">
          <cell r="A2852" t="str">
            <v>sunglasses-30Sundays-30s-000450-0504</v>
          </cell>
          <cell r="B2852" t="str">
            <v>30Sunday</v>
          </cell>
        </row>
        <row r="2853">
          <cell r="A2853" t="str">
            <v>sw30404-bla-000244-0404-52</v>
          </cell>
          <cell r="B2853" t="str">
            <v>BlackOut</v>
          </cell>
        </row>
        <row r="2854">
          <cell r="A2854" t="str">
            <v>clstdai-lay-cont-p10-dazzle-brown-sn0575</v>
          </cell>
          <cell r="B2854" t="str">
            <v>Layala</v>
          </cell>
        </row>
        <row r="2855">
          <cell r="A2855" t="str">
            <v>su22904-30s-000229-2904-53</v>
          </cell>
          <cell r="B2855" t="str">
            <v>30Sunday</v>
          </cell>
        </row>
        <row r="2856">
          <cell r="A2856" t="str">
            <v>sw70107-30s-000267-0107-54</v>
          </cell>
          <cell r="B2856" t="str">
            <v>30Sunday</v>
          </cell>
        </row>
        <row r="2857">
          <cell r="A2857" t="str">
            <v>sw40107-30s-000274-0101-54</v>
          </cell>
          <cell r="B2857" t="str">
            <v>30Sunday</v>
          </cell>
        </row>
        <row r="2858">
          <cell r="A2858" t="str">
            <v>rm43218-spc-00928-3218-52-sp0200</v>
          </cell>
          <cell r="B2858" t="str">
            <v>Spectus</v>
          </cell>
        </row>
        <row r="2859">
          <cell r="A2859" t="str">
            <v>fm41218-spc-000865-1218-52</v>
          </cell>
          <cell r="B2859" t="str">
            <v>Spectus</v>
          </cell>
        </row>
        <row r="2860">
          <cell r="A2860" t="str">
            <v>sw50504-30s-000225-0504-61</v>
          </cell>
          <cell r="B2860" t="str">
            <v>30Sunday</v>
          </cell>
        </row>
        <row r="2861">
          <cell r="A2861" t="str">
            <v>su100101-30s-000305-0101-50</v>
          </cell>
          <cell r="B2861" t="str">
            <v>30Sunday</v>
          </cell>
        </row>
        <row r="2862">
          <cell r="A2862" t="str">
            <v>clstdai-eve-elit-p30-sp0200</v>
          </cell>
          <cell r="B2862" t="str">
            <v>Everva</v>
          </cell>
        </row>
        <row r="2863">
          <cell r="A2863" t="str">
            <v>sm40201-30s-000289-0207p-57</v>
          </cell>
          <cell r="B2863" t="str">
            <v>30Sunday</v>
          </cell>
        </row>
        <row r="2864">
          <cell r="A2864" t="str">
            <v>cost3mo-lay-2022-p02-sweet-hazel-sn0225</v>
          </cell>
          <cell r="B2864" t="str">
            <v>Layala</v>
          </cell>
        </row>
        <row r="2865">
          <cell r="A2865" t="str">
            <v>sw32404-30s-000291-2404-51</v>
          </cell>
          <cell r="B2865" t="str">
            <v>30Sunday</v>
          </cell>
        </row>
        <row r="2866">
          <cell r="A2866" t="str">
            <v>clstdai-acu-oasy-p30-sn0225</v>
          </cell>
          <cell r="B2866" t="str">
            <v>Acuvue</v>
          </cell>
        </row>
        <row r="2867">
          <cell r="A2867" t="str">
            <v>costmon-ama-2023-p02-chai-sn0150</v>
          </cell>
          <cell r="B2867" t="str">
            <v>Amara</v>
          </cell>
        </row>
        <row r="2868">
          <cell r="A2868" t="str">
            <v>sw51304-bla-000236-1304-56</v>
          </cell>
          <cell r="B2868" t="str">
            <v>BlackOut</v>
          </cell>
        </row>
        <row r="2869">
          <cell r="A2869" t="str">
            <v>sw100404-bla-000274-0404-55</v>
          </cell>
          <cell r="B2869" t="str">
            <v>BlackOut</v>
          </cell>
        </row>
        <row r="2870">
          <cell r="A2870" t="str">
            <v>clstdai-eve-elit-p90-sn0900</v>
          </cell>
          <cell r="B2870" t="str">
            <v>Everva</v>
          </cell>
        </row>
        <row r="2871">
          <cell r="A2871" t="str">
            <v>clstdai-eve-elit-p90-sp0425</v>
          </cell>
          <cell r="B2871" t="str">
            <v>Everva</v>
          </cell>
        </row>
        <row r="2872">
          <cell r="A2872" t="str">
            <v>clstdai-acu-oasy-p120-sn0250</v>
          </cell>
          <cell r="B2872" t="str">
            <v>Acuvue</v>
          </cell>
        </row>
        <row r="2873">
          <cell r="A2873" t="str">
            <v>costdai-ama-dail-p10-shadow-sn0650</v>
          </cell>
          <cell r="B2873" t="str">
            <v>Amara</v>
          </cell>
        </row>
        <row r="2874">
          <cell r="A2874" t="str">
            <v>clstbiw-acu-0002-p06-sn0450</v>
          </cell>
          <cell r="B2874" t="str">
            <v>Acuvue</v>
          </cell>
        </row>
        <row r="2875">
          <cell r="A2875" t="str">
            <v>costmon-ama-2024-p02-barbie-brown-sn0225</v>
          </cell>
          <cell r="B2875" t="str">
            <v>Amara</v>
          </cell>
        </row>
        <row r="2876">
          <cell r="A2876" t="str">
            <v>clstdai-dai-tot1-p30-sn0350</v>
          </cell>
          <cell r="B2876" t="str">
            <v>Dailies</v>
          </cell>
        </row>
        <row r="2877">
          <cell r="A2877" t="str">
            <v>sw32904-bla-000228-2904-58</v>
          </cell>
          <cell r="B2877" t="str">
            <v>BlackOut</v>
          </cell>
        </row>
        <row r="2878">
          <cell r="A2878" t="str">
            <v>costdai-ama-dail-p10-honey-sn0375</v>
          </cell>
          <cell r="B2878" t="str">
            <v>Amara</v>
          </cell>
        </row>
        <row r="2879">
          <cell r="A2879" t="str">
            <v>clstdai-acu-dfvi-p60-sn0250</v>
          </cell>
          <cell r="B2879" t="str">
            <v>Acuvue</v>
          </cell>
        </row>
        <row r="2880">
          <cell r="A2880" t="str">
            <v>sm10304-30s-000456-0304-57</v>
          </cell>
          <cell r="B2880" t="str">
            <v>30Sunday</v>
          </cell>
        </row>
        <row r="2881">
          <cell r="A2881" t="str">
            <v>clstdai-acu-mois-p60-sn0575</v>
          </cell>
          <cell r="B2881" t="str">
            <v>Acuvue</v>
          </cell>
        </row>
        <row r="2882">
          <cell r="A2882" t="str">
            <v>clstdai-acu-omax-p90-sp0425</v>
          </cell>
          <cell r="B2882" t="str">
            <v>Acuvue</v>
          </cell>
        </row>
        <row r="2883">
          <cell r="A2883" t="str">
            <v>cltodai-acu-mois-p30-sn0450-cn0075-a010</v>
          </cell>
          <cell r="B2883" t="str">
            <v>Acuvue</v>
          </cell>
        </row>
        <row r="2884">
          <cell r="A2884" t="str">
            <v>clstdai-acu-mois-p30-sp0175</v>
          </cell>
          <cell r="B2884" t="str">
            <v>Acuvue</v>
          </cell>
        </row>
        <row r="2885">
          <cell r="A2885" t="str">
            <v>clstdai-acu-dfvi-p30-sn0600</v>
          </cell>
          <cell r="B2885" t="str">
            <v>Acuvue</v>
          </cell>
        </row>
        <row r="2886">
          <cell r="A2886" t="str">
            <v>cost3mo-lay-2025-p02-emerald-glow-sn0600</v>
          </cell>
          <cell r="B2886" t="str">
            <v>Layala</v>
          </cell>
        </row>
        <row r="2887">
          <cell r="A2887" t="str">
            <v>sm100506-bla-000348-0507-50</v>
          </cell>
          <cell r="B2887" t="str">
            <v>BlackOut</v>
          </cell>
        </row>
        <row r="2888">
          <cell r="A2888" t="str">
            <v>clstdai-dai-aqua-p90-sn0125</v>
          </cell>
          <cell r="B2888" t="str">
            <v>Dailies</v>
          </cell>
        </row>
        <row r="2889">
          <cell r="A2889" t="str">
            <v>clstdai-acu-mois-p90-sp0375</v>
          </cell>
          <cell r="B2889" t="str">
            <v>Acuvue</v>
          </cell>
        </row>
        <row r="2890">
          <cell r="A2890" t="str">
            <v>clstmon-sof-sl59-p06-sn0050</v>
          </cell>
          <cell r="B2890" t="str">
            <v>Soflens</v>
          </cell>
        </row>
        <row r="2891">
          <cell r="A2891" t="str">
            <v>costdai-acu-dffr-p10-rose-sn0250</v>
          </cell>
          <cell r="B2891" t="str">
            <v>Acuvue</v>
          </cell>
        </row>
        <row r="2892">
          <cell r="A2892" t="str">
            <v>clstbiw-acu-0002-p06-sn1000</v>
          </cell>
          <cell r="B2892" t="str">
            <v>Acuvue</v>
          </cell>
        </row>
        <row r="2893">
          <cell r="A2893" t="str">
            <v>clstdai-acu-dfna-p90-sn0375</v>
          </cell>
          <cell r="B2893" t="str">
            <v>Acuvue</v>
          </cell>
        </row>
        <row r="2894">
          <cell r="A2894" t="str">
            <v>costmon-ama-lens-p02-dark-sepia-sn0450</v>
          </cell>
          <cell r="B2894" t="str">
            <v>Amara</v>
          </cell>
        </row>
        <row r="2895">
          <cell r="A2895" t="str">
            <v>costmon-ama-2024-p02-chocolate-sn0400</v>
          </cell>
          <cell r="B2895" t="str">
            <v>Amara</v>
          </cell>
        </row>
        <row r="2896">
          <cell r="A2896" t="str">
            <v>cost3mo-lay-2020-p02-hazel-brown-sn0550</v>
          </cell>
          <cell r="B2896" t="str">
            <v>Layala</v>
          </cell>
        </row>
        <row r="2897">
          <cell r="A2897" t="str">
            <v>clstdai-lay-cont-p30-dazzle-black-sn0300</v>
          </cell>
          <cell r="B2897" t="str">
            <v>Layala</v>
          </cell>
        </row>
        <row r="2898">
          <cell r="A2898" t="str">
            <v>sw70107-bla-000251-0101-62</v>
          </cell>
          <cell r="B2898" t="str">
            <v>BlackOut</v>
          </cell>
        </row>
        <row r="2899">
          <cell r="A2899" t="str">
            <v>clstmon-bio-biof-p06-sn0425</v>
          </cell>
          <cell r="B2899" t="str">
            <v>Biofinity</v>
          </cell>
        </row>
        <row r="2900">
          <cell r="A2900" t="str">
            <v>sm41701-30s-000297-1701-54</v>
          </cell>
          <cell r="B2900" t="str">
            <v>30Sunday</v>
          </cell>
        </row>
        <row r="2901">
          <cell r="A2901" t="str">
            <v>cost3mo-lay-lens-p02-platinum-gray-sn0250</v>
          </cell>
          <cell r="B2901" t="str">
            <v>Layala</v>
          </cell>
        </row>
        <row r="2902">
          <cell r="A2902" t="str">
            <v>clstdai-acu-dfrb-p30-sn0175</v>
          </cell>
          <cell r="B2902" t="str">
            <v>Acuvue</v>
          </cell>
        </row>
        <row r="2903">
          <cell r="A2903" t="str">
            <v>clstdai-eve-pure-p90-Sn1000</v>
          </cell>
          <cell r="B2903" t="str">
            <v>Everva</v>
          </cell>
        </row>
        <row r="2904">
          <cell r="A2904" t="str">
            <v>sw62404-bla-000310-2404-55</v>
          </cell>
          <cell r="B2904" t="str">
            <v>BlackOut</v>
          </cell>
        </row>
        <row r="2905">
          <cell r="A2905" t="str">
            <v>clstdai-dai-aqua-p90-sn0175</v>
          </cell>
          <cell r="B2905" t="str">
            <v>Dailies</v>
          </cell>
        </row>
        <row r="2906">
          <cell r="A2906" t="str">
            <v>su100404-bla-000282-0404-48</v>
          </cell>
          <cell r="B2906" t="str">
            <v>BlackOut</v>
          </cell>
        </row>
        <row r="2907">
          <cell r="A2907" t="str">
            <v>clstbiw-acu-oasy-p06-sp0150</v>
          </cell>
          <cell r="B2907" t="str">
            <v>Acuvue</v>
          </cell>
        </row>
        <row r="2908">
          <cell r="A2908" t="str">
            <v>su103207-bla-000380-3207-54</v>
          </cell>
          <cell r="B2908" t="str">
            <v>BlackOut</v>
          </cell>
        </row>
        <row r="2909">
          <cell r="A2909" t="str">
            <v>clstdai-acu-oasy-p90-sn0125</v>
          </cell>
          <cell r="B2909" t="str">
            <v>Acuvue</v>
          </cell>
        </row>
        <row r="2910">
          <cell r="A2910" t="str">
            <v>costdai-acu-dffr-p10-blue-sn0375</v>
          </cell>
          <cell r="B2910" t="str">
            <v>Acuvue</v>
          </cell>
        </row>
        <row r="2911">
          <cell r="A2911" t="str">
            <v>costmon-ama-lens-p02-crocodile-green-sp0000</v>
          </cell>
          <cell r="B2911" t="str">
            <v>Amara</v>
          </cell>
        </row>
        <row r="2912">
          <cell r="A2912" t="str">
            <v>sm41104-30s-000289-1104-57</v>
          </cell>
          <cell r="B2912" t="str">
            <v>30Sunday</v>
          </cell>
        </row>
        <row r="2913">
          <cell r="A2913" t="str">
            <v>clstdai-acu-omax-p30-sp0125</v>
          </cell>
          <cell r="B2913" t="str">
            <v>Acuvue</v>
          </cell>
        </row>
        <row r="2914">
          <cell r="A2914" t="str">
            <v>sw40402-30s-000240-0402-50</v>
          </cell>
          <cell r="B2914" t="str">
            <v>30Sunday</v>
          </cell>
        </row>
        <row r="2915">
          <cell r="A2915" t="str">
            <v>costmon-ama-2022-p02-cocoa-sn0250</v>
          </cell>
          <cell r="B2915" t="str">
            <v>Amara</v>
          </cell>
        </row>
        <row r="2916">
          <cell r="A2916" t="str">
            <v>clstdai-acu-dfrb-p30-sn0400</v>
          </cell>
          <cell r="B2916" t="str">
            <v>Acuvue</v>
          </cell>
        </row>
        <row r="2917">
          <cell r="A2917" t="str">
            <v>cost3mo-cel-natu-p01-hazelwood-sp0200</v>
          </cell>
          <cell r="B2917" t="str">
            <v>Celena</v>
          </cell>
        </row>
        <row r="2918">
          <cell r="A2918" t="str">
            <v>cost3mo-lay-2025-p02-desert-topaz-sn0400</v>
          </cell>
          <cell r="B2918" t="str">
            <v>Layala</v>
          </cell>
        </row>
        <row r="2919">
          <cell r="A2919" t="str">
            <v>clstdai-dai-aqua-p90-sn1200</v>
          </cell>
          <cell r="B2919" t="str">
            <v>Dailies</v>
          </cell>
        </row>
        <row r="2920">
          <cell r="A2920" t="str">
            <v>sacchan-30s-chain130-blu-clover-blue</v>
          </cell>
          <cell r="B2920" t="str">
            <v>30Sunday</v>
          </cell>
        </row>
        <row r="2921">
          <cell r="A2921" t="str">
            <v>clstdai-lay-cont-p30-dazzle-brown-sn0100</v>
          </cell>
          <cell r="B2921" t="str">
            <v>Layala</v>
          </cell>
        </row>
        <row r="2922">
          <cell r="A2922" t="str">
            <v>sc20202-bab-000514-0202d-43</v>
          </cell>
          <cell r="B2922" t="str">
            <v>Babamio</v>
          </cell>
        </row>
        <row r="2923">
          <cell r="A2923" t="str">
            <v>sw60404-bla-000324-0404-52</v>
          </cell>
          <cell r="B2923" t="str">
            <v>BlackOut</v>
          </cell>
        </row>
        <row r="2924">
          <cell r="A2924" t="str">
            <v>cost3mo-lay-lens-p02-chocolate-brown-sn0075</v>
          </cell>
          <cell r="B2924" t="str">
            <v>Layala</v>
          </cell>
        </row>
        <row r="2925">
          <cell r="A2925" t="str">
            <v>clstdai-acu-dfrb-p60-sn0850</v>
          </cell>
          <cell r="B2925" t="str">
            <v>Acuvue</v>
          </cell>
        </row>
        <row r="2926">
          <cell r="A2926" t="str">
            <v>clstdai-acu-mois-p90-sn0250</v>
          </cell>
          <cell r="B2926" t="str">
            <v>Acuvue</v>
          </cell>
        </row>
        <row r="2927">
          <cell r="A2927" t="str">
            <v>costdai-acu-dffr-p10-grayzel-sn0475</v>
          </cell>
          <cell r="B2927" t="str">
            <v>Acuvue</v>
          </cell>
        </row>
        <row r="2928">
          <cell r="A2928" t="str">
            <v>clstdai-lay-cont-p10-dazzle-black-sp0000</v>
          </cell>
          <cell r="B2928" t="str">
            <v>Layala</v>
          </cell>
        </row>
        <row r="2929">
          <cell r="A2929" t="str">
            <v>clstdai-acu-dfna-p90-sn0175</v>
          </cell>
          <cell r="B2929" t="str">
            <v>Acuvue</v>
          </cell>
        </row>
        <row r="2930">
          <cell r="A2930" t="str">
            <v>clstdai-acu-oasy-p90-sn0075</v>
          </cell>
          <cell r="B2930" t="str">
            <v>Acuvue</v>
          </cell>
        </row>
        <row r="2931">
          <cell r="A2931" t="str">
            <v>clstdai-acu-mois-p60-sn0300</v>
          </cell>
          <cell r="B2931" t="str">
            <v>Acuvue</v>
          </cell>
        </row>
        <row r="2932">
          <cell r="A2932" t="str">
            <v>clstdai-lay-cont-p90-dazzle-black-sn0400</v>
          </cell>
          <cell r="B2932" t="str">
            <v>Layala</v>
          </cell>
        </row>
        <row r="2933">
          <cell r="A2933" t="str">
            <v>clstdai-acu-dfrb-p90-sp0000</v>
          </cell>
          <cell r="B2933" t="str">
            <v>Acuvue</v>
          </cell>
        </row>
        <row r="2934">
          <cell r="A2934" t="str">
            <v>costdai-ama-dail-p10-moon-stone-sn0050</v>
          </cell>
          <cell r="B2934" t="str">
            <v>Amara</v>
          </cell>
        </row>
        <row r="2935">
          <cell r="A2935" t="str">
            <v>clstdai-lay-cont-p30-dazzle-black-sn0275</v>
          </cell>
          <cell r="B2935" t="str">
            <v>Layala</v>
          </cell>
        </row>
        <row r="2936">
          <cell r="A2936" t="str">
            <v>clstdai-acu-oasy-p30-sp0425</v>
          </cell>
          <cell r="B2936" t="str">
            <v>Acuvue</v>
          </cell>
        </row>
        <row r="2937">
          <cell r="A2937" t="str">
            <v>costmon-ama-lens-p02-crocodile-green-sn0600</v>
          </cell>
          <cell r="B2937" t="str">
            <v>Amara</v>
          </cell>
        </row>
        <row r="2938">
          <cell r="A2938" t="str">
            <v>clstdai-lay-cont-p60-dazzle-black-sn0300</v>
          </cell>
          <cell r="B2938" t="str">
            <v>Layala</v>
          </cell>
        </row>
        <row r="2939">
          <cell r="A2939" t="str">
            <v>sm70506-30s-000247-2906-57</v>
          </cell>
          <cell r="B2939" t="str">
            <v>30Sunday</v>
          </cell>
        </row>
        <row r="2940">
          <cell r="A2940" t="str">
            <v>cost3mo-lay-2021-p02-golden-gray-sn0400</v>
          </cell>
          <cell r="B2940" t="str">
            <v>Layala</v>
          </cell>
        </row>
        <row r="2941">
          <cell r="A2941" t="str">
            <v>sm100107-30s-00408-0107p-48</v>
          </cell>
          <cell r="B2941" t="str">
            <v>30Sunday</v>
          </cell>
        </row>
        <row r="2942">
          <cell r="A2942" t="str">
            <v>su51306-30s-000236-1306-49</v>
          </cell>
          <cell r="B2942" t="str">
            <v>30Sunday</v>
          </cell>
        </row>
        <row r="2943">
          <cell r="A2943" t="str">
            <v>sacchan-30s-chain135-blu-bluebell-light-blue</v>
          </cell>
          <cell r="B2943" t="str">
            <v>30Sunday</v>
          </cell>
        </row>
        <row r="2944">
          <cell r="A2944" t="str">
            <v>sw41304-30s-000123-1304-51</v>
          </cell>
          <cell r="B2944" t="str">
            <v>30Sunday</v>
          </cell>
        </row>
        <row r="2945">
          <cell r="A2945" t="str">
            <v>su60701-bla-000281-0701-54</v>
          </cell>
          <cell r="B2945" t="str">
            <v>BlackOut</v>
          </cell>
        </row>
        <row r="2946">
          <cell r="A2946" t="str">
            <v>clstdai-bme-1day-p30-sn0650</v>
          </cell>
          <cell r="B2946" t="str">
            <v>Biomedics</v>
          </cell>
        </row>
        <row r="2947">
          <cell r="A2947" t="str">
            <v>clstdai-bme-1day-p30-sn0850</v>
          </cell>
          <cell r="B2947" t="str">
            <v>Biomedics</v>
          </cell>
        </row>
        <row r="2948">
          <cell r="A2948" t="str">
            <v>clstdai-lay-cont-p30-dazzle-black-sn0800</v>
          </cell>
          <cell r="B2948" t="str">
            <v>Layala</v>
          </cell>
        </row>
        <row r="2949">
          <cell r="A2949" t="str">
            <v>clstdai-dai-aqua-p30-sn0375</v>
          </cell>
          <cell r="B2949" t="str">
            <v>Dailies</v>
          </cell>
        </row>
        <row r="2950">
          <cell r="A2950" t="str">
            <v>costdai-acu-dffr-p30-rose-sn0125</v>
          </cell>
          <cell r="B2950" t="str">
            <v>Acuvue</v>
          </cell>
        </row>
        <row r="2951">
          <cell r="A2951" t="str">
            <v>clstdai-acu-dfvi-p30-sn0300</v>
          </cell>
          <cell r="B2951" t="str">
            <v>Acuvue</v>
          </cell>
        </row>
        <row r="2952">
          <cell r="A2952" t="str">
            <v>sm40606-30s-000289-0606-57</v>
          </cell>
          <cell r="B2952" t="str">
            <v>30Sunday</v>
          </cell>
        </row>
        <row r="2953">
          <cell r="A2953" t="str">
            <v>clstdai-acu-dfvi-p90-sn0425</v>
          </cell>
          <cell r="B2953" t="str">
            <v>Acuvue</v>
          </cell>
        </row>
        <row r="2954">
          <cell r="A2954" t="str">
            <v>clstdai-dai-aqua-p90-sn1350</v>
          </cell>
          <cell r="B2954" t="str">
            <v>Dailies</v>
          </cell>
        </row>
        <row r="2955">
          <cell r="A2955" t="str">
            <v>costdai-ama-dail-p10-amber-sn0050</v>
          </cell>
          <cell r="B2955" t="str">
            <v>Amara</v>
          </cell>
        </row>
        <row r="2956">
          <cell r="A2956" t="str">
            <v>cost3mo-cel-natu-p01-light-grey-sp0400</v>
          </cell>
          <cell r="B2956" t="str">
            <v>Celena</v>
          </cell>
        </row>
        <row r="2957">
          <cell r="A2957" t="str">
            <v>clstdai-eve-elit-p30-sp0600</v>
          </cell>
          <cell r="B2957" t="str">
            <v>Everva</v>
          </cell>
        </row>
        <row r="2958">
          <cell r="A2958" t="str">
            <v>clstdai-acu-omax-p30-sn0300</v>
          </cell>
          <cell r="B2958" t="str">
            <v>Acuvue</v>
          </cell>
        </row>
        <row r="2959">
          <cell r="A2959" t="str">
            <v>clstdai-acu-omax-p30-sn0850</v>
          </cell>
          <cell r="B2959" t="str">
            <v>Acuvue</v>
          </cell>
        </row>
        <row r="2960">
          <cell r="A2960" t="str">
            <v>fw72318-spc-000514-2300-53</v>
          </cell>
          <cell r="B2960" t="str">
            <v>Spectus</v>
          </cell>
        </row>
        <row r="2961">
          <cell r="A2961" t="str">
            <v>clstmon-bme-bm55-p06-sn0475</v>
          </cell>
          <cell r="B2961" t="str">
            <v>Biomedics</v>
          </cell>
        </row>
        <row r="2962">
          <cell r="A2962" t="str">
            <v>clstdai-acu-mois-p30-sn0225</v>
          </cell>
          <cell r="B2962" t="str">
            <v>Acuvue</v>
          </cell>
        </row>
        <row r="2963">
          <cell r="A2963" t="str">
            <v>clstdai-dai-tot1-p90-sp0175</v>
          </cell>
          <cell r="B2963" t="str">
            <v>Dailies</v>
          </cell>
        </row>
        <row r="2964">
          <cell r="A2964" t="str">
            <v>costmon-ama-2022-p02-cocoa-sn0175</v>
          </cell>
          <cell r="B2964" t="str">
            <v>Amara</v>
          </cell>
        </row>
        <row r="2965">
          <cell r="A2965" t="str">
            <v>fu20718-spc-000813-0718-49</v>
          </cell>
          <cell r="B2965" t="str">
            <v>Spectus</v>
          </cell>
        </row>
        <row r="2966">
          <cell r="A2966" t="str">
            <v>sm10404-30s-000208-0404-57</v>
          </cell>
          <cell r="B2966" t="str">
            <v>30Sunday</v>
          </cell>
        </row>
        <row r="2967">
          <cell r="A2967" t="str">
            <v>sw32904-bla-000279-2904-54</v>
          </cell>
          <cell r="B2967" t="str">
            <v>BlackOut</v>
          </cell>
        </row>
        <row r="2968">
          <cell r="A2968" t="str">
            <v>clstdai-acu-dfrb-p90-sn0100</v>
          </cell>
          <cell r="B2968" t="str">
            <v>Acuvue</v>
          </cell>
        </row>
        <row r="2969">
          <cell r="A2969" t="str">
            <v>costmon-ama-2020-p02-pure-hazel-sn0125</v>
          </cell>
          <cell r="B2969" t="str">
            <v>Amara</v>
          </cell>
        </row>
        <row r="2970">
          <cell r="A2970" t="str">
            <v>clstdai-dai-aqua-p90-sn0900</v>
          </cell>
          <cell r="B2970" t="str">
            <v>Dailies</v>
          </cell>
        </row>
        <row r="2971">
          <cell r="A2971" t="str">
            <v>clstdai-lay-cont-p90-dazzle-black-sn0575</v>
          </cell>
          <cell r="B2971" t="str">
            <v>Layala</v>
          </cell>
        </row>
        <row r="2972">
          <cell r="A2972" t="str">
            <v>cost3mo-lay-2021-p02-polar-gray-sn0450</v>
          </cell>
          <cell r="B2972" t="str">
            <v>Layala</v>
          </cell>
        </row>
        <row r="2973">
          <cell r="A2973" t="str">
            <v>cost3mo-lay-2021-p02-willow-green-sn0075</v>
          </cell>
          <cell r="B2973" t="str">
            <v>Layala</v>
          </cell>
        </row>
        <row r="2974">
          <cell r="A2974" t="str">
            <v>fw21318-spc-000533-1300-50</v>
          </cell>
          <cell r="B2974" t="str">
            <v>Spectus</v>
          </cell>
        </row>
        <row r="2975">
          <cell r="A2975" t="str">
            <v>clstdai-lay-cont-p60-dazzle-black-sn0800</v>
          </cell>
          <cell r="B2975" t="str">
            <v>Layala</v>
          </cell>
        </row>
        <row r="2976">
          <cell r="A2976" t="str">
            <v>su20707-rov-1003-12-41-51</v>
          </cell>
          <cell r="B2976" t="str">
            <v>Roav</v>
          </cell>
        </row>
        <row r="2977">
          <cell r="A2977" t="str">
            <v>clstmon-ava-avai-p06-sn0125</v>
          </cell>
          <cell r="B2977" t="str">
            <v>Avaira</v>
          </cell>
        </row>
        <row r="2978">
          <cell r="A2978" t="str">
            <v>clstdai-acu-dfvi-p60-sn0275</v>
          </cell>
          <cell r="B2978" t="str">
            <v>Acuvue</v>
          </cell>
        </row>
        <row r="2979">
          <cell r="A2979" t="str">
            <v>clstdai-acu-dfna-p30-sn0475</v>
          </cell>
          <cell r="B2979" t="str">
            <v>Acuvue</v>
          </cell>
        </row>
        <row r="2980">
          <cell r="A2980" t="str">
            <v>clstdai-acu-mois-p30-sn0575</v>
          </cell>
          <cell r="B2980" t="str">
            <v>Acuvue</v>
          </cell>
        </row>
        <row r="2981">
          <cell r="A2981" t="str">
            <v>su40701-bla-000265-0701-59</v>
          </cell>
          <cell r="B2981" t="str">
            <v>BlackOut</v>
          </cell>
        </row>
        <row r="2982">
          <cell r="A2982" t="str">
            <v>clstbiw-acu-0002-p06-sn0300</v>
          </cell>
          <cell r="B2982" t="str">
            <v>Acuvue</v>
          </cell>
        </row>
        <row r="2983">
          <cell r="A2983" t="str">
            <v>costmon-ama-lens-p02-dark-sepia-sn0250</v>
          </cell>
          <cell r="B2983" t="str">
            <v>Amara</v>
          </cell>
        </row>
        <row r="2984">
          <cell r="A2984" t="str">
            <v>cost3mo-lay-2024-p02-moon-gray-sn0600</v>
          </cell>
          <cell r="B2984" t="str">
            <v>Layala</v>
          </cell>
        </row>
        <row r="2985">
          <cell r="A2985" t="str">
            <v>sw60909-bla-000264-0909-50</v>
          </cell>
          <cell r="B2985" t="str">
            <v>BlackOut</v>
          </cell>
        </row>
        <row r="2986">
          <cell r="A2986" t="str">
            <v>clstdai-acu-dfvi-p30-sn0075</v>
          </cell>
          <cell r="B2986" t="str">
            <v>Acuvue</v>
          </cell>
        </row>
        <row r="2987">
          <cell r="A2987" t="str">
            <v>cost3mo-lay-2022-p02-crescent-gray-sn0150</v>
          </cell>
          <cell r="B2987" t="str">
            <v>Layala</v>
          </cell>
        </row>
        <row r="2988">
          <cell r="A2988" t="str">
            <v>clstmon-ava-avai-p06-sn0150</v>
          </cell>
          <cell r="B2988" t="str">
            <v>Avaira</v>
          </cell>
        </row>
        <row r="2989">
          <cell r="A2989" t="str">
            <v>clstdai-lay-cont-p30-dazzle-black-sn0100</v>
          </cell>
          <cell r="B2989" t="str">
            <v>Layala</v>
          </cell>
        </row>
        <row r="2990">
          <cell r="A2990" t="str">
            <v>costmon-ama-2020-p02-pure-hazel-sn0400</v>
          </cell>
          <cell r="B2990" t="str">
            <v>Amara</v>
          </cell>
        </row>
        <row r="2991">
          <cell r="A2991" t="str">
            <v>sw30107-30s-000227-0107-53</v>
          </cell>
          <cell r="B2991" t="str">
            <v>30Sunday</v>
          </cell>
        </row>
        <row r="2992">
          <cell r="A2992" t="str">
            <v>fw101218-spc-000300-1200-52</v>
          </cell>
          <cell r="B2992" t="str">
            <v>Spectus</v>
          </cell>
        </row>
        <row r="2993">
          <cell r="A2993" t="str">
            <v>cost3mo-lay-2024-p02-terra-brown-sn0400</v>
          </cell>
          <cell r="B2993" t="str">
            <v>Layala</v>
          </cell>
        </row>
        <row r="2994">
          <cell r="A2994" t="str">
            <v>clstdai-eve-elit-p30-sn0425</v>
          </cell>
          <cell r="B2994" t="str">
            <v>Everva</v>
          </cell>
        </row>
        <row r="2995">
          <cell r="A2995" t="str">
            <v>clstdai-acu-oasy-p120-sn0700</v>
          </cell>
          <cell r="B2995" t="str">
            <v>Acuvue</v>
          </cell>
        </row>
        <row r="2996">
          <cell r="A2996" t="str">
            <v>clstdai-lay-cont-p10-dazzle-black-sn0750</v>
          </cell>
          <cell r="B2996" t="str">
            <v>Layala</v>
          </cell>
        </row>
        <row r="2997">
          <cell r="A2997" t="str">
            <v>sw40506-bla-000275-2906-54</v>
          </cell>
          <cell r="B2997" t="str">
            <v>BlackOut</v>
          </cell>
        </row>
        <row r="2998">
          <cell r="A2998" t="str">
            <v>fw72918-spc-000507-2900-53</v>
          </cell>
          <cell r="B2998" t="str">
            <v>Spectus</v>
          </cell>
        </row>
        <row r="2999">
          <cell r="A2999" t="str">
            <v>costmon-ama-2022-p02-dream-sn0325</v>
          </cell>
          <cell r="B2999" t="str">
            <v>Amara</v>
          </cell>
        </row>
        <row r="3000">
          <cell r="A3000" t="str">
            <v>sw32304-30s-000243-2304-57</v>
          </cell>
          <cell r="B3000" t="str">
            <v>30Sunday</v>
          </cell>
        </row>
        <row r="3001">
          <cell r="A3001" t="str">
            <v>cost3mo-lay-2025-p02-desert-topaz-sn0500</v>
          </cell>
          <cell r="B3001" t="str">
            <v>Layala</v>
          </cell>
        </row>
        <row r="3002">
          <cell r="A3002" t="str">
            <v>sm43207-30s-000502-3207p-53</v>
          </cell>
          <cell r="B3002" t="str">
            <v>30Sunday</v>
          </cell>
        </row>
        <row r="3003">
          <cell r="A3003" t="str">
            <v>cost3mo-lay-2022-p02-royal-green-sn0250</v>
          </cell>
          <cell r="B3003" t="str">
            <v>Layala</v>
          </cell>
        </row>
        <row r="3004">
          <cell r="A3004" t="str">
            <v>sm100107-30s-000444-0107-53</v>
          </cell>
          <cell r="B3004" t="str">
            <v>30Sunday</v>
          </cell>
        </row>
        <row r="3005">
          <cell r="A3005" t="str">
            <v>su50606-30s-000442-0606-50</v>
          </cell>
          <cell r="B3005" t="str">
            <v>30Sunday</v>
          </cell>
        </row>
        <row r="3006">
          <cell r="A3006" t="str">
            <v>sc70107-bab-000513-0107-46</v>
          </cell>
          <cell r="B3006" t="str">
            <v>Babamio</v>
          </cell>
        </row>
        <row r="3007">
          <cell r="A3007" t="str">
            <v>clstdai-dai-tot1-p30-sn0325</v>
          </cell>
          <cell r="B3007" t="str">
            <v>Dailies</v>
          </cell>
        </row>
        <row r="3008">
          <cell r="A3008" t="str">
            <v>clstdai-eve-pure-p30-sn0150</v>
          </cell>
          <cell r="B3008" t="str">
            <v>Everva</v>
          </cell>
        </row>
        <row r="3009">
          <cell r="A3009" t="str">
            <v>cost3mo-lay-lens-p02-chocolate-brown-sn0500</v>
          </cell>
          <cell r="B3009" t="str">
            <v>Layala</v>
          </cell>
        </row>
        <row r="3010">
          <cell r="A3010" t="str">
            <v>sw63202-30s-000492-3202-53</v>
          </cell>
          <cell r="B3010" t="str">
            <v>30Sunday</v>
          </cell>
        </row>
        <row r="3011">
          <cell r="A3011" t="str">
            <v>clstmon-sof-sl59-p06-sn0300</v>
          </cell>
          <cell r="B3011" t="str">
            <v>Soflens</v>
          </cell>
        </row>
        <row r="3012">
          <cell r="A3012" t="str">
            <v>clstdai-eve-elit-p90-sn0375</v>
          </cell>
          <cell r="B3012" t="str">
            <v>Everva</v>
          </cell>
        </row>
        <row r="3013">
          <cell r="A3013" t="str">
            <v>sw50707-30s-00406-0707p-56</v>
          </cell>
          <cell r="B3013" t="str">
            <v>30Sunday</v>
          </cell>
        </row>
        <row r="3014">
          <cell r="A3014" t="str">
            <v>costdai-acu-dffr-p10-hazel-sn0475</v>
          </cell>
          <cell r="B3014" t="str">
            <v>Acuvue</v>
          </cell>
        </row>
        <row r="3015">
          <cell r="A3015" t="str">
            <v>clstdai-btr-oned-p90-sn0600</v>
          </cell>
          <cell r="B3015" t="str">
            <v>Biotrue</v>
          </cell>
        </row>
        <row r="3016">
          <cell r="A3016" t="str">
            <v>costmon-ama-2022-p02-tan-sp0000</v>
          </cell>
          <cell r="B3016" t="str">
            <v>Amara</v>
          </cell>
        </row>
        <row r="3017">
          <cell r="A3017" t="str">
            <v>su70107-bla-000258-0107-60</v>
          </cell>
          <cell r="B3017" t="str">
            <v>BlackOut</v>
          </cell>
        </row>
        <row r="3018">
          <cell r="A3018" t="str">
            <v>cost3mo-lay-2022-p02-sweet-hazel-sn0550</v>
          </cell>
          <cell r="B3018" t="str">
            <v>Layala</v>
          </cell>
        </row>
        <row r="3019">
          <cell r="A3019" t="str">
            <v>costdai-acu-dffr-p10-hazel-sn0600</v>
          </cell>
          <cell r="B3019" t="str">
            <v>Acuvue</v>
          </cell>
        </row>
        <row r="3020">
          <cell r="A3020" t="str">
            <v>clstdai-acu-dfvi-p60-sn0200</v>
          </cell>
          <cell r="B3020" t="str">
            <v>Acuvue</v>
          </cell>
        </row>
        <row r="3021">
          <cell r="A3021" t="str">
            <v>cost3mo-lay-2022-p02-sweet-hazel-sn0400</v>
          </cell>
          <cell r="B3021" t="str">
            <v>Layala</v>
          </cell>
        </row>
        <row r="3022">
          <cell r="A3022" t="str">
            <v>su12904-bla-000213-2904-61</v>
          </cell>
          <cell r="B3022" t="str">
            <v>BlackOut</v>
          </cell>
        </row>
        <row r="3023">
          <cell r="A3023" t="str">
            <v>clstdai-btr-oned-p30-sn0275</v>
          </cell>
          <cell r="B3023" t="str">
            <v>Biotrue</v>
          </cell>
        </row>
        <row r="3024">
          <cell r="A3024" t="str">
            <v>cost3mo-lay-2021-p02-stardust-gray-sn0225</v>
          </cell>
          <cell r="B3024" t="str">
            <v>Layala</v>
          </cell>
        </row>
        <row r="3025">
          <cell r="A3025" t="str">
            <v>cost3mo-cel-natu-p01-real-shade-sp0300</v>
          </cell>
          <cell r="B3025" t="str">
            <v>Celena</v>
          </cell>
        </row>
        <row r="3026">
          <cell r="A3026" t="str">
            <v>su20406-30s-000213-0406-50</v>
          </cell>
          <cell r="B3026" t="str">
            <v>30Sunday</v>
          </cell>
        </row>
        <row r="3027">
          <cell r="A3027" t="str">
            <v>clstdai-acu-mois-p60-sn0425</v>
          </cell>
          <cell r="B3027" t="str">
            <v>Acuvue</v>
          </cell>
        </row>
        <row r="3028">
          <cell r="A3028" t="str">
            <v>cost3mo-lay-2022-p02-crescent-gray-sn0350</v>
          </cell>
          <cell r="B3028" t="str">
            <v>Layala</v>
          </cell>
        </row>
        <row r="3029">
          <cell r="A3029" t="str">
            <v>sm50107-30s-000452-0107-48</v>
          </cell>
          <cell r="B3029" t="str">
            <v>30Sunday</v>
          </cell>
        </row>
        <row r="3030">
          <cell r="A3030" t="str">
            <v>clstbiw-acu-oasy-p18-sn0375</v>
          </cell>
          <cell r="B3030" t="str">
            <v>Acuvue</v>
          </cell>
        </row>
        <row r="3031">
          <cell r="A3031" t="str">
            <v>fm40218-spc-000702-0218-54</v>
          </cell>
          <cell r="B3031" t="str">
            <v>Spectus</v>
          </cell>
        </row>
        <row r="3032">
          <cell r="A3032" t="str">
            <v>fu20218-spc-000812-0218-50</v>
          </cell>
          <cell r="B3032" t="str">
            <v>Spectus</v>
          </cell>
        </row>
        <row r="3033">
          <cell r="A3033" t="str">
            <v>sm50107-30s-000211-0107-51</v>
          </cell>
          <cell r="B3033" t="str">
            <v>30Sunday</v>
          </cell>
        </row>
        <row r="3034">
          <cell r="A3034" t="str">
            <v>costdai-acu-dffr-p30-honey-sn0375</v>
          </cell>
          <cell r="B3034" t="str">
            <v>Acuvue</v>
          </cell>
        </row>
        <row r="3035">
          <cell r="A3035" t="str">
            <v>costmon-ama-lens-p02-crocodile-green-sn0100</v>
          </cell>
          <cell r="B3035" t="str">
            <v>Amara</v>
          </cell>
        </row>
        <row r="3036">
          <cell r="A3036" t="str">
            <v>clstdai-acu-oasy-p60-sn0500</v>
          </cell>
          <cell r="B3036" t="str">
            <v>Acuvue</v>
          </cell>
        </row>
        <row r="3037">
          <cell r="A3037" t="str">
            <v>sm51306-30s-000216-1306-51</v>
          </cell>
          <cell r="B3037" t="str">
            <v>30Sunday</v>
          </cell>
        </row>
        <row r="3038">
          <cell r="A3038" t="str">
            <v>clstdai-acu-mois-p30-sp0350</v>
          </cell>
          <cell r="B3038" t="str">
            <v>Acuvue</v>
          </cell>
        </row>
        <row r="3039">
          <cell r="A3039" t="str">
            <v>clstdai-eve-elit-p30-sp0050</v>
          </cell>
          <cell r="B3039" t="str">
            <v>Everva</v>
          </cell>
        </row>
        <row r="3040">
          <cell r="A3040" t="str">
            <v>sw60404-bla-000350-0404-51</v>
          </cell>
          <cell r="B3040" t="str">
            <v>BlackOut</v>
          </cell>
        </row>
        <row r="3041">
          <cell r="A3041" t="str">
            <v>clstdai-acu-oasy-p90-sn1100</v>
          </cell>
          <cell r="B3041" t="str">
            <v>Acuvue</v>
          </cell>
        </row>
        <row r="3042">
          <cell r="A3042" t="str">
            <v>costdai-acu-dffr-p10-green-sn0450</v>
          </cell>
          <cell r="B3042" t="str">
            <v>Acuvue</v>
          </cell>
        </row>
        <row r="3043">
          <cell r="A3043" t="str">
            <v>sw60310-bla-000378-0310-59</v>
          </cell>
          <cell r="B3043" t="str">
            <v>BlackOut</v>
          </cell>
        </row>
        <row r="3044">
          <cell r="A3044" t="str">
            <v>bc20118-bab-000501-0118-46</v>
          </cell>
          <cell r="B3044" t="str">
            <v>Babamio</v>
          </cell>
        </row>
        <row r="3045">
          <cell r="A3045" t="str">
            <v>sw32304-bla-000276-2304-54</v>
          </cell>
          <cell r="B3045" t="str">
            <v>BlackOut</v>
          </cell>
        </row>
        <row r="3046">
          <cell r="A3046" t="str">
            <v>clstdai-acu-mois-p90-sp0500</v>
          </cell>
          <cell r="B3046" t="str">
            <v>Acuvue</v>
          </cell>
        </row>
        <row r="3047">
          <cell r="A3047" t="str">
            <v>costdai-acu-dffr-p30-grayzel-sn0400</v>
          </cell>
          <cell r="B3047" t="str">
            <v>Acuvue</v>
          </cell>
        </row>
        <row r="3048">
          <cell r="A3048" t="str">
            <v>sc50607-bab-000505-0607-43</v>
          </cell>
          <cell r="B3048" t="str">
            <v>Babamio</v>
          </cell>
        </row>
        <row r="3049">
          <cell r="A3049" t="str">
            <v>clstdai-lay-cont-p90-dazzle-black-sn0375</v>
          </cell>
          <cell r="B3049" t="str">
            <v>Layala</v>
          </cell>
        </row>
        <row r="3050">
          <cell r="A3050" t="str">
            <v>cost3mo-lay-2021-p02-polar-gray-sn0500</v>
          </cell>
          <cell r="B3050" t="str">
            <v>Layala</v>
          </cell>
        </row>
        <row r="3051">
          <cell r="A3051" t="str">
            <v>clstbiw-acu-oasy-p06-sp0475</v>
          </cell>
          <cell r="B3051" t="str">
            <v>Acuvue</v>
          </cell>
        </row>
        <row r="3052">
          <cell r="A3052" t="str">
            <v>clstdai-acu-mois-p120-sn1000</v>
          </cell>
          <cell r="B3052" t="str">
            <v>Acuvue</v>
          </cell>
        </row>
        <row r="3053">
          <cell r="A3053" t="str">
            <v>cost3mo-lay-2021-p02-stardust-gray-sn0275</v>
          </cell>
          <cell r="B3053" t="str">
            <v>Layala</v>
          </cell>
        </row>
        <row r="3054">
          <cell r="A3054" t="str">
            <v>cost3mo-lay-lens-p02-chestnut-brown-sn0075</v>
          </cell>
          <cell r="B3054" t="str">
            <v>Layala</v>
          </cell>
        </row>
        <row r="3055">
          <cell r="A3055" t="str">
            <v>cost3mo-lay-lens-p02-chestnut-brown-sn0600</v>
          </cell>
          <cell r="B3055" t="str">
            <v>Layala</v>
          </cell>
        </row>
        <row r="3056">
          <cell r="A3056" t="str">
            <v>sw100107-bla-000303-0107-56</v>
          </cell>
          <cell r="B3056" t="str">
            <v>BlackOut</v>
          </cell>
        </row>
        <row r="3057">
          <cell r="A3057" t="str">
            <v>su50101-30s-000281-0101-55</v>
          </cell>
          <cell r="B3057" t="str">
            <v>30Sunday</v>
          </cell>
        </row>
        <row r="3058">
          <cell r="A3058" t="str">
            <v>cost3mo-lay-2022-p02-sage-gray-sn0325</v>
          </cell>
          <cell r="B3058" t="str">
            <v>Layala</v>
          </cell>
        </row>
        <row r="3059">
          <cell r="A3059" t="str">
            <v>clstbiw-acu-oasy-p18-sn0100</v>
          </cell>
          <cell r="B3059" t="str">
            <v>Acuvue</v>
          </cell>
        </row>
        <row r="3060">
          <cell r="A3060" t="str">
            <v>cost3mo-lay-2022-p02-royal-green-sp0000</v>
          </cell>
          <cell r="B3060" t="str">
            <v>Layala</v>
          </cell>
        </row>
        <row r="3061">
          <cell r="A3061" t="str">
            <v>cost3mo-lay-2021-p02-stardust-gray-sp0000</v>
          </cell>
          <cell r="B3061" t="str">
            <v>Layala</v>
          </cell>
        </row>
        <row r="3062">
          <cell r="A3062" t="str">
            <v>clstdai-acu-omax-p90-sp0200</v>
          </cell>
          <cell r="B3062" t="str">
            <v>Acuvue</v>
          </cell>
        </row>
        <row r="3063">
          <cell r="A3063" t="str">
            <v>fw31418-spc-000643-1418-53</v>
          </cell>
          <cell r="B3063" t="str">
            <v>Spectus</v>
          </cell>
        </row>
        <row r="3064">
          <cell r="A3064" t="str">
            <v>clstdai-eve-pure-p30-sp0150</v>
          </cell>
          <cell r="B3064" t="str">
            <v>Everva</v>
          </cell>
        </row>
        <row r="3065">
          <cell r="A3065" t="str">
            <v>costdai-acu-dffr-p10-green-sn0075</v>
          </cell>
          <cell r="B3065" t="str">
            <v>Acuvue</v>
          </cell>
        </row>
        <row r="3066">
          <cell r="A3066" t="str">
            <v>clstdai-acu-dfvi-p90-sn0800</v>
          </cell>
          <cell r="B3066" t="str">
            <v>Acuvue</v>
          </cell>
        </row>
        <row r="3067">
          <cell r="A3067" t="str">
            <v>sw80107-bla-000210-0107-54</v>
          </cell>
          <cell r="B3067" t="str">
            <v>BlackOut</v>
          </cell>
        </row>
        <row r="3068">
          <cell r="A3068" t="str">
            <v>cost3mo-lay-2021-p02-golden-gray-sn0375</v>
          </cell>
          <cell r="B3068" t="str">
            <v>Layala</v>
          </cell>
        </row>
        <row r="3069">
          <cell r="A3069" t="str">
            <v>sw41504-bla-000209-1504-51</v>
          </cell>
          <cell r="B3069" t="str">
            <v>BlackOut</v>
          </cell>
        </row>
        <row r="3070">
          <cell r="A3070" t="str">
            <v>costdai-acu-dffr-p10-honey-sn0225</v>
          </cell>
          <cell r="B3070" t="str">
            <v>Acuvue</v>
          </cell>
        </row>
        <row r="3071">
          <cell r="A3071" t="str">
            <v>sw40404-bla-000260-0404-52</v>
          </cell>
          <cell r="B3071" t="str">
            <v>BlackOut</v>
          </cell>
        </row>
        <row r="3072">
          <cell r="A3072" t="str">
            <v>clstdai-sof-sdai-p90-sn0275</v>
          </cell>
          <cell r="B3072" t="str">
            <v>Soflens</v>
          </cell>
        </row>
        <row r="3073">
          <cell r="A3073" t="str">
            <v>bc52018-bab-000504-2018-51</v>
          </cell>
          <cell r="B3073" t="str">
            <v>Babamio</v>
          </cell>
        </row>
        <row r="3074">
          <cell r="A3074" t="str">
            <v>clstdai-dai-tot1-p30-sn0250</v>
          </cell>
          <cell r="B3074" t="str">
            <v>Dailies</v>
          </cell>
        </row>
        <row r="3075">
          <cell r="A3075" t="str">
            <v>costmon-ama-lens-p02-crocodile-green-sn0050</v>
          </cell>
          <cell r="B3075" t="str">
            <v>Amara</v>
          </cell>
        </row>
        <row r="3076">
          <cell r="A3076" t="str">
            <v>clstdai-lay-cont-p60-dazzle-black-sn0850</v>
          </cell>
          <cell r="B3076" t="str">
            <v>Layala</v>
          </cell>
        </row>
        <row r="3077">
          <cell r="A3077" t="str">
            <v>clstbiw-acu-0002-p06-sn0475</v>
          </cell>
          <cell r="B3077" t="str">
            <v>Acuvue</v>
          </cell>
        </row>
        <row r="3078">
          <cell r="A3078" t="str">
            <v>cost3mo-lay-2022-p02-sage-gray-sn0500</v>
          </cell>
          <cell r="B3078" t="str">
            <v>Layala</v>
          </cell>
        </row>
        <row r="3079">
          <cell r="A3079" t="str">
            <v>clstdai-acu-mois-p90-sn0950</v>
          </cell>
          <cell r="B3079" t="str">
            <v>Acuvue</v>
          </cell>
        </row>
        <row r="3080">
          <cell r="A3080" t="str">
            <v>sw31010-bla-000255-1010-52</v>
          </cell>
          <cell r="B3080" t="str">
            <v>BlackOut</v>
          </cell>
        </row>
        <row r="3081">
          <cell r="A3081" t="str">
            <v>clstmon-eve-prom-p06-sn0275</v>
          </cell>
          <cell r="B3081" t="str">
            <v>Everva</v>
          </cell>
        </row>
        <row r="3082">
          <cell r="A3082" t="str">
            <v>clstmon-sof-sl59-p06-sn0650</v>
          </cell>
          <cell r="B3082" t="str">
            <v>Soflens</v>
          </cell>
        </row>
        <row r="3083">
          <cell r="A3083" t="str">
            <v>costdai-ama-dail-p10-amber-sn0375</v>
          </cell>
          <cell r="B3083" t="str">
            <v>Amara</v>
          </cell>
        </row>
        <row r="3084">
          <cell r="A3084" t="str">
            <v>sw31306-30s-000126-1306-54</v>
          </cell>
          <cell r="B3084" t="str">
            <v>30Sunday</v>
          </cell>
        </row>
        <row r="3085">
          <cell r="A3085" t="str">
            <v>sw100404-bla-000316-0404-51</v>
          </cell>
          <cell r="B3085" t="str">
            <v>BlackOut</v>
          </cell>
        </row>
        <row r="3086">
          <cell r="A3086" t="str">
            <v>su100107-bla-000345-0107-56</v>
          </cell>
          <cell r="B3086" t="str">
            <v>BlackOut</v>
          </cell>
        </row>
        <row r="3087">
          <cell r="A3087" t="str">
            <v>clstmon-eve-prom-p06-sn0350</v>
          </cell>
          <cell r="B3087" t="str">
            <v>Everva</v>
          </cell>
        </row>
        <row r="3088">
          <cell r="A3088" t="str">
            <v>clstmon-sof-sl59-p06-sn0450</v>
          </cell>
          <cell r="B3088" t="str">
            <v>Soflens</v>
          </cell>
        </row>
        <row r="3089">
          <cell r="A3089" t="str">
            <v>sacchan-30s-inu-gold</v>
          </cell>
          <cell r="B3089" t="str">
            <v>30Sunday</v>
          </cell>
        </row>
        <row r="3090">
          <cell r="A3090" t="str">
            <v>ru40118-spc-000850-0118-49-sp0300</v>
          </cell>
          <cell r="B3090" t="str">
            <v>Spectus</v>
          </cell>
        </row>
        <row r="3091">
          <cell r="A3091" t="str">
            <v>sc50207-bab-000503-0207-46</v>
          </cell>
          <cell r="B3091" t="str">
            <v>Babamio</v>
          </cell>
        </row>
        <row r="3092">
          <cell r="A3092" t="str">
            <v>costmon-ama-lens-p02-crocodile-green-sn0150</v>
          </cell>
          <cell r="B3092" t="str">
            <v>Amara</v>
          </cell>
        </row>
        <row r="3093">
          <cell r="A3093" t="str">
            <v>clstdai-lay-cont-p10-dazzle-brown-sn0900</v>
          </cell>
          <cell r="B3093" t="str">
            <v>Layala</v>
          </cell>
        </row>
        <row r="3094">
          <cell r="A3094" t="str">
            <v>costdai-acu-dffr-p30-grayzel-sn0350</v>
          </cell>
          <cell r="B3094" t="str">
            <v>Acuvue</v>
          </cell>
        </row>
        <row r="3095">
          <cell r="A3095" t="str">
            <v>costdai-acu-dffr-p10-hazel-sn0800</v>
          </cell>
          <cell r="B3095" t="str">
            <v>Acuvue</v>
          </cell>
        </row>
        <row r="3096">
          <cell r="A3096" t="str">
            <v>costmon-ama-2024-p02-matcha-sn0475</v>
          </cell>
          <cell r="B3096" t="str">
            <v>Amara</v>
          </cell>
        </row>
        <row r="3097">
          <cell r="A3097" t="str">
            <v>clstdai-eve-elit-p30-sp0325</v>
          </cell>
          <cell r="B3097" t="str">
            <v>Everva</v>
          </cell>
        </row>
        <row r="3098">
          <cell r="A3098" t="str">
            <v>sw52304-bla-000103-2704-57</v>
          </cell>
          <cell r="B3098" t="str">
            <v>BlackOut</v>
          </cell>
        </row>
        <row r="3099">
          <cell r="A3099" t="str">
            <v>sacchan-30s-chain138-pnk-starla-pink</v>
          </cell>
          <cell r="B3099" t="str">
            <v>30Sunday</v>
          </cell>
        </row>
        <row r="3100">
          <cell r="A3100" t="str">
            <v>su102904-bla-000278-2904-58</v>
          </cell>
          <cell r="B3100" t="str">
            <v>BlackOut</v>
          </cell>
        </row>
        <row r="3101">
          <cell r="A3101" t="str">
            <v>clstbiw-acu-oasy-p06-sn0300</v>
          </cell>
          <cell r="B3101" t="str">
            <v>Acuvue</v>
          </cell>
        </row>
        <row r="3102">
          <cell r="A3102" t="str">
            <v>clstdai-dai-tot1-p90-sp0225</v>
          </cell>
          <cell r="B3102" t="str">
            <v>Dailies</v>
          </cell>
        </row>
        <row r="3103">
          <cell r="A3103" t="str">
            <v>sm51304-30s-000220-1304-55</v>
          </cell>
          <cell r="B3103" t="str">
            <v>30Sunday</v>
          </cell>
        </row>
        <row r="3104">
          <cell r="A3104" t="str">
            <v>clstdai-eve-elit-p30-sn1200</v>
          </cell>
          <cell r="B3104" t="str">
            <v>Everva</v>
          </cell>
        </row>
        <row r="3105">
          <cell r="A3105" t="str">
            <v>clstdai-acu-oasy-p90-sp0175</v>
          </cell>
          <cell r="B3105" t="str">
            <v>Acuvue</v>
          </cell>
        </row>
        <row r="3106">
          <cell r="A3106" t="str">
            <v>costdai-acu-dffr-p10-green-sn0250</v>
          </cell>
          <cell r="B3106" t="str">
            <v>Acuvue</v>
          </cell>
        </row>
        <row r="3107">
          <cell r="A3107" t="str">
            <v>clstdai-lay-cont-p60-dazzle-black-sn0650</v>
          </cell>
          <cell r="B3107" t="str">
            <v>Layala</v>
          </cell>
        </row>
        <row r="3108">
          <cell r="A3108" t="str">
            <v>cost3mo-lay-2023-p02-selene-green-sn0175</v>
          </cell>
          <cell r="B3108" t="str">
            <v>Layala</v>
          </cell>
        </row>
        <row r="3109">
          <cell r="A3109" t="str">
            <v>sw52906-bla-000226-2906-57</v>
          </cell>
          <cell r="B3109" t="str">
            <v>BlackOut</v>
          </cell>
        </row>
        <row r="3110">
          <cell r="A3110" t="str">
            <v>ru40718-spc-00929-0718-53-sp0100</v>
          </cell>
          <cell r="B3110" t="str">
            <v>Spectus</v>
          </cell>
        </row>
        <row r="3111">
          <cell r="A3111" t="str">
            <v>sm40107-30s-00416-0107p-54</v>
          </cell>
          <cell r="B3111" t="str">
            <v>30Sunday</v>
          </cell>
        </row>
        <row r="3112">
          <cell r="A3112" t="str">
            <v>clstmon-pur-visi-p06-sp0500</v>
          </cell>
          <cell r="B3112" t="str">
            <v>PureVision</v>
          </cell>
        </row>
        <row r="3113">
          <cell r="A3113" t="str">
            <v>clstdai-acu-omax-p90-sp0525</v>
          </cell>
          <cell r="B3113" t="str">
            <v>Acuvue</v>
          </cell>
        </row>
        <row r="3114">
          <cell r="A3114" t="str">
            <v>clstdai-eve-elit-p30-sn0075</v>
          </cell>
          <cell r="B3114" t="str">
            <v>Everva</v>
          </cell>
        </row>
        <row r="3115">
          <cell r="A3115" t="str">
            <v>clstdai-acu-dfvi-p90-sn0375</v>
          </cell>
          <cell r="B3115" t="str">
            <v>Acuvue</v>
          </cell>
        </row>
        <row r="3116">
          <cell r="A3116" t="str">
            <v>sm50102-30s-000221-1302-52</v>
          </cell>
          <cell r="B3116" t="str">
            <v>30Sunday</v>
          </cell>
        </row>
        <row r="3117">
          <cell r="A3117" t="str">
            <v>cost3mo-lay-2021-p02-willow-green-sn0375</v>
          </cell>
          <cell r="B3117" t="str">
            <v>Layala</v>
          </cell>
        </row>
        <row r="3118">
          <cell r="A3118" t="str">
            <v>sacchan-30s-inu-rose-gold</v>
          </cell>
          <cell r="B3118" t="str">
            <v>30Sunday</v>
          </cell>
        </row>
        <row r="3119">
          <cell r="A3119" t="str">
            <v>cost3mo-lay-2021-p02-stardust-gray-sn0075</v>
          </cell>
          <cell r="B3119" t="str">
            <v>Layala</v>
          </cell>
        </row>
        <row r="3120">
          <cell r="A3120" t="str">
            <v>sw22306-30s-000112-2306-50</v>
          </cell>
          <cell r="B3120" t="str">
            <v>30Sunday</v>
          </cell>
        </row>
        <row r="3121">
          <cell r="A3121" t="str">
            <v>costdai-ama-dail-p10-sugar-sn0250</v>
          </cell>
          <cell r="B3121" t="str">
            <v>Amara</v>
          </cell>
        </row>
        <row r="3122">
          <cell r="A3122" t="str">
            <v>clstdai-dai-aqua-p90-sp0800</v>
          </cell>
          <cell r="B3122" t="str">
            <v>Dailies</v>
          </cell>
        </row>
        <row r="3123">
          <cell r="A3123" t="str">
            <v>cost3mo-lay-lens-p02-forest-green-sn0350</v>
          </cell>
          <cell r="B3123" t="str">
            <v>Layala</v>
          </cell>
        </row>
        <row r="3124">
          <cell r="A3124" t="str">
            <v>clstdai-acu-mois-p60-sn1050</v>
          </cell>
          <cell r="B3124" t="str">
            <v>Acuvue</v>
          </cell>
        </row>
        <row r="3125">
          <cell r="A3125" t="str">
            <v>clstdai-sof-sdai-p90-sn0250</v>
          </cell>
          <cell r="B3125" t="str">
            <v>Soflens</v>
          </cell>
        </row>
        <row r="3126">
          <cell r="A3126" t="str">
            <v>cost3mo-lay-2023-p02-sable-brown-sn0100</v>
          </cell>
          <cell r="B3126" t="str">
            <v>Layala</v>
          </cell>
        </row>
        <row r="3127">
          <cell r="A3127" t="str">
            <v>clstdai-acu-oasy-p30-sp0800</v>
          </cell>
          <cell r="B3127" t="str">
            <v>Acuvue</v>
          </cell>
        </row>
        <row r="3128">
          <cell r="A3128" t="str">
            <v>clstbiw-acu-0002-p06-sp0100</v>
          </cell>
          <cell r="B3128" t="str">
            <v>Acuvue</v>
          </cell>
        </row>
        <row r="3129">
          <cell r="A3129" t="str">
            <v>clstdai-dai-tot1-p30-sp0075</v>
          </cell>
          <cell r="B3129" t="str">
            <v>Dailies</v>
          </cell>
        </row>
        <row r="3130">
          <cell r="A3130" t="str">
            <v>clstdai-btr-oned-p30-sn0475</v>
          </cell>
          <cell r="B3130" t="str">
            <v>Biotrue</v>
          </cell>
        </row>
        <row r="3131">
          <cell r="A3131" t="str">
            <v>sw30107-bla-000308-0107-61</v>
          </cell>
          <cell r="B3131" t="str">
            <v>BlackOut</v>
          </cell>
        </row>
        <row r="3132">
          <cell r="A3132" t="str">
            <v>cost3mo-lay-lens-p02-platinum-gray-sn0100</v>
          </cell>
          <cell r="B3132" t="str">
            <v>Layala</v>
          </cell>
        </row>
        <row r="3133">
          <cell r="A3133" t="str">
            <v>sw40404-bla-000341-0404-55</v>
          </cell>
          <cell r="B3133" t="str">
            <v>BlackOut</v>
          </cell>
        </row>
        <row r="3134">
          <cell r="A3134" t="str">
            <v>sc21306-bab-000501-1306-46</v>
          </cell>
          <cell r="B3134" t="str">
            <v>Babamio</v>
          </cell>
        </row>
        <row r="3135">
          <cell r="A3135" t="str">
            <v>clstdai-acu-dfna-p60-sn0500</v>
          </cell>
          <cell r="B3135" t="str">
            <v>Acuvue</v>
          </cell>
        </row>
        <row r="3136">
          <cell r="A3136" t="str">
            <v>fm12918-spc-000525-2900-55</v>
          </cell>
          <cell r="B3136" t="str">
            <v>Spectus</v>
          </cell>
        </row>
        <row r="3137">
          <cell r="A3137" t="str">
            <v>clstdai-acu-dfna-p90-sn0550</v>
          </cell>
          <cell r="B3137" t="str">
            <v>Acuvue</v>
          </cell>
        </row>
        <row r="3138">
          <cell r="A3138" t="str">
            <v>cost3mo-cel-natu-p01-azure-blue-sp0400</v>
          </cell>
          <cell r="B3138" t="str">
            <v>Celena</v>
          </cell>
        </row>
        <row r="3139">
          <cell r="A3139" t="str">
            <v>costdai-acu-dffr-p30-rose-sn0275</v>
          </cell>
          <cell r="B3139" t="str">
            <v>Acuvue</v>
          </cell>
        </row>
        <row r="3140">
          <cell r="A3140" t="str">
            <v>clstdai-acu-dfrb-p30-sn0150</v>
          </cell>
          <cell r="B3140" t="str">
            <v>Acuvue</v>
          </cell>
        </row>
        <row r="3141">
          <cell r="A3141" t="str">
            <v>clstdai-acu-oasy-p30-sp0275</v>
          </cell>
          <cell r="B3141" t="str">
            <v>Acuvue</v>
          </cell>
        </row>
        <row r="3142">
          <cell r="A3142" t="str">
            <v>sm52506-30s-000200-2506-57</v>
          </cell>
          <cell r="B3142" t="str">
            <v>30Sunday</v>
          </cell>
        </row>
        <row r="3143">
          <cell r="A3143" t="str">
            <v>su50707-rov-8207-12-14-55</v>
          </cell>
          <cell r="B3143" t="str">
            <v>Roav</v>
          </cell>
        </row>
        <row r="3144">
          <cell r="A3144" t="str">
            <v>costdai-ama-dail-p10-honey-sn0125</v>
          </cell>
          <cell r="B3144" t="str">
            <v>Amara</v>
          </cell>
        </row>
        <row r="3145">
          <cell r="A3145" t="str">
            <v>fu40918-spc-000713-0900-53</v>
          </cell>
          <cell r="B3145" t="str">
            <v>Spectus</v>
          </cell>
        </row>
        <row r="3146">
          <cell r="A3146" t="str">
            <v>costmon-ama-2020-p02-charcoal-gray-sn0375</v>
          </cell>
          <cell r="B3146" t="str">
            <v>Amara</v>
          </cell>
        </row>
        <row r="3147">
          <cell r="A3147" t="str">
            <v>su60707-bla-000338-0707-55</v>
          </cell>
          <cell r="B3147" t="str">
            <v>BlackOut</v>
          </cell>
        </row>
        <row r="3148">
          <cell r="A3148" t="str">
            <v>sm70106-30s-000250-0106-55</v>
          </cell>
          <cell r="B3148" t="str">
            <v>30Sunday</v>
          </cell>
        </row>
        <row r="3149">
          <cell r="A3149" t="str">
            <v>sm61306-30s-000235-1306-46</v>
          </cell>
          <cell r="B3149" t="str">
            <v>30Sunday</v>
          </cell>
        </row>
        <row r="3150">
          <cell r="A3150" t="str">
            <v>clstmon-sof-sl59-p06-sn0225</v>
          </cell>
          <cell r="B3150" t="str">
            <v>Soflens</v>
          </cell>
        </row>
        <row r="3151">
          <cell r="A3151" t="str">
            <v>cost3mo-lay-2021-p02-skye-blue-sn0200</v>
          </cell>
          <cell r="B3151" t="str">
            <v>Layala</v>
          </cell>
        </row>
        <row r="3152">
          <cell r="A3152" t="str">
            <v>clstdai-dai-aqua-p30-sp0125</v>
          </cell>
          <cell r="B3152" t="str">
            <v>Dailies</v>
          </cell>
        </row>
        <row r="3153">
          <cell r="A3153" t="str">
            <v>cost3mo-cel-natu-p01-desert-grey-sp0100</v>
          </cell>
          <cell r="B3153" t="str">
            <v>Celena</v>
          </cell>
        </row>
        <row r="3154">
          <cell r="A3154" t="str">
            <v>clstdai-btr-oned-p90-sn0500</v>
          </cell>
          <cell r="B3154" t="str">
            <v>Biotrue</v>
          </cell>
        </row>
        <row r="3155">
          <cell r="A3155" t="str">
            <v>cost3mo-lay-2022-p02-sweet-hazel-sn0300</v>
          </cell>
          <cell r="B3155" t="str">
            <v>Layala</v>
          </cell>
        </row>
        <row r="3156">
          <cell r="A3156" t="str">
            <v>clstdai-eve-elit-p90-sn0125</v>
          </cell>
          <cell r="B3156" t="str">
            <v>Everva</v>
          </cell>
        </row>
        <row r="3157">
          <cell r="A3157" t="str">
            <v>clstbiw-acu-0002-p06-sn0100</v>
          </cell>
          <cell r="B3157" t="str">
            <v>Acuvue</v>
          </cell>
        </row>
        <row r="3158">
          <cell r="A3158" t="str">
            <v>sw42104-bla-000254-2104-52</v>
          </cell>
          <cell r="B3158" t="str">
            <v>BlackOut</v>
          </cell>
        </row>
        <row r="3159">
          <cell r="A3159" t="str">
            <v>cost3mo-lay-2021-p02-sunkiss-brown-sn0075</v>
          </cell>
          <cell r="B3159" t="str">
            <v>Layala</v>
          </cell>
        </row>
        <row r="3160">
          <cell r="A3160" t="str">
            <v>sm50712-30s-000283-1212-54</v>
          </cell>
          <cell r="B3160" t="str">
            <v>30Sunday</v>
          </cell>
        </row>
        <row r="3161">
          <cell r="A3161" t="str">
            <v>clstdai-dai-aqua-p90-sn0400</v>
          </cell>
          <cell r="B3161" t="str">
            <v>Dailies</v>
          </cell>
        </row>
        <row r="3162">
          <cell r="A3162" t="str">
            <v>clstdai-lay-cont-p90-dazzle-black-sn0550</v>
          </cell>
          <cell r="B3162" t="str">
            <v>Layala</v>
          </cell>
        </row>
        <row r="3163">
          <cell r="A3163" t="str">
            <v>cost3mo-lay-2023-p02-selene-green-sn0550</v>
          </cell>
          <cell r="B3163" t="str">
            <v>Layala</v>
          </cell>
        </row>
        <row r="3164">
          <cell r="A3164" t="str">
            <v>costdai-ama-dail-p10-sugar-sn0525</v>
          </cell>
          <cell r="B3164" t="str">
            <v>Amara</v>
          </cell>
        </row>
        <row r="3165">
          <cell r="A3165" t="str">
            <v>costmon-ama-2020-p02-charcoal-gray-sn0325</v>
          </cell>
          <cell r="B3165" t="str">
            <v>Amara</v>
          </cell>
        </row>
        <row r="3166">
          <cell r="A3166" t="str">
            <v>cost3mo-lay-lens-p02-chocolate-brown-sn0250</v>
          </cell>
          <cell r="B3166" t="str">
            <v>Layala</v>
          </cell>
        </row>
        <row r="3167">
          <cell r="A3167" t="str">
            <v>cost3mo-lay-2021-p02-skye-blue-sn0250</v>
          </cell>
          <cell r="B3167" t="str">
            <v>Layala</v>
          </cell>
        </row>
        <row r="3168">
          <cell r="A3168" t="str">
            <v>clstdai-acu-dfvi-p60-sn0350</v>
          </cell>
          <cell r="B3168" t="str">
            <v>Acuvue</v>
          </cell>
        </row>
        <row r="3169">
          <cell r="A3169" t="str">
            <v>cost3mo-lay-2023-p02-sable-brown-sn0075</v>
          </cell>
          <cell r="B3169" t="str">
            <v>Layala</v>
          </cell>
        </row>
        <row r="3170">
          <cell r="A3170" t="str">
            <v>cost3mo-lay-2022-p02-avena-brown-sn0600</v>
          </cell>
          <cell r="B3170" t="str">
            <v>Layala</v>
          </cell>
        </row>
        <row r="3171">
          <cell r="A3171" t="str">
            <v>sunglasses-30Sundays-30s-000454-2904</v>
          </cell>
          <cell r="B3171" t="str">
            <v>30Sunday</v>
          </cell>
        </row>
        <row r="3172">
          <cell r="A3172" t="str">
            <v>costmon-ama-2024-p02-matcha-sn0300</v>
          </cell>
          <cell r="B3172" t="str">
            <v>Amara</v>
          </cell>
        </row>
        <row r="3173">
          <cell r="A3173" t="str">
            <v>fm70118-spc-000512-0100-51</v>
          </cell>
          <cell r="B3173" t="str">
            <v>Spectus</v>
          </cell>
        </row>
        <row r="3174">
          <cell r="A3174" t="str">
            <v>clstmon-eve-prom-p06-sn0100</v>
          </cell>
          <cell r="B3174" t="str">
            <v>Everva</v>
          </cell>
        </row>
        <row r="3175">
          <cell r="A3175" t="str">
            <v>clstdai-dai-tot1-p30-sn0100</v>
          </cell>
          <cell r="B3175" t="str">
            <v>Dailies</v>
          </cell>
        </row>
        <row r="3176">
          <cell r="A3176" t="str">
            <v>cost3mo-lay-2025-p02-emerald-glow-sn0075</v>
          </cell>
          <cell r="B3176" t="str">
            <v>Layala</v>
          </cell>
        </row>
        <row r="3177">
          <cell r="A3177" t="str">
            <v>sm10107-30s-000459-0107p-51</v>
          </cell>
          <cell r="B3177" t="str">
            <v>30Sunday</v>
          </cell>
        </row>
        <row r="3178">
          <cell r="A3178" t="str">
            <v>clstdai-dai-aqua-p30-sn0200</v>
          </cell>
          <cell r="B3178" t="str">
            <v>Dailies</v>
          </cell>
        </row>
        <row r="3179">
          <cell r="A3179" t="str">
            <v>su20702-30s-000206-0702-52</v>
          </cell>
          <cell r="B3179" t="str">
            <v>30Sunday</v>
          </cell>
        </row>
        <row r="3180">
          <cell r="A3180" t="str">
            <v>cost3mo-lay-2021-p02-golden-gray-sn0125</v>
          </cell>
          <cell r="B3180" t="str">
            <v>Layala</v>
          </cell>
        </row>
        <row r="3181">
          <cell r="A3181" t="str">
            <v>cost3mo-lay-2024-p02-terra-brown-sn0250</v>
          </cell>
          <cell r="B3181" t="str">
            <v>Layala</v>
          </cell>
        </row>
        <row r="3182">
          <cell r="A3182" t="str">
            <v>fw70918-spc-000512-0900-51</v>
          </cell>
          <cell r="B3182" t="str">
            <v>Spectus</v>
          </cell>
        </row>
        <row r="3183">
          <cell r="A3183" t="str">
            <v>costdai-acu-dffr-p10-hazel-sn0150</v>
          </cell>
          <cell r="B3183" t="str">
            <v>Acuvue</v>
          </cell>
        </row>
        <row r="3184">
          <cell r="A3184" t="str">
            <v>costmon-ama-2023-p02-chai-sn0275</v>
          </cell>
          <cell r="B3184" t="str">
            <v>Amara</v>
          </cell>
        </row>
        <row r="3185">
          <cell r="A3185" t="str">
            <v>cost3mo-lay-lens-p02-golden-brown-sn0275</v>
          </cell>
          <cell r="B3185" t="str">
            <v>Layala</v>
          </cell>
        </row>
        <row r="3186">
          <cell r="A3186" t="str">
            <v>sw51304-30s-000118-1304-56</v>
          </cell>
          <cell r="B3186" t="str">
            <v>30Sunday</v>
          </cell>
        </row>
        <row r="3187">
          <cell r="A3187" t="str">
            <v>sw52304-30s-000244-2304-57</v>
          </cell>
          <cell r="B3187" t="str">
            <v>30Sunday</v>
          </cell>
        </row>
        <row r="3188">
          <cell r="A3188" t="str">
            <v>sw100101-bla-000267-0101-56</v>
          </cell>
          <cell r="B3188" t="str">
            <v>BlackOut</v>
          </cell>
        </row>
        <row r="3189">
          <cell r="A3189" t="str">
            <v>cost3mo-lay-2024-p02-terra-brown-sn0500</v>
          </cell>
          <cell r="B3189" t="str">
            <v>Layala</v>
          </cell>
        </row>
        <row r="3190">
          <cell r="A3190" t="str">
            <v>clstbiw-acu-0002-p06-sp0200</v>
          </cell>
          <cell r="B3190" t="str">
            <v>Acuvue</v>
          </cell>
        </row>
        <row r="3191">
          <cell r="A3191" t="str">
            <v>clstmon-sof-sl59-p06-sn0600</v>
          </cell>
          <cell r="B3191" t="str">
            <v>Soflens</v>
          </cell>
        </row>
        <row r="3192">
          <cell r="A3192" t="str">
            <v>costmon-ama-lens-p02-crocodile-green-sn0900</v>
          </cell>
          <cell r="B3192" t="str">
            <v>Amara</v>
          </cell>
        </row>
        <row r="3193">
          <cell r="A3193" t="str">
            <v>clstdai-eve-pure-p90-Sn0900</v>
          </cell>
          <cell r="B3193" t="str">
            <v>Everva</v>
          </cell>
        </row>
        <row r="3194">
          <cell r="A3194" t="str">
            <v>bc20918-bab-000502-0918-50</v>
          </cell>
          <cell r="B3194" t="str">
            <v>Babamio</v>
          </cell>
        </row>
        <row r="3195">
          <cell r="A3195" t="str">
            <v>costmon-ama-2024-p02-chocolate-sn0225</v>
          </cell>
          <cell r="B3195" t="str">
            <v>Amara</v>
          </cell>
        </row>
        <row r="3196">
          <cell r="A3196" t="str">
            <v>cost3mo-lay-2021-p02-golden-gray-sn0100</v>
          </cell>
          <cell r="B3196" t="str">
            <v>Layala</v>
          </cell>
        </row>
        <row r="3197">
          <cell r="A3197" t="str">
            <v>costdai-acu-dffr-p10-green-sn0800</v>
          </cell>
          <cell r="B3197" t="str">
            <v>Acuvue</v>
          </cell>
        </row>
        <row r="3198">
          <cell r="A3198" t="str">
            <v>clstdai-btr-oned-p30-sn0375</v>
          </cell>
          <cell r="B3198" t="str">
            <v>Biotrue</v>
          </cell>
        </row>
        <row r="3199">
          <cell r="A3199" t="str">
            <v>cost3mo-lay-2021-p02-polar-gray-sn0400</v>
          </cell>
          <cell r="B3199" t="str">
            <v>Layala</v>
          </cell>
        </row>
        <row r="3200">
          <cell r="A3200" t="str">
            <v>costdai-ama-dail-p10-shadow-sn0600</v>
          </cell>
          <cell r="B3200" t="str">
            <v>Amara</v>
          </cell>
        </row>
        <row r="3201">
          <cell r="A3201" t="str">
            <v>sw30101-30s-000265-0101-54</v>
          </cell>
          <cell r="B3201" t="str">
            <v>30Sunday</v>
          </cell>
        </row>
        <row r="3202">
          <cell r="A3202" t="str">
            <v>clstdai-acu-oasy-p120-sn0575</v>
          </cell>
          <cell r="B3202" t="str">
            <v>Acuvue</v>
          </cell>
        </row>
        <row r="3203">
          <cell r="A3203" t="str">
            <v>sw71304-bla-000216-2904-55</v>
          </cell>
          <cell r="B3203" t="str">
            <v>BlackOut</v>
          </cell>
        </row>
        <row r="3204">
          <cell r="A3204" t="str">
            <v>costdai-acu-dffr-p10-grayzel-sn0300</v>
          </cell>
          <cell r="B3204" t="str">
            <v>Acuvue</v>
          </cell>
        </row>
        <row r="3205">
          <cell r="A3205" t="str">
            <v>clstdai-lay-cont-p10-dazzle-black-sn0075</v>
          </cell>
          <cell r="B3205" t="str">
            <v>Layala</v>
          </cell>
        </row>
        <row r="3206">
          <cell r="A3206" t="str">
            <v>costdai-acu-dffr-p30-rose-sn0700</v>
          </cell>
          <cell r="B3206" t="str">
            <v>Acuvue</v>
          </cell>
        </row>
        <row r="3207">
          <cell r="A3207" t="str">
            <v>clstdai-lay-cont-p10-dazzle-brown-sn0325</v>
          </cell>
          <cell r="B3207" t="str">
            <v>Layala</v>
          </cell>
        </row>
        <row r="3208">
          <cell r="A3208" t="str">
            <v>costdai-acu-dffr-p30-green-sn0325</v>
          </cell>
          <cell r="B3208" t="str">
            <v>Acuvue</v>
          </cell>
        </row>
        <row r="3209">
          <cell r="A3209" t="str">
            <v>su101207-bla-000274-1207-55</v>
          </cell>
          <cell r="B3209" t="str">
            <v>BlackOut</v>
          </cell>
        </row>
        <row r="3210">
          <cell r="A3210" t="str">
            <v>clstdai-dai-aqua-p30-sn0325</v>
          </cell>
          <cell r="B3210" t="str">
            <v>Dailies</v>
          </cell>
        </row>
        <row r="3211">
          <cell r="A3211" t="str">
            <v>clstbiw-acu-cle-p06-sn0500</v>
          </cell>
          <cell r="B3211" t="str">
            <v>Acuvue</v>
          </cell>
        </row>
        <row r="3212">
          <cell r="A3212" t="str">
            <v>clstdai-acu-omax-p90-sp0250</v>
          </cell>
          <cell r="B3212" t="str">
            <v>Acuvue</v>
          </cell>
        </row>
        <row r="3213">
          <cell r="A3213" t="str">
            <v>clstdai-acu-mois-p90-sp0275</v>
          </cell>
          <cell r="B3213" t="str">
            <v>Acuvue</v>
          </cell>
        </row>
        <row r="3214">
          <cell r="A3214" t="str">
            <v>sunglasses-30Sundays-30s-000452-0107</v>
          </cell>
          <cell r="B3214" t="str">
            <v>30Sunday</v>
          </cell>
        </row>
        <row r="3215">
          <cell r="A3215" t="str">
            <v>clstdai-acu-dfvi-p60-sn0900</v>
          </cell>
          <cell r="B3215" t="str">
            <v>Acuvue</v>
          </cell>
        </row>
        <row r="3216">
          <cell r="A3216" t="str">
            <v>costdai-acu-dffr-p30-hazel-sn0750</v>
          </cell>
          <cell r="B3216" t="str">
            <v>Acuvue</v>
          </cell>
        </row>
        <row r="3217">
          <cell r="A3217" t="str">
            <v>clstdai-dai-tot1-p30-sn0475</v>
          </cell>
          <cell r="B3217" t="str">
            <v>Dailies</v>
          </cell>
        </row>
        <row r="3218">
          <cell r="A3218" t="str">
            <v>cost3mo-lay-2022-p02-avena-brown-sn0400</v>
          </cell>
          <cell r="B3218" t="str">
            <v>Layala</v>
          </cell>
        </row>
        <row r="3219">
          <cell r="A3219" t="str">
            <v>clstdai-acu-dfrb-p30-sn0225</v>
          </cell>
          <cell r="B3219" t="str">
            <v>Acuvue</v>
          </cell>
        </row>
        <row r="3220">
          <cell r="A3220" t="str">
            <v>clstdai-sof-sdai-p30-sn0500</v>
          </cell>
          <cell r="B3220" t="str">
            <v>Soflens</v>
          </cell>
        </row>
        <row r="3221">
          <cell r="A3221" t="str">
            <v>clstbiw-acu-0002-p06-sn0125</v>
          </cell>
          <cell r="B3221" t="str">
            <v>Acuvue</v>
          </cell>
        </row>
        <row r="3222">
          <cell r="A3222" t="str">
            <v>su102909-30s-000499-2909-54</v>
          </cell>
          <cell r="B3222" t="str">
            <v>30Sunday</v>
          </cell>
        </row>
        <row r="3223">
          <cell r="A3223" t="str">
            <v>clstdai-lay-cont-p30-dazzle-brown-sn0700</v>
          </cell>
          <cell r="B3223" t="str">
            <v>Layala</v>
          </cell>
        </row>
        <row r="3224">
          <cell r="A3224" t="str">
            <v>sw62906-bla-000241-2906-58</v>
          </cell>
          <cell r="B3224" t="str">
            <v>BlackOut</v>
          </cell>
        </row>
        <row r="3225">
          <cell r="A3225" t="str">
            <v>cost3mo-cel-natu-p01-forest-green-sp0250</v>
          </cell>
          <cell r="B3225" t="str">
            <v>Celena</v>
          </cell>
        </row>
        <row r="3226">
          <cell r="A3226" t="str">
            <v>clstdai-acu-oasy-p30-sp0500</v>
          </cell>
          <cell r="B3226" t="str">
            <v>Acuvue</v>
          </cell>
        </row>
        <row r="3227">
          <cell r="A3227" t="str">
            <v>sm10107-30s-000208-0107-56</v>
          </cell>
          <cell r="B3227" t="str">
            <v>30Sunday</v>
          </cell>
        </row>
        <row r="3228">
          <cell r="A3228" t="str">
            <v>cost3mo-lay-2021-p02-skye-blue-sn0550</v>
          </cell>
          <cell r="B3228" t="str">
            <v>Layala</v>
          </cell>
        </row>
        <row r="3229">
          <cell r="A3229" t="str">
            <v>clstbiw-acu-oasy-p06-sn0375</v>
          </cell>
          <cell r="B3229" t="str">
            <v>Acuvue</v>
          </cell>
        </row>
        <row r="3230">
          <cell r="A3230" t="str">
            <v>sw52404-30s-000275-2404-48</v>
          </cell>
          <cell r="B3230" t="str">
            <v>30Sunday</v>
          </cell>
        </row>
        <row r="3231">
          <cell r="A3231" t="str">
            <v>cost3mo-lay-2024-p02-moon-gray-sn0450</v>
          </cell>
          <cell r="B3231" t="str">
            <v>Layala</v>
          </cell>
        </row>
        <row r="3232">
          <cell r="A3232" t="str">
            <v>clstdai-lay-cont-p10-dazzle-black-sn0050</v>
          </cell>
          <cell r="B3232" t="str">
            <v>Layala</v>
          </cell>
        </row>
        <row r="3233">
          <cell r="A3233" t="str">
            <v>clstdai-acu-oasy-p120-sn0275</v>
          </cell>
          <cell r="B3233" t="str">
            <v>Acuvue</v>
          </cell>
        </row>
        <row r="3234">
          <cell r="A3234" t="str">
            <v>clstdai-acu-omax-p90-sn0225</v>
          </cell>
          <cell r="B3234" t="str">
            <v>Acuvue</v>
          </cell>
        </row>
        <row r="3235">
          <cell r="A3235" t="str">
            <v>clstdai-acu-oasy-p60-sn0050</v>
          </cell>
          <cell r="B3235" t="str">
            <v>Acuvue</v>
          </cell>
        </row>
        <row r="3236">
          <cell r="A3236" t="str">
            <v>clstdai-lay-cont-p60-dazzle-black-sn0600</v>
          </cell>
          <cell r="B3236" t="str">
            <v>Layala</v>
          </cell>
        </row>
        <row r="3237">
          <cell r="A3237" t="str">
            <v>sc51306-bab-000505-1306-43</v>
          </cell>
          <cell r="B3237" t="str">
            <v>Babamio</v>
          </cell>
        </row>
        <row r="3238">
          <cell r="A3238" t="str">
            <v>clstdai-acu-mois-p60-sn0275</v>
          </cell>
          <cell r="B3238" t="str">
            <v>Acuvue</v>
          </cell>
        </row>
        <row r="3239">
          <cell r="A3239" t="str">
            <v>costmon-ama-2022-p02-cocoa-sn0100</v>
          </cell>
          <cell r="B3239" t="str">
            <v>Amara</v>
          </cell>
        </row>
        <row r="3240">
          <cell r="A3240" t="str">
            <v>sw50202-30s-000118-2302-56</v>
          </cell>
          <cell r="B3240" t="str">
            <v>30Sunday</v>
          </cell>
        </row>
        <row r="3241">
          <cell r="A3241" t="str">
            <v>sw30407-bla-000222-2102-57</v>
          </cell>
          <cell r="B3241" t="str">
            <v>BlackOut</v>
          </cell>
        </row>
        <row r="3242">
          <cell r="A3242" t="str">
            <v>clstdai-acu-oasy-p120-sn0650</v>
          </cell>
          <cell r="B3242" t="str">
            <v>Acuvue</v>
          </cell>
        </row>
        <row r="3243">
          <cell r="A3243" t="str">
            <v>clstdai-eve-elit-p30-sp0400</v>
          </cell>
          <cell r="B3243" t="str">
            <v>Everva</v>
          </cell>
        </row>
        <row r="3244">
          <cell r="A3244" t="str">
            <v>cost3mo-lay-2021-p02-polar-gray-sp0000</v>
          </cell>
          <cell r="B3244" t="str">
            <v>Layala</v>
          </cell>
        </row>
        <row r="3245">
          <cell r="A3245" t="str">
            <v>cost3mo-lay-lens-p02-forest-green-sn0250</v>
          </cell>
          <cell r="B3245" t="str">
            <v>Layala</v>
          </cell>
        </row>
        <row r="3246">
          <cell r="A3246" t="str">
            <v>clstdai-eve-elit-p30-sn0175</v>
          </cell>
          <cell r="B3246" t="str">
            <v>Everva</v>
          </cell>
        </row>
        <row r="3247">
          <cell r="A3247" t="str">
            <v>sacchan-30s-chain132-bge-zen-beige</v>
          </cell>
          <cell r="B3247" t="str">
            <v>30Sunday</v>
          </cell>
        </row>
        <row r="3248">
          <cell r="A3248" t="str">
            <v>su41204-bla-000265-1204-59</v>
          </cell>
          <cell r="B3248" t="str">
            <v>BlackOut</v>
          </cell>
        </row>
        <row r="3249">
          <cell r="A3249" t="str">
            <v>sm50101-30s-000298-0101-53</v>
          </cell>
          <cell r="B3249" t="str">
            <v>30Sunday</v>
          </cell>
        </row>
        <row r="3250">
          <cell r="A3250" t="str">
            <v>clstbiw-acu-0002-p06-sn0225</v>
          </cell>
          <cell r="B3250" t="str">
            <v>Acuvue</v>
          </cell>
        </row>
        <row r="3251">
          <cell r="A3251" t="str">
            <v>sm40107-30s-000506-0107-58</v>
          </cell>
          <cell r="B3251" t="str">
            <v>30Sunday</v>
          </cell>
        </row>
        <row r="3252">
          <cell r="A3252" t="str">
            <v>su60107-bla-000346-0107-54</v>
          </cell>
          <cell r="B3252" t="str">
            <v>BlackOut</v>
          </cell>
        </row>
        <row r="3253">
          <cell r="A3253" t="str">
            <v>fw52318-spc-000520-2300-51</v>
          </cell>
          <cell r="B3253" t="str">
            <v>Spectus</v>
          </cell>
        </row>
        <row r="3254">
          <cell r="A3254" t="str">
            <v>cost3mo-lay-2022-p02-royal-green-sn0550</v>
          </cell>
          <cell r="B3254" t="str">
            <v>Layala</v>
          </cell>
        </row>
        <row r="3255">
          <cell r="A3255" t="str">
            <v>bc21318-bab-000502-1318-50</v>
          </cell>
          <cell r="B3255" t="str">
            <v>Babamio</v>
          </cell>
        </row>
        <row r="3256">
          <cell r="A3256" t="str">
            <v>sm101406-30s-000303-1406p-52</v>
          </cell>
          <cell r="B3256" t="str">
            <v>30Sunday</v>
          </cell>
        </row>
        <row r="3257">
          <cell r="A3257" t="str">
            <v>clstdai-eve-elit-p90-sn0400</v>
          </cell>
          <cell r="B3257" t="str">
            <v>Everva</v>
          </cell>
        </row>
        <row r="3258">
          <cell r="A3258" t="str">
            <v>sw30507-30s-000117-0507-57</v>
          </cell>
          <cell r="B3258" t="str">
            <v>30Sunday</v>
          </cell>
        </row>
        <row r="3259">
          <cell r="A3259" t="str">
            <v>bc50218-bab-00537-0218d-46</v>
          </cell>
          <cell r="B3259" t="str">
            <v>Babamio</v>
          </cell>
        </row>
        <row r="3260">
          <cell r="A3260" t="str">
            <v>bc50118-bab-00537-0118d-46</v>
          </cell>
          <cell r="B3260" t="str">
            <v>Babamio</v>
          </cell>
        </row>
        <row r="3261">
          <cell r="A3261" t="str">
            <v>sm52906-30s-000205-0606-55</v>
          </cell>
          <cell r="B3261" t="str">
            <v>30Sunday</v>
          </cell>
        </row>
        <row r="3262">
          <cell r="A3262" t="str">
            <v>clstdai-dai-aqua-p90-sn0325</v>
          </cell>
          <cell r="B3262" t="str">
            <v>Dailies</v>
          </cell>
        </row>
        <row r="3263">
          <cell r="A3263" t="str">
            <v>clstdai-acu-mois-p90-sn1200</v>
          </cell>
          <cell r="B3263" t="str">
            <v>Acuvue</v>
          </cell>
        </row>
        <row r="3264">
          <cell r="A3264" t="str">
            <v>clstdai-btr-oned-p30-sn0450</v>
          </cell>
          <cell r="B3264" t="str">
            <v>Biotrue</v>
          </cell>
        </row>
        <row r="3265">
          <cell r="A3265" t="str">
            <v>clstdai-lay-cont-p90-dazzle-black-sn0850</v>
          </cell>
          <cell r="B3265" t="str">
            <v>Layala</v>
          </cell>
        </row>
        <row r="3266">
          <cell r="A3266" t="str">
            <v>clstdai-acu-omax-p30-sp0275</v>
          </cell>
          <cell r="B3266" t="str">
            <v>Acuvue</v>
          </cell>
        </row>
        <row r="3267">
          <cell r="A3267" t="str">
            <v>sw20509-bla-000206-2709-57</v>
          </cell>
          <cell r="B3267" t="str">
            <v>BlackOut</v>
          </cell>
        </row>
        <row r="3268">
          <cell r="A3268" t="str">
            <v>sw62904-bla-000241-2904-58</v>
          </cell>
          <cell r="B3268" t="str">
            <v>BlackOut</v>
          </cell>
        </row>
        <row r="3269">
          <cell r="A3269" t="str">
            <v>cost3mo-cel-natu-p01-forest-green-sp0300</v>
          </cell>
          <cell r="B3269" t="str">
            <v>Celena</v>
          </cell>
        </row>
        <row r="3270">
          <cell r="A3270" t="str">
            <v>sc50207-bab-000505-2807-43</v>
          </cell>
          <cell r="B3270" t="str">
            <v>Babamio</v>
          </cell>
        </row>
        <row r="3271">
          <cell r="A3271" t="str">
            <v>clstdai-acu-dfrb-p90-sn0175</v>
          </cell>
          <cell r="B3271" t="str">
            <v>Acuvue</v>
          </cell>
        </row>
        <row r="3272">
          <cell r="A3272" t="str">
            <v>sw30804-bla-000308-0804-61</v>
          </cell>
          <cell r="B3272" t="str">
            <v>BlackOut</v>
          </cell>
        </row>
        <row r="3273">
          <cell r="A3273" t="str">
            <v>clstdai-lay-cont-p10-dazzle-black-sn0700</v>
          </cell>
          <cell r="B3273" t="str">
            <v>Layala</v>
          </cell>
        </row>
        <row r="3274">
          <cell r="A3274" t="str">
            <v>fw22618-spc-000830-2618-48</v>
          </cell>
          <cell r="B3274" t="str">
            <v>Spectus</v>
          </cell>
        </row>
        <row r="3275">
          <cell r="A3275" t="str">
            <v>bc50218-bab-000503-0218-46</v>
          </cell>
          <cell r="B3275" t="str">
            <v>Babamio</v>
          </cell>
        </row>
        <row r="3276">
          <cell r="A3276" t="str">
            <v>clstdai-dai-tot1-p90-sp0100</v>
          </cell>
          <cell r="B3276" t="str">
            <v>Dailies</v>
          </cell>
        </row>
        <row r="3277">
          <cell r="A3277" t="str">
            <v>clstdai-acu-oasy-p30-sn1150</v>
          </cell>
          <cell r="B3277" t="str">
            <v>Acuvue</v>
          </cell>
        </row>
        <row r="3278">
          <cell r="A3278" t="str">
            <v>clstdai-acu-omax-p30-sp0225</v>
          </cell>
          <cell r="B3278" t="str">
            <v>Acuvue</v>
          </cell>
        </row>
        <row r="3279">
          <cell r="A3279" t="str">
            <v>sunglasses-30Sundays-30s-00453-0104p</v>
          </cell>
          <cell r="B3279" t="str">
            <v>30Sunday</v>
          </cell>
        </row>
        <row r="3280">
          <cell r="A3280" t="str">
            <v>costdai-acu-dffr-p30-grayzel-sn0375</v>
          </cell>
          <cell r="B3280" t="str">
            <v>Acuvue</v>
          </cell>
        </row>
        <row r="3281">
          <cell r="A3281" t="str">
            <v>costdai-acu-dffr-p30-honey-sn0300</v>
          </cell>
          <cell r="B3281" t="str">
            <v>Acuvue</v>
          </cell>
        </row>
        <row r="3282">
          <cell r="A3282" t="str">
            <v>clstmon-eve-prom-p06-sn0225</v>
          </cell>
          <cell r="B3282" t="str">
            <v>Everva</v>
          </cell>
        </row>
        <row r="3283">
          <cell r="A3283" t="str">
            <v>cost3mo-lay-2022-p02-cosmo-gray-sn0600</v>
          </cell>
          <cell r="B3283" t="str">
            <v>Layala</v>
          </cell>
        </row>
        <row r="3284">
          <cell r="A3284" t="str">
            <v>clstdai-acu-mois-p90-sp0425</v>
          </cell>
          <cell r="B3284" t="str">
            <v>Acuvue</v>
          </cell>
        </row>
        <row r="3285">
          <cell r="A3285" t="str">
            <v>costmon-ama-2022-p02-tan-sn0075</v>
          </cell>
          <cell r="B3285" t="str">
            <v>Amara</v>
          </cell>
        </row>
        <row r="3286">
          <cell r="A3286" t="str">
            <v>sc51306-bab-000504-1306-51</v>
          </cell>
          <cell r="B3286" t="str">
            <v>Babamio</v>
          </cell>
        </row>
        <row r="3287">
          <cell r="A3287" t="str">
            <v>costdai-ama-dail-p10-sugar-sn0150</v>
          </cell>
          <cell r="B3287" t="str">
            <v>Amara</v>
          </cell>
        </row>
        <row r="3288">
          <cell r="A3288" t="str">
            <v>sunglasses-30Sundays-30s-000457-0702</v>
          </cell>
          <cell r="B3288" t="str">
            <v>30Sunday</v>
          </cell>
        </row>
        <row r="3289">
          <cell r="A3289" t="str">
            <v>sm100106-30s-000408-0106-48</v>
          </cell>
          <cell r="B3289" t="str">
            <v>30Sunday</v>
          </cell>
        </row>
        <row r="3290">
          <cell r="A3290" t="str">
            <v>fw30518-spc-000867-2418-53</v>
          </cell>
          <cell r="B3290" t="str">
            <v>Spectus</v>
          </cell>
        </row>
        <row r="3291">
          <cell r="A3291" t="str">
            <v>clstbiw-acu-cle-p06-sn0700</v>
          </cell>
          <cell r="B3291" t="str">
            <v>Acuvue</v>
          </cell>
        </row>
        <row r="3292">
          <cell r="A3292" t="str">
            <v>clstdai-lay-cont-p60-dazzle-brown-sn0450</v>
          </cell>
          <cell r="B3292" t="str">
            <v>Layala</v>
          </cell>
        </row>
        <row r="3293">
          <cell r="A3293" t="str">
            <v>cost3mo-lay-2022-p02-crescent-gray-sn0275</v>
          </cell>
          <cell r="B3293" t="str">
            <v>Layala</v>
          </cell>
        </row>
        <row r="3294">
          <cell r="A3294" t="str">
            <v>clstdai-acu-mois-p90-sp0325</v>
          </cell>
          <cell r="B3294" t="str">
            <v>Acuvue</v>
          </cell>
        </row>
        <row r="3295">
          <cell r="A3295" t="str">
            <v>fm21218-spc-000871-0218-53</v>
          </cell>
          <cell r="B3295" t="str">
            <v>Spectus</v>
          </cell>
        </row>
        <row r="3296">
          <cell r="A3296" t="str">
            <v>clstdai-acu-oasy-p90-sp0150</v>
          </cell>
          <cell r="B3296" t="str">
            <v>Acuvue</v>
          </cell>
        </row>
        <row r="3297">
          <cell r="A3297" t="str">
            <v>clstdai-acu-mois-p60-sn0150</v>
          </cell>
          <cell r="B3297" t="str">
            <v>Acuvue</v>
          </cell>
        </row>
        <row r="3298">
          <cell r="A3298" t="str">
            <v>clstdai-acu-omax-p30-sp0800</v>
          </cell>
          <cell r="B3298" t="str">
            <v>Acuvue</v>
          </cell>
        </row>
        <row r="3299">
          <cell r="A3299" t="str">
            <v>clstbiw-acu-0002-p12-sn0425</v>
          </cell>
          <cell r="B3299" t="str">
            <v>Acuvue</v>
          </cell>
        </row>
        <row r="3300">
          <cell r="A3300" t="str">
            <v>costdai-ama-dail-p10-sugar-sn0575</v>
          </cell>
          <cell r="B3300" t="str">
            <v>Amara</v>
          </cell>
        </row>
        <row r="3301">
          <cell r="A3301" t="str">
            <v>clstdai-acu-dfrb-p30-sn0550</v>
          </cell>
          <cell r="B3301" t="str">
            <v>Acuvue</v>
          </cell>
        </row>
        <row r="3302">
          <cell r="A3302" t="str">
            <v>clstdai-eve-pure-p90-sn0150</v>
          </cell>
          <cell r="B3302" t="str">
            <v>Everva</v>
          </cell>
        </row>
        <row r="3303">
          <cell r="A3303" t="str">
            <v>clstbiw-acu-oasy-p06-sn0250</v>
          </cell>
          <cell r="B3303" t="str">
            <v>Acuvue</v>
          </cell>
        </row>
        <row r="3304">
          <cell r="A3304" t="str">
            <v>costdai-acu-dffr-p10-hazel-sn0175</v>
          </cell>
          <cell r="B3304" t="str">
            <v>Acuvue</v>
          </cell>
        </row>
        <row r="3305">
          <cell r="A3305" t="str">
            <v>su30506-bla-000272-2906-56</v>
          </cell>
          <cell r="B3305" t="str">
            <v>BlackOut</v>
          </cell>
        </row>
        <row r="3306">
          <cell r="A3306" t="str">
            <v>clstdai-acu-omax-p30-sn0550</v>
          </cell>
          <cell r="B3306" t="str">
            <v>Acuvue</v>
          </cell>
        </row>
        <row r="3307">
          <cell r="A3307" t="str">
            <v>sm61302-30s-000235-1302-46</v>
          </cell>
          <cell r="B3307" t="str">
            <v>30Sunday</v>
          </cell>
        </row>
        <row r="3308">
          <cell r="A3308" t="str">
            <v>clstdai-acu-omax-p30-sn0750</v>
          </cell>
          <cell r="B3308" t="str">
            <v>Acuvue</v>
          </cell>
        </row>
        <row r="3309">
          <cell r="A3309" t="str">
            <v>sacchan-30s-chain137-svr-nova-silver</v>
          </cell>
          <cell r="B3309" t="str">
            <v>30Sunday</v>
          </cell>
        </row>
        <row r="3310">
          <cell r="A3310" t="str">
            <v>costmon-ama-lens-p02-crocodile-green-sn0500</v>
          </cell>
          <cell r="B3310" t="str">
            <v>Amara</v>
          </cell>
        </row>
        <row r="3311">
          <cell r="A3311" t="str">
            <v>sw102404-30s-000271-2404-49</v>
          </cell>
          <cell r="B3311" t="str">
            <v>30Sunday</v>
          </cell>
        </row>
        <row r="3312">
          <cell r="A3312" t="str">
            <v>clstdai-acu-omax-p30-sn0225</v>
          </cell>
          <cell r="B3312" t="str">
            <v>Acuvue</v>
          </cell>
        </row>
        <row r="3313">
          <cell r="A3313" t="str">
            <v>clstdai-sof-sdai-p30-sn0700</v>
          </cell>
          <cell r="B3313" t="str">
            <v>Soflens</v>
          </cell>
        </row>
        <row r="3314">
          <cell r="A3314" t="str">
            <v>clstbiw-acu-0002-p06-sp0325</v>
          </cell>
          <cell r="B3314" t="str">
            <v>Acuvue</v>
          </cell>
        </row>
        <row r="3315">
          <cell r="A3315" t="str">
            <v>costdai-acu-dffr-p10-blue-sn0150</v>
          </cell>
          <cell r="B3315" t="str">
            <v>Acuvue</v>
          </cell>
        </row>
        <row r="3316">
          <cell r="A3316" t="str">
            <v>clstdai-acu-mois-p60-sn0075</v>
          </cell>
          <cell r="B3316" t="str">
            <v>Acuvue</v>
          </cell>
        </row>
        <row r="3317">
          <cell r="A3317" t="str">
            <v>clstdai-bme-1day-p30-sn0325</v>
          </cell>
          <cell r="B3317" t="str">
            <v>Biomedics</v>
          </cell>
        </row>
        <row r="3318">
          <cell r="A3318" t="str">
            <v>clstdai-eve-pure-p90-sp0450</v>
          </cell>
          <cell r="B3318" t="str">
            <v>Everva</v>
          </cell>
        </row>
        <row r="3319">
          <cell r="A3319" t="str">
            <v>clstdai-acu-mois-p120-sn0300</v>
          </cell>
          <cell r="B3319" t="str">
            <v>Acuvue</v>
          </cell>
        </row>
        <row r="3320">
          <cell r="A3320" t="str">
            <v>clstdai-eve-elit-p90-sn0150</v>
          </cell>
          <cell r="B3320" t="str">
            <v>Everva</v>
          </cell>
        </row>
        <row r="3321">
          <cell r="A3321" t="str">
            <v>sw32910-bla-000252-2910-54</v>
          </cell>
          <cell r="B3321" t="str">
            <v>BlackOut</v>
          </cell>
        </row>
        <row r="3322">
          <cell r="A3322" t="str">
            <v>cltodai-acu-mois-p30-sn0125-cn0075-a010</v>
          </cell>
          <cell r="B3322" t="str">
            <v>Acuvue</v>
          </cell>
        </row>
        <row r="3323">
          <cell r="A3323" t="str">
            <v>sw70107-bla-000257-0101-57</v>
          </cell>
          <cell r="B3323" t="str">
            <v>BlackOut</v>
          </cell>
        </row>
        <row r="3324">
          <cell r="A3324" t="str">
            <v>fw30118-spc-000645-0118-53</v>
          </cell>
          <cell r="B3324" t="str">
            <v>Spectus</v>
          </cell>
        </row>
        <row r="3325">
          <cell r="A3325" t="str">
            <v>sw70404-30s-000245-0404-55</v>
          </cell>
          <cell r="B3325" t="str">
            <v>30Sunday</v>
          </cell>
        </row>
        <row r="3326">
          <cell r="A3326" t="str">
            <v>sw31210-30s-000243-1210-57</v>
          </cell>
          <cell r="B3326" t="str">
            <v>30Sunday</v>
          </cell>
        </row>
        <row r="3327">
          <cell r="A3327" t="str">
            <v>fw60618-spc-000877-0618-51</v>
          </cell>
          <cell r="B3327" t="str">
            <v>Spectus</v>
          </cell>
        </row>
        <row r="3328">
          <cell r="A3328" t="str">
            <v>clstdai-acu-oasy-p120-sn1200</v>
          </cell>
          <cell r="B3328" t="str">
            <v>Acuvue</v>
          </cell>
        </row>
        <row r="3329">
          <cell r="A3329" t="str">
            <v>costdai-acu-dffr-p30-rose-sn0300</v>
          </cell>
          <cell r="B3329" t="str">
            <v>Acuvue</v>
          </cell>
        </row>
        <row r="3330">
          <cell r="A3330" t="str">
            <v>sw100707-bla-000374-0707-50</v>
          </cell>
          <cell r="B3330" t="str">
            <v>BlackOut</v>
          </cell>
        </row>
        <row r="3331">
          <cell r="A3331" t="str">
            <v>cost3mo-lay-2021-p02-polar-gray-sn0300</v>
          </cell>
          <cell r="B3331" t="str">
            <v>Layala</v>
          </cell>
        </row>
        <row r="3332">
          <cell r="A3332" t="str">
            <v>clstdai-acu-mois-p90-sn0175</v>
          </cell>
          <cell r="B3332" t="str">
            <v>Acuvue</v>
          </cell>
        </row>
        <row r="3333">
          <cell r="A3333" t="str">
            <v>clstdai-lay-cont-p60-dazzle-black-sn0125</v>
          </cell>
          <cell r="B3333" t="str">
            <v>Layala</v>
          </cell>
        </row>
        <row r="3334">
          <cell r="A3334" t="str">
            <v>clstmon-bme-bm55-p06-sn0025</v>
          </cell>
          <cell r="B3334" t="str">
            <v>Biomedics</v>
          </cell>
        </row>
        <row r="3335">
          <cell r="A3335" t="str">
            <v>clstdai-acu-mois-p30-sp0475</v>
          </cell>
          <cell r="B3335" t="str">
            <v>Acuvue</v>
          </cell>
        </row>
        <row r="3336">
          <cell r="A3336" t="str">
            <v>fw32918-spc-000809-2918-61</v>
          </cell>
          <cell r="B3336" t="str">
            <v>Spectus</v>
          </cell>
        </row>
        <row r="3337">
          <cell r="A3337" t="str">
            <v>clstdai-dai-aqua-p30-sn0250</v>
          </cell>
          <cell r="B3337" t="str">
            <v>Dailies</v>
          </cell>
        </row>
        <row r="3338">
          <cell r="A3338" t="str">
            <v>clstdai-bme-1day-p30-sn0100</v>
          </cell>
          <cell r="B3338" t="str">
            <v>Biomedics</v>
          </cell>
        </row>
        <row r="3339">
          <cell r="A3339" t="str">
            <v>costdai-acu-dffr-p30-grayzel-sn0200</v>
          </cell>
          <cell r="B3339" t="str">
            <v>Acuvue</v>
          </cell>
        </row>
        <row r="3340">
          <cell r="A3340" t="str">
            <v>fu20618-spc-000662-0618-49</v>
          </cell>
          <cell r="B3340" t="str">
            <v>Spectus</v>
          </cell>
        </row>
        <row r="3341">
          <cell r="A3341" t="str">
            <v>clstbiw-acu-oasy-p18-sn0400</v>
          </cell>
          <cell r="B3341" t="str">
            <v>Acuvue</v>
          </cell>
        </row>
        <row r="3342">
          <cell r="A3342" t="str">
            <v>cltobiw-acu-oasy-p06-sn0050-cn0075-a150</v>
          </cell>
          <cell r="B3342" t="str">
            <v>Acuvue</v>
          </cell>
        </row>
        <row r="3343">
          <cell r="A3343" t="str">
            <v>clstmon-ava-avai-p06-sn0475</v>
          </cell>
          <cell r="B3343" t="str">
            <v>Avaira</v>
          </cell>
        </row>
        <row r="3344">
          <cell r="A3344" t="str">
            <v>cost3mo-lay-2021-p02-skye-blue-sn0350</v>
          </cell>
          <cell r="B3344" t="str">
            <v>Layala</v>
          </cell>
        </row>
        <row r="3345">
          <cell r="A3345" t="str">
            <v>costmon-ama-lens-p02-mocca-sn0200</v>
          </cell>
          <cell r="B3345" t="str">
            <v>Amara</v>
          </cell>
        </row>
        <row r="3346">
          <cell r="A3346" t="str">
            <v>cost3mo-lay-2025-p02-emerald-glow-sn0500</v>
          </cell>
          <cell r="B3346" t="str">
            <v>Layala</v>
          </cell>
        </row>
        <row r="3347">
          <cell r="A3347" t="str">
            <v>bc50118-bab-000503-0118-46</v>
          </cell>
          <cell r="B3347" t="str">
            <v>Babamio</v>
          </cell>
        </row>
        <row r="3348">
          <cell r="A3348" t="str">
            <v>clstmon-eve-prom-p06-sp0275</v>
          </cell>
          <cell r="B3348" t="str">
            <v>Everva</v>
          </cell>
        </row>
        <row r="3349">
          <cell r="A3349" t="str">
            <v>cost3mo-lay-2023-p02-sable-brown-sn0050</v>
          </cell>
          <cell r="B3349" t="str">
            <v>Layala</v>
          </cell>
        </row>
        <row r="3350">
          <cell r="A3350" t="str">
            <v>clstdai-acu-omax-p90-sn0175</v>
          </cell>
          <cell r="B3350" t="str">
            <v>Acuvue</v>
          </cell>
        </row>
        <row r="3351">
          <cell r="A3351" t="str">
            <v>sw62907-bla-000320-2907-56</v>
          </cell>
          <cell r="B3351" t="str">
            <v>BlackOut</v>
          </cell>
        </row>
        <row r="3352">
          <cell r="A3352" t="str">
            <v>sw100107-bla-000329-0107-55</v>
          </cell>
          <cell r="B3352" t="str">
            <v>BlackOut</v>
          </cell>
        </row>
        <row r="3353">
          <cell r="A3353" t="str">
            <v>clstdai-acu-oasy-p90-sn1050</v>
          </cell>
          <cell r="B3353" t="str">
            <v>Acuvue</v>
          </cell>
        </row>
        <row r="3354">
          <cell r="A3354" t="str">
            <v>sm10404-30s-000256-0404-57</v>
          </cell>
          <cell r="B3354" t="str">
            <v>30Sunday</v>
          </cell>
        </row>
        <row r="3355">
          <cell r="A3355" t="str">
            <v>clstdai-eve-elit-p90-sn0300</v>
          </cell>
          <cell r="B3355" t="str">
            <v>Everva</v>
          </cell>
        </row>
        <row r="3356">
          <cell r="A3356" t="str">
            <v>clstbiw-acu-oasy-p06-sp0550</v>
          </cell>
          <cell r="B3356" t="str">
            <v>Acuvue</v>
          </cell>
        </row>
        <row r="3357">
          <cell r="A3357" t="str">
            <v>costdai-acu-dffr-p30-rose-sn0350</v>
          </cell>
          <cell r="B3357" t="str">
            <v>Acuvue</v>
          </cell>
        </row>
        <row r="3358">
          <cell r="A3358" t="str">
            <v>sc20207-bab-000510-0207d-43</v>
          </cell>
          <cell r="B3358" t="str">
            <v>Babamio</v>
          </cell>
        </row>
        <row r="3359">
          <cell r="A3359" t="str">
            <v>fc50918-bab-000503-0900-46</v>
          </cell>
          <cell r="B3359" t="str">
            <v>Babamio</v>
          </cell>
        </row>
        <row r="3360">
          <cell r="A3360" t="str">
            <v>cost3mo-lay-2023-p02-selene-green-sn0375</v>
          </cell>
          <cell r="B3360" t="str">
            <v>Layala</v>
          </cell>
        </row>
        <row r="3361">
          <cell r="A3361" t="str">
            <v>sm12706-30s-000208-2706-56</v>
          </cell>
          <cell r="B3361" t="str">
            <v>30Sunday</v>
          </cell>
        </row>
        <row r="3362">
          <cell r="A3362" t="str">
            <v>sw30101-30s-000233-0101-53</v>
          </cell>
          <cell r="B3362" t="str">
            <v>30Sunday</v>
          </cell>
        </row>
        <row r="3363">
          <cell r="A3363" t="str">
            <v>clstdai-eve-pure-p30-sn0175</v>
          </cell>
          <cell r="B3363" t="str">
            <v>Everva</v>
          </cell>
        </row>
        <row r="3364">
          <cell r="A3364" t="str">
            <v>sw100107-bla-000315-0107-52</v>
          </cell>
          <cell r="B3364" t="str">
            <v>BlackOut</v>
          </cell>
        </row>
        <row r="3365">
          <cell r="A3365" t="str">
            <v>clstdai-sof-sdai-p30-sp0275</v>
          </cell>
          <cell r="B3365" t="str">
            <v>Soflens</v>
          </cell>
        </row>
        <row r="3366">
          <cell r="A3366" t="str">
            <v>sw101207-bla-000343-1207-55</v>
          </cell>
          <cell r="B3366" t="str">
            <v>BlackOut</v>
          </cell>
        </row>
        <row r="3367">
          <cell r="A3367" t="str">
            <v>sm20404-30s-000219-1406-50</v>
          </cell>
          <cell r="B3367" t="str">
            <v>30Sunday</v>
          </cell>
        </row>
        <row r="3368">
          <cell r="A3368" t="str">
            <v>sm10107-bla-000342-0107-57</v>
          </cell>
          <cell r="B3368" t="str">
            <v>BlackOut</v>
          </cell>
        </row>
        <row r="3369">
          <cell r="A3369" t="str">
            <v>costmon-ama-2022-p02-dream-sn0400</v>
          </cell>
          <cell r="B3369" t="str">
            <v>Amara</v>
          </cell>
        </row>
        <row r="3370">
          <cell r="A3370" t="str">
            <v>clstdai-dai-tot1-p30-sn0125</v>
          </cell>
          <cell r="B3370" t="str">
            <v>Dailies</v>
          </cell>
        </row>
        <row r="3371">
          <cell r="A3371" t="str">
            <v>su30702-bla-000272-0702-56</v>
          </cell>
          <cell r="B3371" t="str">
            <v>BlackOut</v>
          </cell>
        </row>
        <row r="3372">
          <cell r="A3372" t="str">
            <v>clstmon-eve-prom-p06-sn0125</v>
          </cell>
          <cell r="B3372" t="str">
            <v>Everva</v>
          </cell>
        </row>
        <row r="3373">
          <cell r="A3373" t="str">
            <v>cost3mo-lay-lens-p02-golden-brown-sn0350</v>
          </cell>
          <cell r="B3373" t="str">
            <v>Layala</v>
          </cell>
        </row>
        <row r="3374">
          <cell r="A3374" t="str">
            <v>fm40118-spc-000562-0100-50</v>
          </cell>
          <cell r="B3374" t="str">
            <v>Spectus</v>
          </cell>
        </row>
        <row r="3375">
          <cell r="A3375" t="str">
            <v>sw30504-bla-000104-2704-59</v>
          </cell>
          <cell r="B3375" t="str">
            <v>BlackOut</v>
          </cell>
        </row>
        <row r="3376">
          <cell r="A3376" t="str">
            <v>su100108-bla-000384-0108-55</v>
          </cell>
          <cell r="B3376" t="str">
            <v>BlackOut</v>
          </cell>
        </row>
        <row r="3377">
          <cell r="A3377" t="str">
            <v>sw60404-bla-000340-0404-53</v>
          </cell>
          <cell r="B3377" t="str">
            <v>BlackOut</v>
          </cell>
        </row>
        <row r="3378">
          <cell r="A3378" t="str">
            <v>sc50904-bab-000506-0904-48</v>
          </cell>
          <cell r="B3378" t="str">
            <v>Babamio</v>
          </cell>
        </row>
        <row r="3379">
          <cell r="A3379" t="str">
            <v>clstdai-acu-omax-p30-sp0300</v>
          </cell>
          <cell r="B3379" t="str">
            <v>Acuvue</v>
          </cell>
        </row>
        <row r="3380">
          <cell r="A3380" t="str">
            <v>clstdai-acu-dfvi-p30-sn0275</v>
          </cell>
          <cell r="B3380" t="str">
            <v>Acuvue</v>
          </cell>
        </row>
        <row r="3381">
          <cell r="A3381" t="str">
            <v>clstdai-acu-dfna-p60-sn0375</v>
          </cell>
          <cell r="B3381" t="str">
            <v>Acuvue</v>
          </cell>
        </row>
        <row r="3382">
          <cell r="A3382" t="str">
            <v>fm40718-spc-000865-0718-52</v>
          </cell>
          <cell r="B3382" t="str">
            <v>Spectus</v>
          </cell>
        </row>
        <row r="3383">
          <cell r="A3383" t="str">
            <v>clstdai-acu-oasy-p90-sn0525</v>
          </cell>
          <cell r="B3383" t="str">
            <v>Acuvue</v>
          </cell>
        </row>
        <row r="3384">
          <cell r="A3384" t="str">
            <v>sm50506-30s-000278-2906-54</v>
          </cell>
          <cell r="B3384" t="str">
            <v>30Sunday</v>
          </cell>
        </row>
        <row r="3385">
          <cell r="A3385" t="str">
            <v>clstdai-acu-mois-p30-sn0175</v>
          </cell>
          <cell r="B3385" t="str">
            <v>Acuvue</v>
          </cell>
        </row>
        <row r="3386">
          <cell r="A3386" t="str">
            <v>clstbiw-acu-0002-p12-sn0350</v>
          </cell>
          <cell r="B3386" t="str">
            <v>Acuvue</v>
          </cell>
        </row>
        <row r="3387">
          <cell r="A3387" t="str">
            <v>clstbiw-acu-oasy-p06-sp0225</v>
          </cell>
          <cell r="B3387" t="str">
            <v>Acuvue</v>
          </cell>
        </row>
        <row r="3388">
          <cell r="A3388" t="str">
            <v>clstdai-dai-tot1-p30-sp0475</v>
          </cell>
          <cell r="B3388" t="str">
            <v>Dailies</v>
          </cell>
        </row>
        <row r="3389">
          <cell r="A3389" t="str">
            <v>cost3mo-lay-2025-p02-emerald-glow-sn0325</v>
          </cell>
          <cell r="B3389" t="str">
            <v>Layala</v>
          </cell>
        </row>
        <row r="3390">
          <cell r="A3390" t="str">
            <v>clstdai-acu-omax-p30-sn0525</v>
          </cell>
          <cell r="B3390" t="str">
            <v>Acuvue</v>
          </cell>
        </row>
        <row r="3391">
          <cell r="A3391" t="str">
            <v>sacchan-30s-chain101-blu-fleek-navy-blue</v>
          </cell>
          <cell r="B3391" t="str">
            <v>30Sunday</v>
          </cell>
        </row>
        <row r="3392">
          <cell r="A3392" t="str">
            <v>clstdai-lay-cont-p30-dazzle-brown-sn0350</v>
          </cell>
          <cell r="B3392" t="str">
            <v>Layala</v>
          </cell>
        </row>
        <row r="3393">
          <cell r="A3393" t="str">
            <v>clstdai-acu-dfna-p90-sn0475</v>
          </cell>
          <cell r="B3393" t="str">
            <v>Acuvue</v>
          </cell>
        </row>
        <row r="3394">
          <cell r="A3394" t="str">
            <v>clstdai-acu-mois-p30-sn0750</v>
          </cell>
          <cell r="B3394" t="str">
            <v>Acuvue</v>
          </cell>
        </row>
        <row r="3395">
          <cell r="A3395" t="str">
            <v>costdai-ama-dail-p10-moon-stone-sn0225</v>
          </cell>
          <cell r="B3395" t="str">
            <v>Amara</v>
          </cell>
        </row>
        <row r="3396">
          <cell r="A3396" t="str">
            <v>clstdai-sof-sdai-p30-sn0850</v>
          </cell>
          <cell r="B3396" t="str">
            <v>Soflens</v>
          </cell>
        </row>
        <row r="3397">
          <cell r="A3397" t="str">
            <v>fm51318-spc-000652-1318-51</v>
          </cell>
          <cell r="B3397" t="str">
            <v>Spectus</v>
          </cell>
        </row>
        <row r="3398">
          <cell r="A3398" t="str">
            <v>clstbiw-acu-cle-p06-sn0375</v>
          </cell>
          <cell r="B3398" t="str">
            <v>Acuvue</v>
          </cell>
        </row>
        <row r="3399">
          <cell r="A3399" t="str">
            <v>cost3mo-lay-lens-p02-chocolate-brown-sn0150</v>
          </cell>
          <cell r="B3399" t="str">
            <v>Layala</v>
          </cell>
        </row>
        <row r="3400">
          <cell r="A3400" t="str">
            <v>fw60418-spc-000877-0418-51</v>
          </cell>
          <cell r="B3400" t="str">
            <v>Spectus</v>
          </cell>
        </row>
        <row r="3401">
          <cell r="A3401" t="str">
            <v>clstdai-acu-omax-p30-sn0050</v>
          </cell>
          <cell r="B3401" t="str">
            <v>Acuvue</v>
          </cell>
        </row>
        <row r="3402">
          <cell r="A3402" t="str">
            <v>su20506-30s-000280-2906-51</v>
          </cell>
          <cell r="B3402" t="str">
            <v>30Sunday</v>
          </cell>
        </row>
        <row r="3403">
          <cell r="A3403" t="str">
            <v>sw31404-30s-000239-0404-54</v>
          </cell>
          <cell r="B3403" t="str">
            <v>30Sunday</v>
          </cell>
        </row>
        <row r="3404">
          <cell r="A3404" t="str">
            <v>costmon-ama-2022-p02-dream-sn0300</v>
          </cell>
          <cell r="B3404" t="str">
            <v>Amara</v>
          </cell>
        </row>
        <row r="3405">
          <cell r="A3405" t="str">
            <v>cost3mo-lay-2022-p02-cosmo-gray-sn0350</v>
          </cell>
          <cell r="B3405" t="str">
            <v>Layala</v>
          </cell>
        </row>
        <row r="3406">
          <cell r="A3406" t="str">
            <v>cltobiw-acu-oasy-p06-sn0075-cn0075-a010</v>
          </cell>
          <cell r="B3406" t="str">
            <v>Acuvue</v>
          </cell>
        </row>
        <row r="3407">
          <cell r="A3407" t="str">
            <v>sw20504-bla-000269-2904-54</v>
          </cell>
          <cell r="B3407" t="str">
            <v>BlackOut</v>
          </cell>
        </row>
        <row r="3408">
          <cell r="A3408" t="str">
            <v>clstdai-lay-cont-p90-dazzle-brown-sn0375</v>
          </cell>
          <cell r="B3408" t="str">
            <v>Layala</v>
          </cell>
        </row>
        <row r="3409">
          <cell r="A3409" t="str">
            <v>clstdai-acu-oasy-p30-sp0075</v>
          </cell>
          <cell r="B3409" t="str">
            <v>Acuvue</v>
          </cell>
        </row>
        <row r="3410">
          <cell r="A3410" t="str">
            <v>sw100504-bla-000266-2904-55</v>
          </cell>
          <cell r="B3410" t="str">
            <v>BlackOut</v>
          </cell>
        </row>
        <row r="3411">
          <cell r="A3411" t="str">
            <v>clstmon-sof-sl59-p06-sn0125</v>
          </cell>
          <cell r="B3411" t="str">
            <v>Soflens</v>
          </cell>
        </row>
        <row r="3412">
          <cell r="A3412" t="str">
            <v>costdai-acu-dffr-p30-grayzel-sn0325</v>
          </cell>
          <cell r="B3412" t="str">
            <v>Acuvue</v>
          </cell>
        </row>
        <row r="3413">
          <cell r="A3413" t="str">
            <v>clstdai-btr-oned-p30-sn0250</v>
          </cell>
          <cell r="B3413" t="str">
            <v>Biotrue</v>
          </cell>
        </row>
        <row r="3414">
          <cell r="A3414" t="str">
            <v>sm40106-30s-000417-0106-49</v>
          </cell>
          <cell r="B3414" t="str">
            <v>30Sunday</v>
          </cell>
        </row>
        <row r="3415">
          <cell r="A3415" t="str">
            <v>cost3mo-lay-lens-p02-ocean-blue-sn0050</v>
          </cell>
          <cell r="B3415" t="str">
            <v>Layala</v>
          </cell>
        </row>
        <row r="3416">
          <cell r="A3416" t="str">
            <v>clstbiw-acu-0002-p12-sn0125</v>
          </cell>
          <cell r="B3416" t="str">
            <v>Acuvue</v>
          </cell>
        </row>
        <row r="3417">
          <cell r="A3417" t="str">
            <v>clstdai-acu-oasy-p30-sn0450</v>
          </cell>
          <cell r="B3417" t="str">
            <v>Acuvue</v>
          </cell>
        </row>
        <row r="3418">
          <cell r="A3418" t="str">
            <v>clstdai-lay-cont-p90-dazzle-brown-sn0075</v>
          </cell>
          <cell r="B3418" t="str">
            <v>Layala</v>
          </cell>
        </row>
        <row r="3419">
          <cell r="A3419" t="str">
            <v>fm70418-spc-000815-0418-50</v>
          </cell>
          <cell r="B3419" t="str">
            <v>Spectus</v>
          </cell>
        </row>
        <row r="3420">
          <cell r="A3420" t="str">
            <v>cost3mo-lay-lens-p02-ocean-blue-sn0525</v>
          </cell>
          <cell r="B3420" t="str">
            <v>Layala</v>
          </cell>
        </row>
        <row r="3421">
          <cell r="A3421" t="str">
            <v>cost3mo-lay-lens-p02-ocean-blue-sn0125</v>
          </cell>
          <cell r="B3421" t="str">
            <v>Layala</v>
          </cell>
        </row>
        <row r="3422">
          <cell r="A3422" t="str">
            <v>sc20207-bab-000509-0207d-48</v>
          </cell>
          <cell r="B3422" t="str">
            <v>Babamio</v>
          </cell>
        </row>
        <row r="3423">
          <cell r="A3423" t="str">
            <v>sacchan-30s-chain115-gld-kali-light-gold</v>
          </cell>
          <cell r="B3423" t="str">
            <v>30Sunday</v>
          </cell>
        </row>
        <row r="3424">
          <cell r="A3424" t="str">
            <v>clstdai-acu-oasy-p90-sp0200</v>
          </cell>
          <cell r="B3424" t="str">
            <v>Acuvue</v>
          </cell>
        </row>
        <row r="3425">
          <cell r="A3425" t="str">
            <v>costdai-acu-dffr-p10-grayzel-sn0550</v>
          </cell>
          <cell r="B3425" t="str">
            <v>Acuvue</v>
          </cell>
        </row>
        <row r="3426">
          <cell r="A3426" t="str">
            <v>clstdai-eve-pure-p90-sn0800</v>
          </cell>
          <cell r="B3426" t="str">
            <v>Everva</v>
          </cell>
        </row>
        <row r="3427">
          <cell r="A3427" t="str">
            <v>clstdai-acu-omax-p90-sn0700</v>
          </cell>
          <cell r="B3427" t="str">
            <v>Acuvue</v>
          </cell>
        </row>
        <row r="3428">
          <cell r="A3428" t="str">
            <v>cost3mo-lay-2022-p02-sweet-hazel-sp0000</v>
          </cell>
          <cell r="B3428" t="str">
            <v>Layala</v>
          </cell>
        </row>
        <row r="3429">
          <cell r="A3429" t="str">
            <v>clstdai-acu-dfrb-p60-sn0150</v>
          </cell>
          <cell r="B3429" t="str">
            <v>Acuvue</v>
          </cell>
        </row>
        <row r="3430">
          <cell r="A3430" t="str">
            <v>costdai-acu-dffr-p10-hazel-sn0200</v>
          </cell>
          <cell r="B3430" t="str">
            <v>Acuvue</v>
          </cell>
        </row>
        <row r="3431">
          <cell r="A3431" t="str">
            <v>clstdai-acu-dfrb-p90-sn0125</v>
          </cell>
          <cell r="B3431" t="str">
            <v>Acuvue</v>
          </cell>
        </row>
        <row r="3432">
          <cell r="A3432" t="str">
            <v>costmon-ama-2024-p02-chocolate-sp0000</v>
          </cell>
          <cell r="B3432" t="str">
            <v>Amara</v>
          </cell>
        </row>
        <row r="3433">
          <cell r="A3433" t="str">
            <v>cost3mo-lay-2022-p02-sage-gray-sn0450</v>
          </cell>
          <cell r="B3433" t="str">
            <v>Layala</v>
          </cell>
        </row>
        <row r="3434">
          <cell r="A3434" t="str">
            <v>clstdai-acu-dfvi-p30-sn0375</v>
          </cell>
          <cell r="B3434" t="str">
            <v>Acuvue</v>
          </cell>
        </row>
        <row r="3435">
          <cell r="A3435" t="str">
            <v>ru40118-spc-000850-0118-49-sp0250</v>
          </cell>
          <cell r="B3435" t="str">
            <v>Spectus</v>
          </cell>
        </row>
        <row r="3436">
          <cell r="A3436" t="str">
            <v>clstdai-dai-aqua-p30-sp0525</v>
          </cell>
          <cell r="B3436" t="str">
            <v>Dailies</v>
          </cell>
        </row>
        <row r="3437">
          <cell r="A3437" t="str">
            <v>costdai-acu-dffr-p30-blue-sn0475</v>
          </cell>
          <cell r="B3437" t="str">
            <v>Acuvue</v>
          </cell>
        </row>
        <row r="3438">
          <cell r="A3438" t="str">
            <v>clstdai-acu-mois-p120-sn0125</v>
          </cell>
          <cell r="B3438" t="str">
            <v>Acuvue</v>
          </cell>
        </row>
        <row r="3439">
          <cell r="A3439" t="str">
            <v>costdai-ama-dail-p10-amber-sn0475</v>
          </cell>
          <cell r="B3439" t="str">
            <v>Amara</v>
          </cell>
        </row>
        <row r="3440">
          <cell r="A3440" t="str">
            <v>fw30918-spc-000640-0918-52</v>
          </cell>
          <cell r="B3440" t="str">
            <v>Spectus</v>
          </cell>
        </row>
        <row r="3441">
          <cell r="A3441" t="str">
            <v>cost3mo-lay-lens-p02-cloudy-gray-sn0275</v>
          </cell>
          <cell r="B3441" t="str">
            <v>Layala</v>
          </cell>
        </row>
        <row r="3442">
          <cell r="A3442" t="str">
            <v>cost3mo-lay-2021-p02-willow-green-sn0050</v>
          </cell>
          <cell r="B3442" t="str">
            <v>Layala</v>
          </cell>
        </row>
        <row r="3443">
          <cell r="A3443" t="str">
            <v>clstdai-sof-sdai-p90-sn0800</v>
          </cell>
          <cell r="B3443" t="str">
            <v>Soflens</v>
          </cell>
        </row>
        <row r="3444">
          <cell r="A3444" t="str">
            <v>sw102904-bla-000280-2904-56</v>
          </cell>
          <cell r="B3444" t="str">
            <v>BlackOut</v>
          </cell>
        </row>
        <row r="3445">
          <cell r="A3445" t="str">
            <v>clstdai-acu-omax-p90-sp0650</v>
          </cell>
          <cell r="B3445" t="str">
            <v>Acuvue</v>
          </cell>
        </row>
        <row r="3446">
          <cell r="A3446" t="str">
            <v>cltobiw-acu-oasy-p06-sn0800-cn0075-a010</v>
          </cell>
          <cell r="B3446" t="str">
            <v>Acuvue</v>
          </cell>
        </row>
        <row r="3447">
          <cell r="A3447" t="str">
            <v>costdai-acu-dffr-p10-honey-sn0050</v>
          </cell>
          <cell r="B3447" t="str">
            <v>Acuvue</v>
          </cell>
        </row>
        <row r="3448">
          <cell r="A3448" t="str">
            <v>clstdai-acu-dfna-p30-sn0200</v>
          </cell>
          <cell r="B3448" t="str">
            <v>Acuvue</v>
          </cell>
        </row>
        <row r="3449">
          <cell r="A3449" t="str">
            <v>clstdai-acu-omax-p90-sn1050</v>
          </cell>
          <cell r="B3449" t="str">
            <v>Acuvue</v>
          </cell>
        </row>
        <row r="3450">
          <cell r="A3450" t="str">
            <v>cost3mo-lay-lens-p02-ocean-blue-sn0200</v>
          </cell>
          <cell r="B3450" t="str">
            <v>Layala</v>
          </cell>
        </row>
        <row r="3451">
          <cell r="A3451" t="str">
            <v>clstdai-acu-omax-p90-sn0650</v>
          </cell>
          <cell r="B3451" t="str">
            <v>Acuvue</v>
          </cell>
        </row>
        <row r="3452">
          <cell r="A3452" t="str">
            <v>costdai-acu-dffr-p30-hazel-sn0200</v>
          </cell>
          <cell r="B3452" t="str">
            <v>Acuvue</v>
          </cell>
        </row>
        <row r="3453">
          <cell r="A3453" t="str">
            <v>cost3mo-lay-2024-p02-moon-gray-sn0225</v>
          </cell>
          <cell r="B3453" t="str">
            <v>Layala</v>
          </cell>
        </row>
        <row r="3454">
          <cell r="A3454" t="str">
            <v>sm100702-30s-000304-0702-54</v>
          </cell>
          <cell r="B3454" t="str">
            <v>30Sunday</v>
          </cell>
        </row>
        <row r="3455">
          <cell r="A3455" t="str">
            <v>sw30202-30s-000258-0202-54</v>
          </cell>
          <cell r="B3455" t="str">
            <v>30Sunday</v>
          </cell>
        </row>
        <row r="3456">
          <cell r="A3456" t="str">
            <v>fu22418-spc-000544-2400-52</v>
          </cell>
          <cell r="B3456" t="str">
            <v>Spectus</v>
          </cell>
        </row>
        <row r="3457">
          <cell r="A3457" t="str">
            <v>clstdai-lay-cont-p30-dazzle-black-sn0525</v>
          </cell>
          <cell r="B3457" t="str">
            <v>Layala</v>
          </cell>
        </row>
        <row r="3458">
          <cell r="A3458" t="str">
            <v>cltodai-acu-mois-p30-sn0275-cn0075-a010</v>
          </cell>
          <cell r="B3458" t="str">
            <v>Acuvue</v>
          </cell>
        </row>
        <row r="3459">
          <cell r="A3459" t="str">
            <v>sw30404-bla-000222-2404-57</v>
          </cell>
          <cell r="B3459" t="str">
            <v>BlackOut</v>
          </cell>
        </row>
        <row r="3460">
          <cell r="A3460" t="str">
            <v>sw22306-bla-000106-2306-57</v>
          </cell>
          <cell r="B3460" t="str">
            <v>BlackOut</v>
          </cell>
        </row>
        <row r="3461">
          <cell r="A3461" t="str">
            <v>cost3mo-lay-2022-p02-sage-gray-sn0400</v>
          </cell>
          <cell r="B3461" t="str">
            <v>Layala</v>
          </cell>
        </row>
        <row r="3462">
          <cell r="A3462" t="str">
            <v>fw32418-spc-000676-2418-52</v>
          </cell>
          <cell r="B3462" t="str">
            <v>Spectus</v>
          </cell>
        </row>
        <row r="3463">
          <cell r="A3463" t="str">
            <v>clstbiw-acu-0002-p12-sn0100</v>
          </cell>
          <cell r="B3463" t="str">
            <v>Acuvue</v>
          </cell>
        </row>
        <row r="3464">
          <cell r="A3464" t="str">
            <v>clstdai-acu-dfna-p60-sn0550</v>
          </cell>
          <cell r="B3464" t="str">
            <v>Acuvue</v>
          </cell>
        </row>
        <row r="3465">
          <cell r="A3465" t="str">
            <v>cost3mo-lay-2023-p02-selene-green-sn0300</v>
          </cell>
          <cell r="B3465" t="str">
            <v>Layala</v>
          </cell>
        </row>
        <row r="3466">
          <cell r="A3466" t="str">
            <v>clstdai-acu-mois-p60-sn0475</v>
          </cell>
          <cell r="B3466" t="str">
            <v>Acuvue</v>
          </cell>
        </row>
        <row r="3467">
          <cell r="A3467" t="str">
            <v>clstdai-acu-dfna-p30-sn0325</v>
          </cell>
          <cell r="B3467" t="str">
            <v>Acuvue</v>
          </cell>
        </row>
        <row r="3468">
          <cell r="A3468" t="str">
            <v>clstdai-acu-mois-p60-sn1100</v>
          </cell>
          <cell r="B3468" t="str">
            <v>Acuvue</v>
          </cell>
        </row>
        <row r="3469">
          <cell r="A3469" t="str">
            <v>clstdai-acu-mois-p60-sn0175</v>
          </cell>
          <cell r="B3469" t="str">
            <v>Acuvue</v>
          </cell>
        </row>
        <row r="3470">
          <cell r="A3470" t="str">
            <v>clstmon-sof-sl59-p06-sn0575</v>
          </cell>
          <cell r="B3470" t="str">
            <v>Soflens</v>
          </cell>
        </row>
        <row r="3471">
          <cell r="A3471" t="str">
            <v>clstdai-acu-mois-p30-sn1100</v>
          </cell>
          <cell r="B3471" t="str">
            <v>Acuvue</v>
          </cell>
        </row>
        <row r="3472">
          <cell r="A3472" t="str">
            <v>clstdai-eve-elit-p30-sp0075</v>
          </cell>
          <cell r="B3472" t="str">
            <v>Everva</v>
          </cell>
        </row>
        <row r="3473">
          <cell r="A3473" t="str">
            <v>clstdai-acu-oasy-p90-sp0325</v>
          </cell>
          <cell r="B3473" t="str">
            <v>Acuvue</v>
          </cell>
        </row>
        <row r="3474">
          <cell r="A3474" t="str">
            <v>clstdai-dai-tot1-p90-sp0125</v>
          </cell>
          <cell r="B3474" t="str">
            <v>Dailies</v>
          </cell>
        </row>
        <row r="3475">
          <cell r="A3475" t="str">
            <v>clstdai-acu-dfrb-p60-sn0700</v>
          </cell>
          <cell r="B3475" t="str">
            <v>Acuvue</v>
          </cell>
        </row>
        <row r="3476">
          <cell r="A3476" t="str">
            <v>cost3mo-lay-lens-p02-platinum-gray-sn0075</v>
          </cell>
          <cell r="B3476" t="str">
            <v>Layala</v>
          </cell>
        </row>
        <row r="3477">
          <cell r="A3477" t="str">
            <v>sw20107-30s-000107-0107-50</v>
          </cell>
          <cell r="B3477" t="str">
            <v>30Sunday</v>
          </cell>
        </row>
        <row r="3478">
          <cell r="A3478" t="str">
            <v>sm100107-bla-000379-0107-53</v>
          </cell>
          <cell r="B3478" t="str">
            <v>BlackOut</v>
          </cell>
        </row>
        <row r="3479">
          <cell r="A3479" t="str">
            <v>clstdai-dai-tot1-p90-sn0200</v>
          </cell>
          <cell r="B3479" t="str">
            <v>Dailies</v>
          </cell>
        </row>
        <row r="3480">
          <cell r="A3480" t="str">
            <v>costdai-acu-dffr-p30-honey-sn0600</v>
          </cell>
          <cell r="B3480" t="str">
            <v>Acuvue</v>
          </cell>
        </row>
        <row r="3481">
          <cell r="A3481" t="str">
            <v>costmon-ama-2022-p02-cocoa-sn0350</v>
          </cell>
          <cell r="B3481" t="str">
            <v>Amara</v>
          </cell>
        </row>
        <row r="3482">
          <cell r="A3482" t="str">
            <v>costdai-ama-dail-p10-honey-sn0050</v>
          </cell>
          <cell r="B3482" t="str">
            <v>Amara</v>
          </cell>
        </row>
        <row r="3483">
          <cell r="A3483" t="str">
            <v>clstdai-lay-cont-p10-dazzle-brown-sn0025</v>
          </cell>
          <cell r="B3483" t="str">
            <v>Layala</v>
          </cell>
        </row>
        <row r="3484">
          <cell r="A3484" t="str">
            <v>ru40118-spc-00930-0118-46-sp0100</v>
          </cell>
          <cell r="B3484" t="str">
            <v>Spectus</v>
          </cell>
        </row>
        <row r="3485">
          <cell r="A3485" t="str">
            <v>sm100404-30s-000284-0304-60</v>
          </cell>
          <cell r="B3485" t="str">
            <v>30Sunday</v>
          </cell>
        </row>
        <row r="3486">
          <cell r="A3486" t="str">
            <v>sm40101-30s-000297-0101-54</v>
          </cell>
          <cell r="B3486" t="str">
            <v>30Sunday</v>
          </cell>
        </row>
        <row r="3487">
          <cell r="A3487" t="str">
            <v>sm10702-30s-000208-0702-57</v>
          </cell>
          <cell r="B3487" t="str">
            <v>30Sunday</v>
          </cell>
        </row>
        <row r="3488">
          <cell r="A3488" t="str">
            <v>sw20707-30s-000226-0707-54</v>
          </cell>
          <cell r="B3488" t="str">
            <v>30Sunday</v>
          </cell>
        </row>
        <row r="3489">
          <cell r="A3489" t="str">
            <v>costdai-acu-dffr-p30-honey-sn0350</v>
          </cell>
          <cell r="B3489" t="str">
            <v>Acuvue</v>
          </cell>
        </row>
        <row r="3490">
          <cell r="A3490" t="str">
            <v>clstdai-lay-cont-p30-dazzle-brown-sn1000</v>
          </cell>
          <cell r="B3490" t="str">
            <v>Layala</v>
          </cell>
        </row>
        <row r="3491">
          <cell r="A3491" t="str">
            <v>fu62418-spc-000571-2400-51</v>
          </cell>
          <cell r="B3491" t="str">
            <v>Spectus</v>
          </cell>
        </row>
        <row r="3492">
          <cell r="A3492" t="str">
            <v>clstdai-acu-mois-p120-sn0075</v>
          </cell>
          <cell r="B3492" t="str">
            <v>Acuvue</v>
          </cell>
        </row>
        <row r="3493">
          <cell r="A3493" t="str">
            <v>sacchan-30s-chain122-svr-isla-silver</v>
          </cell>
          <cell r="B3493" t="str">
            <v>30Sunday</v>
          </cell>
        </row>
        <row r="3494">
          <cell r="A3494" t="str">
            <v>clstdai-lay-cont-p90-dazzle-black-sn0250</v>
          </cell>
          <cell r="B3494" t="str">
            <v>Layala</v>
          </cell>
        </row>
        <row r="3495">
          <cell r="A3495" t="str">
            <v>clstbiw-acu-0002-p06-sp0150</v>
          </cell>
          <cell r="B3495" t="str">
            <v>Acuvue</v>
          </cell>
        </row>
        <row r="3496">
          <cell r="A3496" t="str">
            <v>clstdai-acu-dfvi-p30-sn0550</v>
          </cell>
          <cell r="B3496" t="str">
            <v>Acuvue</v>
          </cell>
        </row>
        <row r="3497">
          <cell r="A3497" t="str">
            <v>costdai-acu-dffr-p30-blue-sn0125</v>
          </cell>
          <cell r="B3497" t="str">
            <v>Acuvue</v>
          </cell>
        </row>
        <row r="3498">
          <cell r="A3498" t="str">
            <v>cost3mo-lay-lens-p02-ocean-blue-sn0425</v>
          </cell>
          <cell r="B3498" t="str">
            <v>Layala</v>
          </cell>
        </row>
        <row r="3499">
          <cell r="A3499" t="str">
            <v>su61207-bla-000319-1207-54</v>
          </cell>
          <cell r="B3499" t="str">
            <v>BlackOut</v>
          </cell>
        </row>
        <row r="3500">
          <cell r="A3500" t="str">
            <v>sm20106-30s-000207-0106p-52</v>
          </cell>
          <cell r="B3500" t="str">
            <v>30Sunday</v>
          </cell>
        </row>
        <row r="3501">
          <cell r="A3501" t="str">
            <v>clstdai-lay-cont-p10-dazzle-brown-sn0275</v>
          </cell>
          <cell r="B3501" t="str">
            <v>Layala</v>
          </cell>
        </row>
        <row r="3502">
          <cell r="A3502" t="str">
            <v>sc50907-bab-000526-0907-43</v>
          </cell>
          <cell r="B3502" t="str">
            <v>Babamio</v>
          </cell>
        </row>
        <row r="3503">
          <cell r="A3503" t="str">
            <v>clstdai-eve-elit-p90-sp0150</v>
          </cell>
          <cell r="B3503" t="str">
            <v>Everva</v>
          </cell>
        </row>
        <row r="3504">
          <cell r="A3504" t="str">
            <v>costmon-ama-lens-p02-mocca-sn0500</v>
          </cell>
          <cell r="B3504" t="str">
            <v>Amara</v>
          </cell>
        </row>
        <row r="3505">
          <cell r="A3505" t="str">
            <v>cltodai-acu-mois-p30-sn0325-cn0075-a060</v>
          </cell>
          <cell r="B3505" t="str">
            <v>Acuvue</v>
          </cell>
        </row>
        <row r="3506">
          <cell r="A3506" t="str">
            <v>sw22904-30s-000226-2904-54</v>
          </cell>
          <cell r="B3506" t="str">
            <v>30Sunday</v>
          </cell>
        </row>
        <row r="3507">
          <cell r="A3507" t="str">
            <v>costdai-acu-dffr-p30-rose-sn0600</v>
          </cell>
          <cell r="B3507" t="str">
            <v>Acuvue</v>
          </cell>
        </row>
        <row r="3508">
          <cell r="A3508" t="str">
            <v>clstdai-acu-mois-p30-sp0325</v>
          </cell>
          <cell r="B3508" t="str">
            <v>Acuvue</v>
          </cell>
        </row>
        <row r="3509">
          <cell r="A3509" t="str">
            <v>sc50207-bab-000506-2807-48</v>
          </cell>
          <cell r="B3509" t="str">
            <v>Babamio</v>
          </cell>
        </row>
        <row r="3510">
          <cell r="A3510" t="str">
            <v>clstdai-lay-cont-p10-dazzle-black-sn0100</v>
          </cell>
          <cell r="B3510" t="str">
            <v>Layala</v>
          </cell>
        </row>
        <row r="3511">
          <cell r="A3511" t="str">
            <v>costmon-ama-2024-p02-barbie-brown-sn0175</v>
          </cell>
          <cell r="B3511" t="str">
            <v>Amara</v>
          </cell>
        </row>
        <row r="3512">
          <cell r="A3512" t="str">
            <v>clstbiw-acu-0002-p06-sp0750</v>
          </cell>
          <cell r="B3512" t="str">
            <v>Acuvue</v>
          </cell>
        </row>
        <row r="3513">
          <cell r="A3513" t="str">
            <v>bc20118-bab-000502-0118-50</v>
          </cell>
          <cell r="B3513" t="str">
            <v>Babamio</v>
          </cell>
        </row>
        <row r="3514">
          <cell r="A3514" t="str">
            <v>clstdai-bme-1day-p30-sn0800</v>
          </cell>
          <cell r="B3514" t="str">
            <v>Biomedics</v>
          </cell>
        </row>
        <row r="3515">
          <cell r="A3515" t="str">
            <v>clstdai-dai-aqua-p30-sn0275</v>
          </cell>
          <cell r="B3515" t="str">
            <v>Dailies</v>
          </cell>
        </row>
        <row r="3516">
          <cell r="A3516" t="str">
            <v>sc50904-bab-000504-0904-51</v>
          </cell>
          <cell r="B3516" t="str">
            <v>Babamio</v>
          </cell>
        </row>
        <row r="3517">
          <cell r="A3517" t="str">
            <v>clstdai-eve-pure-p30-sn0300</v>
          </cell>
          <cell r="B3517" t="str">
            <v>Everva</v>
          </cell>
        </row>
        <row r="3518">
          <cell r="A3518" t="str">
            <v>sw100107-bla-000280-0107-56</v>
          </cell>
          <cell r="B3518" t="str">
            <v>BlackOut</v>
          </cell>
        </row>
        <row r="3519">
          <cell r="A3519" t="str">
            <v>sw50504-30s-000244-2904-57</v>
          </cell>
          <cell r="B3519" t="str">
            <v>30Sunday</v>
          </cell>
        </row>
        <row r="3520">
          <cell r="A3520" t="str">
            <v>fw31518-spc-000817-1518-54</v>
          </cell>
          <cell r="B3520" t="str">
            <v>Spectus</v>
          </cell>
        </row>
        <row r="3521">
          <cell r="A3521" t="str">
            <v>cost3mo-lay-2023-p02-sable-brown-sn0175</v>
          </cell>
          <cell r="B3521" t="str">
            <v>Layala</v>
          </cell>
        </row>
        <row r="3522">
          <cell r="A3522" t="str">
            <v>sacchan-30s-myra-rose-gold</v>
          </cell>
          <cell r="B3522" t="str">
            <v>30Sunday</v>
          </cell>
        </row>
        <row r="3523">
          <cell r="A3523" t="str">
            <v>fw50418-spc-000704-0418-50</v>
          </cell>
          <cell r="B3523" t="str">
            <v>Spectus</v>
          </cell>
        </row>
        <row r="3524">
          <cell r="A3524" t="str">
            <v>clstdai-acu-dfrb-p90-sn0400</v>
          </cell>
          <cell r="B3524" t="str">
            <v>Acuvue</v>
          </cell>
        </row>
        <row r="3525">
          <cell r="A3525" t="str">
            <v>fu72918-spc-000506-2900-50</v>
          </cell>
          <cell r="B3525" t="str">
            <v>Spectus</v>
          </cell>
        </row>
        <row r="3526">
          <cell r="A3526" t="str">
            <v>clstdai-eve-elit-p30-sp0425</v>
          </cell>
          <cell r="B3526" t="str">
            <v>Everva</v>
          </cell>
        </row>
        <row r="3527">
          <cell r="A3527" t="str">
            <v>sc52006-bab-000506-2006-48</v>
          </cell>
          <cell r="B3527" t="str">
            <v>Babamio</v>
          </cell>
        </row>
        <row r="3528">
          <cell r="A3528" t="str">
            <v>clstdai-eve-elit-p30-sn0050</v>
          </cell>
          <cell r="B3528" t="str">
            <v>Everva</v>
          </cell>
        </row>
        <row r="3529">
          <cell r="A3529" t="str">
            <v>clstdai-acu-omax-p90-sp0400</v>
          </cell>
          <cell r="B3529" t="str">
            <v>Acuvue</v>
          </cell>
        </row>
        <row r="3530">
          <cell r="A3530" t="str">
            <v>clstbiw-acu-oasy-p18-sn0225</v>
          </cell>
          <cell r="B3530" t="str">
            <v>Acuvue</v>
          </cell>
        </row>
        <row r="3531">
          <cell r="A3531" t="str">
            <v>sm100406-30s-000410-0406-55</v>
          </cell>
          <cell r="B3531" t="str">
            <v>30Sunday</v>
          </cell>
        </row>
        <row r="3532">
          <cell r="A3532" t="str">
            <v>su10706-bla-000239-0706-59</v>
          </cell>
          <cell r="B3532" t="str">
            <v>BlackOut</v>
          </cell>
        </row>
        <row r="3533">
          <cell r="A3533" t="str">
            <v>sw50207-30s-000429-0207-48</v>
          </cell>
          <cell r="B3533" t="str">
            <v>30Sunday</v>
          </cell>
        </row>
        <row r="3534">
          <cell r="A3534" t="str">
            <v>cost3mo-lay-2021-p02-skye-blue-sn0450</v>
          </cell>
          <cell r="B3534" t="str">
            <v>Layala</v>
          </cell>
        </row>
        <row r="3535">
          <cell r="A3535" t="str">
            <v>costmon-ama-2022-p02-cocoa-sn0125</v>
          </cell>
          <cell r="B3535" t="str">
            <v>Amara</v>
          </cell>
        </row>
        <row r="3536">
          <cell r="A3536" t="str">
            <v>sw30107-30s-000441-0107-49</v>
          </cell>
          <cell r="B3536" t="str">
            <v>30Sunday</v>
          </cell>
        </row>
        <row r="3537">
          <cell r="A3537" t="str">
            <v>sw30107-bla-000273-0107-57</v>
          </cell>
          <cell r="B3537" t="str">
            <v>BlackOut</v>
          </cell>
        </row>
        <row r="3538">
          <cell r="A3538" t="str">
            <v>sm10102-bla-000375-0102-57</v>
          </cell>
          <cell r="B3538" t="str">
            <v>BlackOut</v>
          </cell>
        </row>
        <row r="3539">
          <cell r="A3539" t="str">
            <v>su101707-30s-000445-1707-51</v>
          </cell>
          <cell r="B3539" t="str">
            <v>30Sunday</v>
          </cell>
        </row>
        <row r="3540">
          <cell r="A3540" t="str">
            <v>fw102918-spc-000866-2918-49</v>
          </cell>
          <cell r="B3540" t="str">
            <v>Spectus</v>
          </cell>
        </row>
        <row r="3541">
          <cell r="A3541" t="str">
            <v>sc51306-bab-000506-1306-48</v>
          </cell>
          <cell r="B3541" t="str">
            <v>Babamio</v>
          </cell>
        </row>
        <row r="3542">
          <cell r="A3542" t="str">
            <v>cost3mo-lay-lens-p02-cloudy-gray-sn0600</v>
          </cell>
          <cell r="B3542" t="str">
            <v>Layala</v>
          </cell>
        </row>
        <row r="3543">
          <cell r="A3543" t="str">
            <v>clstdai-acu-mois-p60-sn0350</v>
          </cell>
          <cell r="B3543" t="str">
            <v>Acuvue</v>
          </cell>
        </row>
        <row r="3544">
          <cell r="A3544" t="str">
            <v>sm102906-30s-000444-2906-53</v>
          </cell>
          <cell r="B3544" t="str">
            <v>30Sunday</v>
          </cell>
        </row>
        <row r="3545">
          <cell r="A3545" t="str">
            <v>fw22418-spc-000659-2418-49</v>
          </cell>
          <cell r="B3545" t="str">
            <v>Spectus</v>
          </cell>
        </row>
        <row r="3546">
          <cell r="A3546" t="str">
            <v>costmon-ama-2022-p02-tiger-eyes-sn0325</v>
          </cell>
          <cell r="B3546" t="str">
            <v>Amara</v>
          </cell>
        </row>
        <row r="3547">
          <cell r="A3547" t="str">
            <v>sw50101-bla-000235-0101-56</v>
          </cell>
          <cell r="B3547" t="str">
            <v>BlackOut</v>
          </cell>
        </row>
        <row r="3548">
          <cell r="A3548" t="str">
            <v>cost3mo-lay-2021-p02-willow-green-sn0200</v>
          </cell>
          <cell r="B3548" t="str">
            <v>Layala</v>
          </cell>
        </row>
        <row r="3549">
          <cell r="A3549" t="str">
            <v>cost3mo-lay-lens-p02-golden-brown-sn0300</v>
          </cell>
          <cell r="B3549" t="str">
            <v>Layala</v>
          </cell>
        </row>
        <row r="3550">
          <cell r="A3550" t="str">
            <v>cost3mo-lay-2021-p02-golden-gray-sn0300</v>
          </cell>
          <cell r="B3550" t="str">
            <v>Layala</v>
          </cell>
        </row>
        <row r="3551">
          <cell r="A3551" t="str">
            <v>cost3mo-lay-2022-p02-cosmo-gray-sn0300</v>
          </cell>
          <cell r="B3551" t="str">
            <v>Layala</v>
          </cell>
        </row>
        <row r="3552">
          <cell r="A3552" t="str">
            <v>sacchan-30s-chain113-mul-kona-multicolour</v>
          </cell>
          <cell r="B3552" t="str">
            <v>30Sunday</v>
          </cell>
        </row>
        <row r="3553">
          <cell r="A3553" t="str">
            <v>costdai-ama-dail-p10-amber-sn0275</v>
          </cell>
          <cell r="B3553" t="str">
            <v>Amara</v>
          </cell>
        </row>
        <row r="3554">
          <cell r="A3554" t="str">
            <v>cost3mo-lay-2021-p02-skye-blue-sn0100</v>
          </cell>
          <cell r="B3554" t="str">
            <v>Layala</v>
          </cell>
        </row>
        <row r="3555">
          <cell r="A3555" t="str">
            <v>sw102904-bla-000315-2904-52</v>
          </cell>
          <cell r="B3555" t="str">
            <v>BlackOut</v>
          </cell>
        </row>
        <row r="3556">
          <cell r="A3556" t="str">
            <v>cltobiw-acu-oasy-p06-sn0550-cn0075-a010</v>
          </cell>
          <cell r="B3556" t="str">
            <v>Acuvue</v>
          </cell>
        </row>
        <row r="3557">
          <cell r="A3557" t="str">
            <v>su100107-bla-000383-0107-53</v>
          </cell>
          <cell r="B3557" t="str">
            <v>BlackOut</v>
          </cell>
        </row>
        <row r="3558">
          <cell r="A3558" t="str">
            <v>ru40718-spc-00929-0718-53-sp0150</v>
          </cell>
          <cell r="B3558" t="str">
            <v>Spectus</v>
          </cell>
        </row>
        <row r="3559">
          <cell r="A3559" t="str">
            <v>clstdai-eve-elit-p30-sn1100</v>
          </cell>
          <cell r="B3559" t="str">
            <v>Everva</v>
          </cell>
        </row>
        <row r="3560">
          <cell r="A3560" t="str">
            <v>cltobiw-acu-oasy-p06-sn0375-cn0125-a180</v>
          </cell>
          <cell r="B3560" t="str">
            <v>Acuvue</v>
          </cell>
        </row>
        <row r="3561">
          <cell r="A3561" t="str">
            <v>clstdai-acu-oasy-p60-sn0575</v>
          </cell>
          <cell r="B3561" t="str">
            <v>Acuvue</v>
          </cell>
        </row>
        <row r="3562">
          <cell r="A3562" t="str">
            <v>sw40107-30s-000123-0101-51</v>
          </cell>
          <cell r="B3562" t="str">
            <v>30Sunday</v>
          </cell>
        </row>
        <row r="3563">
          <cell r="A3563" t="str">
            <v>sw51402-30s-000115-1402-61</v>
          </cell>
          <cell r="B3563" t="str">
            <v>30Sunday</v>
          </cell>
        </row>
        <row r="3564">
          <cell r="A3564" t="str">
            <v>clstdai-acu-mois-p60-sn0950</v>
          </cell>
          <cell r="B3564" t="str">
            <v>Acuvue</v>
          </cell>
        </row>
        <row r="3565">
          <cell r="A3565" t="str">
            <v>costdai-acu-dffr-p30-honey-sn0075</v>
          </cell>
          <cell r="B3565" t="str">
            <v>Acuvue</v>
          </cell>
        </row>
        <row r="3566">
          <cell r="A3566" t="str">
            <v>costdai-ama-dail-p10-sugar-sn0500</v>
          </cell>
          <cell r="B3566" t="str">
            <v>Amara</v>
          </cell>
        </row>
        <row r="3567">
          <cell r="A3567" t="str">
            <v>clstdai-bme-1day-p30-sn0525</v>
          </cell>
          <cell r="B3567" t="str">
            <v>Biomedics</v>
          </cell>
        </row>
        <row r="3568">
          <cell r="A3568" t="str">
            <v>clstdai-btr-oned-p90-sn0325</v>
          </cell>
          <cell r="B3568" t="str">
            <v>Biotrue</v>
          </cell>
        </row>
        <row r="3569">
          <cell r="A3569" t="str">
            <v>costdai-ama-dail-p10-shadow-sn0800</v>
          </cell>
          <cell r="B3569" t="str">
            <v>Amara</v>
          </cell>
        </row>
        <row r="3570">
          <cell r="A3570" t="str">
            <v>costmon-ama-2024-p02-nmr-sn0250</v>
          </cell>
          <cell r="B3570" t="str">
            <v>Amara</v>
          </cell>
        </row>
        <row r="3571">
          <cell r="A3571" t="str">
            <v>sunglasses-30Sundays-30s-000449-0107</v>
          </cell>
          <cell r="B3571" t="str">
            <v>30Sunday</v>
          </cell>
        </row>
        <row r="3572">
          <cell r="A3572" t="str">
            <v>cltodai-acu-mois-p30-sn0800-cn0075-a010</v>
          </cell>
          <cell r="B3572" t="str">
            <v>Acuvue</v>
          </cell>
        </row>
        <row r="3573">
          <cell r="A3573" t="str">
            <v>clstdai-acu-mois-p60-sn0025</v>
          </cell>
          <cell r="B3573" t="str">
            <v>Acuvue</v>
          </cell>
        </row>
        <row r="3574">
          <cell r="A3574" t="str">
            <v>sm100506-30s-000284-2906-60</v>
          </cell>
          <cell r="B3574" t="str">
            <v>30Sunday</v>
          </cell>
        </row>
        <row r="3575">
          <cell r="A3575" t="str">
            <v>clstdai-acu-omax-p30-sn0950</v>
          </cell>
          <cell r="B3575" t="str">
            <v>Acuvue</v>
          </cell>
        </row>
        <row r="3576">
          <cell r="A3576" t="str">
            <v>clstdai-acu-mois-p120-sn1150</v>
          </cell>
          <cell r="B3576" t="str">
            <v>Acuvue</v>
          </cell>
        </row>
        <row r="3577">
          <cell r="A3577" t="str">
            <v>bc52018-bab-000506-2018-48</v>
          </cell>
          <cell r="B3577" t="str">
            <v>Babamio</v>
          </cell>
        </row>
        <row r="3578">
          <cell r="A3578" t="str">
            <v>cost3mo-lay-2022-p02-sweet-hazel-sn0600</v>
          </cell>
          <cell r="B3578" t="str">
            <v>Layala</v>
          </cell>
        </row>
        <row r="3579">
          <cell r="A3579" t="str">
            <v>cltodai-acu-mois-p30-sn0650-cn0075-a170</v>
          </cell>
          <cell r="B3579" t="str">
            <v>Acuvue</v>
          </cell>
        </row>
        <row r="3580">
          <cell r="A3580" t="str">
            <v>costdai-acu-dffr-p30-rose-sn0650</v>
          </cell>
          <cell r="B3580" t="str">
            <v>Acuvue</v>
          </cell>
        </row>
        <row r="3581">
          <cell r="A3581" t="str">
            <v>clstdai-dai-tot1-p90-sn0425</v>
          </cell>
          <cell r="B3581" t="str">
            <v>Dailies</v>
          </cell>
        </row>
        <row r="3582">
          <cell r="A3582" t="str">
            <v>sacchan-30s-chain131-red-bella-red</v>
          </cell>
          <cell r="B3582" t="str">
            <v>30Sunday</v>
          </cell>
        </row>
        <row r="3583">
          <cell r="A3583" t="str">
            <v>clstdai-acu-oasy-p90-sn0450</v>
          </cell>
          <cell r="B3583" t="str">
            <v>Acuvue</v>
          </cell>
        </row>
        <row r="3584">
          <cell r="A3584" t="str">
            <v>clstdai-acu-mois-p120-sn0325</v>
          </cell>
          <cell r="B3584" t="str">
            <v>Acuvue</v>
          </cell>
        </row>
        <row r="3585">
          <cell r="A3585" t="str">
            <v>costdai-ama-dail-p10-moon-stone-sn0550</v>
          </cell>
          <cell r="B3585" t="str">
            <v>Amara</v>
          </cell>
        </row>
        <row r="3586">
          <cell r="A3586" t="str">
            <v>clstdai-btr-oned-p90-sn0575</v>
          </cell>
          <cell r="B3586" t="str">
            <v>Biotrue</v>
          </cell>
        </row>
        <row r="3587">
          <cell r="A3587" t="str">
            <v>sc51402-bab-000504-1402-51</v>
          </cell>
          <cell r="B3587" t="str">
            <v>Babamio</v>
          </cell>
        </row>
        <row r="3588">
          <cell r="A3588" t="str">
            <v>costdai-acu-dffr-p30-grayzel-sn0525</v>
          </cell>
          <cell r="B3588" t="str">
            <v>Acuvue</v>
          </cell>
        </row>
        <row r="3589">
          <cell r="A3589" t="str">
            <v>clstdai-lay-cont-p60-dazzle-brown-sn0200</v>
          </cell>
          <cell r="B3589" t="str">
            <v>Layala</v>
          </cell>
        </row>
        <row r="3590">
          <cell r="A3590" t="str">
            <v>clstdai-lay-cont-p90-dazzle-black-sn0600</v>
          </cell>
          <cell r="B3590" t="str">
            <v>Layala</v>
          </cell>
        </row>
        <row r="3591">
          <cell r="A3591" t="str">
            <v>clstdai-acu-mois-p120-sn0200</v>
          </cell>
          <cell r="B3591" t="str">
            <v>Acuvue</v>
          </cell>
        </row>
        <row r="3592">
          <cell r="A3592" t="str">
            <v>costdai-acu-dffr-p30-honey-sn0050</v>
          </cell>
          <cell r="B3592" t="str">
            <v>Acuvue</v>
          </cell>
        </row>
        <row r="3593">
          <cell r="A3593" t="str">
            <v>clstdai-acu-dfrb-p60-sn0225</v>
          </cell>
          <cell r="B3593" t="str">
            <v>Acuvue</v>
          </cell>
        </row>
        <row r="3594">
          <cell r="A3594" t="str">
            <v>cost3mo-lay-2022-p02-avena-brown-sp0000</v>
          </cell>
          <cell r="B3594" t="str">
            <v>Layala</v>
          </cell>
        </row>
        <row r="3595">
          <cell r="A3595" t="str">
            <v>clstbiw-acu-oasy-p06-sn0350</v>
          </cell>
          <cell r="B3595" t="str">
            <v>Acuvue</v>
          </cell>
        </row>
        <row r="3596">
          <cell r="A3596" t="str">
            <v>clstdai-dai-tot1-p30-sp0425</v>
          </cell>
          <cell r="B3596" t="str">
            <v>Dailies</v>
          </cell>
        </row>
        <row r="3597">
          <cell r="A3597" t="str">
            <v>costdai-ama-dail-p10-moon-stone-sn0150</v>
          </cell>
          <cell r="B3597" t="str">
            <v>Amara</v>
          </cell>
        </row>
        <row r="3598">
          <cell r="A3598" t="str">
            <v>clstdai-btr-oned-p90-sn0750</v>
          </cell>
          <cell r="B3598" t="str">
            <v>Biotrue</v>
          </cell>
        </row>
        <row r="3599">
          <cell r="A3599" t="str">
            <v>costdai-acu-dffr-p30-grayzel-sn0225</v>
          </cell>
          <cell r="B3599" t="str">
            <v>Acuvue</v>
          </cell>
        </row>
        <row r="3600">
          <cell r="A3600" t="str">
            <v>clstdai-acu-oasy-p120-sn0500</v>
          </cell>
          <cell r="B3600" t="str">
            <v>Acuvue</v>
          </cell>
        </row>
        <row r="3601">
          <cell r="A3601" t="str">
            <v>costdai-acu-dffr-p10-green-sn0575</v>
          </cell>
          <cell r="B3601" t="str">
            <v>Acuvue</v>
          </cell>
        </row>
        <row r="3602">
          <cell r="A3602" t="str">
            <v>costmon-ama-lens-p02-mocca-sn0525</v>
          </cell>
          <cell r="B3602" t="str">
            <v>Amara</v>
          </cell>
        </row>
        <row r="3603">
          <cell r="A3603" t="str">
            <v>cost3mo-cel-natu-p01-desert-grey-sp0150</v>
          </cell>
          <cell r="B3603" t="str">
            <v>Celena</v>
          </cell>
        </row>
        <row r="3604">
          <cell r="A3604" t="str">
            <v>clstdai-acu-dfvi-p60-sn0075</v>
          </cell>
          <cell r="B3604" t="str">
            <v>Acuvue</v>
          </cell>
        </row>
        <row r="3605">
          <cell r="A3605" t="str">
            <v>fm11218-spc-000525-1200-55</v>
          </cell>
          <cell r="B3605" t="str">
            <v>Spectus</v>
          </cell>
        </row>
        <row r="3606">
          <cell r="A3606" t="str">
            <v>clstdai-acu-oasy-p30-sn1100</v>
          </cell>
          <cell r="B3606" t="str">
            <v>Acuvue</v>
          </cell>
        </row>
        <row r="3607">
          <cell r="A3607" t="str">
            <v>sw80502-bla-000205-2702-61</v>
          </cell>
          <cell r="B3607" t="str">
            <v>BlackOut</v>
          </cell>
        </row>
        <row r="3608">
          <cell r="A3608" t="str">
            <v>sw30110-bla-000223-0107-57</v>
          </cell>
          <cell r="B3608" t="str">
            <v>BlackOut</v>
          </cell>
        </row>
        <row r="3609">
          <cell r="A3609" t="str">
            <v>sunglasses-30Sundays-30s-000457-2904</v>
          </cell>
          <cell r="B3609" t="str">
            <v>30Sunday</v>
          </cell>
        </row>
        <row r="3610">
          <cell r="A3610" t="str">
            <v>su20404-30s-000204-0404-55</v>
          </cell>
          <cell r="B3610" t="str">
            <v>30Sunday</v>
          </cell>
        </row>
        <row r="3611">
          <cell r="A3611" t="str">
            <v>cost3mo-lay-2021-p02-skye-blue-sn0075</v>
          </cell>
          <cell r="B3611" t="str">
            <v>Layala</v>
          </cell>
        </row>
        <row r="3612">
          <cell r="A3612" t="str">
            <v>clstdai-sof-sdai-p90-sn0100</v>
          </cell>
          <cell r="B3612" t="str">
            <v>Soflens</v>
          </cell>
        </row>
        <row r="3613">
          <cell r="A3613" t="str">
            <v>costdai-acu-dffr-p30-green-sn0900</v>
          </cell>
          <cell r="B3613" t="str">
            <v>Acuvue</v>
          </cell>
        </row>
        <row r="3614">
          <cell r="A3614" t="str">
            <v>su11207-30s-000203-1207-58</v>
          </cell>
          <cell r="B3614" t="str">
            <v>30Sunday</v>
          </cell>
        </row>
        <row r="3615">
          <cell r="A3615" t="str">
            <v>clstmon-bio-biof-p06-sn0125</v>
          </cell>
          <cell r="B3615" t="str">
            <v>Biofinity</v>
          </cell>
        </row>
        <row r="3616">
          <cell r="A3616" t="str">
            <v>clstmon-sof-sl59-p06-sn0075</v>
          </cell>
          <cell r="B3616" t="str">
            <v>Soflens</v>
          </cell>
        </row>
        <row r="3617">
          <cell r="A3617" t="str">
            <v>clstdai-acu-dfna-p30-sn0375</v>
          </cell>
          <cell r="B3617" t="str">
            <v>Acuvue</v>
          </cell>
        </row>
        <row r="3618">
          <cell r="A3618" t="str">
            <v>clstdai-lay-cont-p90-dazzle-brown-sp0000</v>
          </cell>
          <cell r="B3618" t="str">
            <v>Layala</v>
          </cell>
        </row>
        <row r="3619">
          <cell r="A3619" t="str">
            <v>su20101-30s-000280-0101-51</v>
          </cell>
          <cell r="B3619" t="str">
            <v>30Sunday</v>
          </cell>
        </row>
        <row r="3620">
          <cell r="A3620" t="str">
            <v>sm11706-30s-00205-1706p-55</v>
          </cell>
          <cell r="B3620" t="str">
            <v>30Sunday</v>
          </cell>
        </row>
        <row r="3621">
          <cell r="A3621" t="str">
            <v>clstdai-acu-dfna-p30-sn0900</v>
          </cell>
          <cell r="B3621" t="str">
            <v>Acuvue</v>
          </cell>
        </row>
        <row r="3622">
          <cell r="A3622" t="str">
            <v>clstdai-acu-dfna-p90-sn0400</v>
          </cell>
          <cell r="B3622" t="str">
            <v>Acuvue</v>
          </cell>
        </row>
        <row r="3623">
          <cell r="A3623" t="str">
            <v>cost3mo-lay-2021-p02-sunkiss-brown-sn0225</v>
          </cell>
          <cell r="B3623" t="str">
            <v>Layala</v>
          </cell>
        </row>
        <row r="3624">
          <cell r="A3624" t="str">
            <v>costmon-ama-2024-p02-matcha-sn0275</v>
          </cell>
          <cell r="B3624" t="str">
            <v>Amara</v>
          </cell>
        </row>
        <row r="3625">
          <cell r="A3625" t="str">
            <v>clstdai-acu-oasy-p90-sn0425</v>
          </cell>
          <cell r="B3625" t="str">
            <v>Acuvue</v>
          </cell>
        </row>
        <row r="3626">
          <cell r="A3626" t="str">
            <v>clstdai-lay-cont-p30-dazzle-brown-sn0950</v>
          </cell>
          <cell r="B3626" t="str">
            <v>Layala</v>
          </cell>
        </row>
        <row r="3627">
          <cell r="A3627" t="str">
            <v>clstdai-dai-aqua-p30-sp0250</v>
          </cell>
          <cell r="B3627" t="str">
            <v>Dailies</v>
          </cell>
        </row>
        <row r="3628">
          <cell r="A3628" t="str">
            <v>costdai-acu-dffr-p10-hazel-sn0325</v>
          </cell>
          <cell r="B3628" t="str">
            <v>Acuvue</v>
          </cell>
        </row>
        <row r="3629">
          <cell r="A3629" t="str">
            <v>fu61218-spc-000864-1218-49</v>
          </cell>
          <cell r="B3629" t="str">
            <v>Spectus</v>
          </cell>
        </row>
        <row r="3630">
          <cell r="A3630" t="str">
            <v>clstdai-bme-1day-p30-sn0225</v>
          </cell>
          <cell r="B3630" t="str">
            <v>Biomedics</v>
          </cell>
        </row>
        <row r="3631">
          <cell r="A3631" t="str">
            <v>clstdai-dai-aqua-p30-sp0300</v>
          </cell>
          <cell r="B3631" t="str">
            <v>Dailies</v>
          </cell>
        </row>
        <row r="3632">
          <cell r="A3632" t="str">
            <v>clstdai-acu-omax-p30-sp0525</v>
          </cell>
          <cell r="B3632" t="str">
            <v>Acuvue</v>
          </cell>
        </row>
        <row r="3633">
          <cell r="A3633" t="str">
            <v>fc20118-bab-00552-0118d-45</v>
          </cell>
          <cell r="B3633" t="str">
            <v>Babamio</v>
          </cell>
        </row>
        <row r="3634">
          <cell r="A3634" t="str">
            <v>clstdai-acu-omax-p30-sn0900</v>
          </cell>
          <cell r="B3634" t="str">
            <v>Acuvue</v>
          </cell>
        </row>
        <row r="3635">
          <cell r="A3635" t="str">
            <v>cost3mo-lay-2022-p02-sage-gray-sn0050</v>
          </cell>
          <cell r="B3635" t="str">
            <v>Layala</v>
          </cell>
        </row>
        <row r="3636">
          <cell r="A3636" t="str">
            <v>costdai-acu-dffr-p10-hazel-sn0400</v>
          </cell>
          <cell r="B3636" t="str">
            <v>Acuvue</v>
          </cell>
        </row>
        <row r="3637">
          <cell r="A3637" t="str">
            <v>cost3mo-lay-2024-p02-moon-gray-sn0125</v>
          </cell>
          <cell r="B3637" t="str">
            <v>Layala</v>
          </cell>
        </row>
        <row r="3638">
          <cell r="A3638" t="str">
            <v>costdai-acu-dffr-p10-rose-sn0400</v>
          </cell>
          <cell r="B3638" t="str">
            <v>Acuvue</v>
          </cell>
        </row>
        <row r="3639">
          <cell r="A3639" t="str">
            <v>clstdai-lay-cont-p60-dazzle-black-sn0500</v>
          </cell>
          <cell r="B3639" t="str">
            <v>Layala</v>
          </cell>
        </row>
        <row r="3640">
          <cell r="A3640" t="str">
            <v>costdai-ama-dail-p10-amber-sn0300</v>
          </cell>
          <cell r="B3640" t="str">
            <v>Amara</v>
          </cell>
        </row>
        <row r="3641">
          <cell r="A3641" t="str">
            <v>clstdai-dai-tot1-p30-sn0550</v>
          </cell>
          <cell r="B3641" t="str">
            <v>Dailies</v>
          </cell>
        </row>
        <row r="3642">
          <cell r="A3642" t="str">
            <v>clstdai-acu-mois-p60-sn0400</v>
          </cell>
          <cell r="B3642" t="str">
            <v>Acuvue</v>
          </cell>
        </row>
        <row r="3643">
          <cell r="A3643" t="str">
            <v>cost3mo-lay-lens-p02-platinum-gray-sn0450</v>
          </cell>
          <cell r="B3643" t="str">
            <v>Layala</v>
          </cell>
        </row>
        <row r="3644">
          <cell r="A3644" t="str">
            <v>fw72318-spc-000667-2318-57</v>
          </cell>
          <cell r="B3644" t="str">
            <v>Spectus</v>
          </cell>
        </row>
        <row r="3645">
          <cell r="A3645" t="str">
            <v>cost3mo-lay-2022-p02-cosmo-gray-sn0450</v>
          </cell>
          <cell r="B3645" t="str">
            <v>Layala</v>
          </cell>
        </row>
        <row r="3646">
          <cell r="A3646" t="str">
            <v>clstdai-lay-cont-p60-dazzle-black-sn0275</v>
          </cell>
          <cell r="B3646" t="str">
            <v>Layala</v>
          </cell>
        </row>
        <row r="3647">
          <cell r="A3647" t="str">
            <v>clstdai-dai-aqua-p30-sn1500</v>
          </cell>
          <cell r="B3647" t="str">
            <v>Dailies</v>
          </cell>
        </row>
        <row r="3648">
          <cell r="A3648" t="str">
            <v>clstdai-acu-oasy-p120-sn0900</v>
          </cell>
          <cell r="B3648" t="str">
            <v>Acuvue</v>
          </cell>
        </row>
        <row r="3649">
          <cell r="A3649" t="str">
            <v>cost3mo-lay-2024-p02-moon-gray-sn0300</v>
          </cell>
          <cell r="B3649" t="str">
            <v>Layala</v>
          </cell>
        </row>
        <row r="3650">
          <cell r="A3650" t="str">
            <v>clstdai-sof-sdai-p30-sn0075</v>
          </cell>
          <cell r="B3650" t="str">
            <v>Soflens</v>
          </cell>
        </row>
        <row r="3651">
          <cell r="A3651" t="str">
            <v>sacchan-30s-gigi-rose-gold</v>
          </cell>
          <cell r="B3651" t="str">
            <v>30Sunday</v>
          </cell>
        </row>
        <row r="3652">
          <cell r="A3652" t="str">
            <v>costdai-acu-dffr-p10-honey-sn0200</v>
          </cell>
          <cell r="B3652" t="str">
            <v>Acuvue</v>
          </cell>
        </row>
        <row r="3653">
          <cell r="A3653" t="str">
            <v>clstdai-eve-elit-p30-sp0275</v>
          </cell>
          <cell r="B3653" t="str">
            <v>Everva</v>
          </cell>
        </row>
        <row r="3654">
          <cell r="A3654" t="str">
            <v>clstdai-acu-dfrb-p60-sn0100</v>
          </cell>
          <cell r="B3654" t="str">
            <v>Acuvue</v>
          </cell>
        </row>
        <row r="3655">
          <cell r="A3655" t="str">
            <v>costdai-acu-dffr-p30-green-sn0750</v>
          </cell>
          <cell r="B3655" t="str">
            <v>Acuvue</v>
          </cell>
        </row>
        <row r="3656">
          <cell r="A3656" t="str">
            <v>clstdai-acu-dfrb-p60-sn0800</v>
          </cell>
          <cell r="B3656" t="str">
            <v>Acuvue</v>
          </cell>
        </row>
        <row r="3657">
          <cell r="A3657" t="str">
            <v>costmon-ama-2022-p02-cocoa-sn0275</v>
          </cell>
          <cell r="B3657" t="str">
            <v>Amara</v>
          </cell>
        </row>
        <row r="3658">
          <cell r="A3658" t="str">
            <v>clstbiw-acu-oasy-p06-sp0450</v>
          </cell>
          <cell r="B3658" t="str">
            <v>Acuvue</v>
          </cell>
        </row>
        <row r="3659">
          <cell r="A3659" t="str">
            <v>sm50607-30s-000452-0607-48</v>
          </cell>
          <cell r="B3659" t="str">
            <v>30Sunday</v>
          </cell>
        </row>
        <row r="3660">
          <cell r="A3660" t="str">
            <v>cost3mo-lay-2024-p02-terra-brown-sn0175</v>
          </cell>
          <cell r="B3660" t="str">
            <v>Layala</v>
          </cell>
        </row>
        <row r="3661">
          <cell r="A3661" t="str">
            <v>clstdai-dai-aqua-p30-sn0400</v>
          </cell>
          <cell r="B3661" t="str">
            <v>Dailies</v>
          </cell>
        </row>
        <row r="3662">
          <cell r="A3662" t="str">
            <v>clstdai-eve-elit-p30-sn0575</v>
          </cell>
          <cell r="B3662" t="str">
            <v>Everva</v>
          </cell>
        </row>
        <row r="3663">
          <cell r="A3663" t="str">
            <v>sunglasses-30Sundays-30s-000467-1402</v>
          </cell>
          <cell r="B3663" t="str">
            <v>30Sunday</v>
          </cell>
        </row>
        <row r="3664">
          <cell r="A3664" t="str">
            <v>cost3mo-lay-lens-p02-chestnut-brown-sn0225</v>
          </cell>
          <cell r="B3664" t="str">
            <v>Layala</v>
          </cell>
        </row>
        <row r="3665">
          <cell r="A3665" t="str">
            <v>su102107-bla-000322-2107-48</v>
          </cell>
          <cell r="B3665" t="str">
            <v>BlackOut</v>
          </cell>
        </row>
        <row r="3666">
          <cell r="A3666" t="str">
            <v>clstdai-eve-pure-p30-sn0700</v>
          </cell>
          <cell r="B3666" t="str">
            <v>Everva</v>
          </cell>
        </row>
        <row r="3667">
          <cell r="A3667" t="str">
            <v>sm40406-30s-000214-0406-51</v>
          </cell>
          <cell r="B3667" t="str">
            <v>30Sunday</v>
          </cell>
        </row>
        <row r="3668">
          <cell r="A3668" t="str">
            <v>cost3mo-lay-lens-p02-cloudy-gray-sp0000</v>
          </cell>
          <cell r="B3668" t="str">
            <v>Layala</v>
          </cell>
        </row>
        <row r="3669">
          <cell r="A3669" t="str">
            <v>clstmon-ava-avai-p06-sp0400</v>
          </cell>
          <cell r="B3669" t="str">
            <v>Avaira</v>
          </cell>
        </row>
        <row r="3670">
          <cell r="A3670" t="str">
            <v>cost3mo-lay-2020-p02-hazel-brown-sn0050</v>
          </cell>
          <cell r="B3670" t="str">
            <v>Layala</v>
          </cell>
        </row>
        <row r="3671">
          <cell r="A3671" t="str">
            <v>clstmon-bme-bm55-p06-sn0400</v>
          </cell>
          <cell r="B3671" t="str">
            <v>Biomedics</v>
          </cell>
        </row>
        <row r="3672">
          <cell r="A3672" t="str">
            <v>cost3mo-lay-2021-p02-sunkiss-brown-sn0450</v>
          </cell>
          <cell r="B3672" t="str">
            <v>Layala</v>
          </cell>
        </row>
        <row r="3673">
          <cell r="A3673" t="str">
            <v>cost3mo-lay-2020-p02-ash-gray-sn0375</v>
          </cell>
          <cell r="B3673" t="str">
            <v>Layala</v>
          </cell>
        </row>
        <row r="3674">
          <cell r="A3674" t="str">
            <v>clstdai-acu-mois-p30-sn0075</v>
          </cell>
          <cell r="B3674" t="str">
            <v>Acuvue</v>
          </cell>
        </row>
        <row r="3675">
          <cell r="A3675" t="str">
            <v>su30101-bla-000272-0101-56</v>
          </cell>
          <cell r="B3675" t="str">
            <v>BlackOut</v>
          </cell>
        </row>
        <row r="3676">
          <cell r="A3676" t="str">
            <v>clstdai-lay-cont-p10-dazzle-brown-sn0850</v>
          </cell>
          <cell r="B3676" t="str">
            <v>Layala</v>
          </cell>
        </row>
        <row r="3677">
          <cell r="A3677" t="str">
            <v>clstmon-sof-sl59-p06-sn0425</v>
          </cell>
          <cell r="B3677" t="str">
            <v>Soflens</v>
          </cell>
        </row>
        <row r="3678">
          <cell r="A3678" t="str">
            <v>costmon-ama-lens-p02-crocodile-green-sn0525</v>
          </cell>
          <cell r="B3678" t="str">
            <v>Amara</v>
          </cell>
        </row>
        <row r="3679">
          <cell r="A3679" t="str">
            <v>cost3mo-lay-2022-p02-royal-green-sn0325</v>
          </cell>
          <cell r="B3679" t="str">
            <v>Layala</v>
          </cell>
        </row>
        <row r="3680">
          <cell r="A3680" t="str">
            <v>cltobiw-acu-oasy-p06-sn0275-cn0075-a080</v>
          </cell>
          <cell r="B3680" t="str">
            <v>Acuvue</v>
          </cell>
        </row>
        <row r="3681">
          <cell r="A3681" t="str">
            <v>costdai-acu-dffr-p10-grayzel-sn0425</v>
          </cell>
          <cell r="B3681" t="str">
            <v>Acuvue</v>
          </cell>
        </row>
        <row r="3682">
          <cell r="A3682" t="str">
            <v>clstdai-acu-mois-p120-sn0950</v>
          </cell>
          <cell r="B3682" t="str">
            <v>Acuvue</v>
          </cell>
        </row>
        <row r="3683">
          <cell r="A3683" t="str">
            <v>sw32904-30s-000432-2904-58</v>
          </cell>
          <cell r="B3683" t="str">
            <v>30Sunday</v>
          </cell>
        </row>
        <row r="3684">
          <cell r="A3684" t="str">
            <v>costdai-acu-dffr-p30-hazel-sn0375</v>
          </cell>
          <cell r="B3684" t="str">
            <v>Acuvue</v>
          </cell>
        </row>
        <row r="3685">
          <cell r="A3685" t="str">
            <v>cost3mo-lay-2020-p02-ash-gray-sn0150</v>
          </cell>
          <cell r="B3685" t="str">
            <v>Layala</v>
          </cell>
        </row>
        <row r="3686">
          <cell r="A3686" t="str">
            <v>clstdai-eve-pure-p30-sn0075</v>
          </cell>
          <cell r="B3686" t="str">
            <v>Everva</v>
          </cell>
        </row>
        <row r="3687">
          <cell r="A3687" t="str">
            <v>costdai-acu-dffr-p30-honey-sn0250</v>
          </cell>
          <cell r="B3687" t="str">
            <v>Acuvue</v>
          </cell>
        </row>
        <row r="3688">
          <cell r="A3688" t="str">
            <v>cost3mo-lay-2024-p02-terra-brown-sp0000</v>
          </cell>
          <cell r="B3688" t="str">
            <v>Layala</v>
          </cell>
        </row>
        <row r="3689">
          <cell r="A3689" t="str">
            <v>cost3mo-lay-2022-p02-sweet-hazel-sn0375</v>
          </cell>
          <cell r="B3689" t="str">
            <v>Layala</v>
          </cell>
        </row>
        <row r="3690">
          <cell r="A3690" t="str">
            <v>fw62318-spc-000528-2300-51</v>
          </cell>
          <cell r="B3690" t="str">
            <v>Spectus</v>
          </cell>
        </row>
        <row r="3691">
          <cell r="A3691" t="str">
            <v>clstmon-bme-bm55-p06-sn0325</v>
          </cell>
          <cell r="B3691" t="str">
            <v>Biomedics</v>
          </cell>
        </row>
        <row r="3692">
          <cell r="A3692" t="str">
            <v>sm70107-30s-000246-0107-61</v>
          </cell>
          <cell r="B3692" t="str">
            <v>30Sunday</v>
          </cell>
        </row>
        <row r="3693">
          <cell r="A3693" t="str">
            <v>clstdai-acu-dfna-p90-sn0350</v>
          </cell>
          <cell r="B3693" t="str">
            <v>Acuvue</v>
          </cell>
        </row>
        <row r="3694">
          <cell r="A3694" t="str">
            <v>cost3mo-lay-2020-p02-ash-gray-sn0250</v>
          </cell>
          <cell r="B3694" t="str">
            <v>Layala</v>
          </cell>
        </row>
        <row r="3695">
          <cell r="A3695" t="str">
            <v>costdai-ama-dail-p10-honey-sn0075</v>
          </cell>
          <cell r="B3695" t="str">
            <v>Amara</v>
          </cell>
        </row>
        <row r="3696">
          <cell r="A3696" t="str">
            <v>fw22618-spc-000530-2600-50</v>
          </cell>
          <cell r="B3696" t="str">
            <v>Spectus</v>
          </cell>
        </row>
        <row r="3697">
          <cell r="A3697" t="str">
            <v>sm40606-30s-000299-0606p-53</v>
          </cell>
          <cell r="B3697" t="str">
            <v>30Sunday</v>
          </cell>
        </row>
        <row r="3698">
          <cell r="A3698" t="str">
            <v>cost3mo-lay-2022-p02-royal-green-sn0125</v>
          </cell>
          <cell r="B3698" t="str">
            <v>Layala</v>
          </cell>
        </row>
        <row r="3699">
          <cell r="A3699" t="str">
            <v>clstdai-acu-dfvi-p30-sn0450</v>
          </cell>
          <cell r="B3699" t="str">
            <v>Acuvue</v>
          </cell>
        </row>
        <row r="3700">
          <cell r="A3700" t="str">
            <v>cost3mo-lay-2021-p02-sunkiss-brown-sn0150</v>
          </cell>
          <cell r="B3700" t="str">
            <v>Layala</v>
          </cell>
        </row>
        <row r="3701">
          <cell r="A3701" t="str">
            <v>sw30402-30s-000272-0402-49</v>
          </cell>
          <cell r="B3701" t="str">
            <v>30Sunday</v>
          </cell>
        </row>
        <row r="3702">
          <cell r="A3702" t="str">
            <v>clstmon-ava-avai-p06-sn0750</v>
          </cell>
          <cell r="B3702" t="str">
            <v>Avaira</v>
          </cell>
        </row>
        <row r="3703">
          <cell r="A3703" t="str">
            <v>sc22006-bab-000502-2006-50</v>
          </cell>
          <cell r="B3703" t="str">
            <v>Babamio</v>
          </cell>
        </row>
        <row r="3704">
          <cell r="A3704" t="str">
            <v>cost3mo-lay-lens-p02-forest-green-sn0075</v>
          </cell>
          <cell r="B3704" t="str">
            <v>Layala</v>
          </cell>
        </row>
        <row r="3705">
          <cell r="A3705" t="str">
            <v>clstdai-lay-cont-p60-dazzle-brown-sn0325</v>
          </cell>
          <cell r="B3705" t="str">
            <v>Layala</v>
          </cell>
        </row>
        <row r="3706">
          <cell r="A3706" t="str">
            <v>sw20107-bla-000106-0107-57</v>
          </cell>
          <cell r="B3706" t="str">
            <v>BlackOut</v>
          </cell>
        </row>
        <row r="3707">
          <cell r="A3707" t="str">
            <v>costmon-ama-lens-p02-mocca-sn0100</v>
          </cell>
          <cell r="B3707" t="str">
            <v>Amara</v>
          </cell>
        </row>
        <row r="3708">
          <cell r="A3708" t="str">
            <v>clstdai-acu-dfrb-p30-sn0250</v>
          </cell>
          <cell r="B3708" t="str">
            <v>Acuvue</v>
          </cell>
        </row>
        <row r="3709">
          <cell r="A3709" t="str">
            <v>sw32404-30s-000441-2404-49</v>
          </cell>
          <cell r="B3709" t="str">
            <v>30Sunday</v>
          </cell>
        </row>
        <row r="3710">
          <cell r="A3710" t="str">
            <v>clstdai-acu-dfvi-p60-sn0325</v>
          </cell>
          <cell r="B3710" t="str">
            <v>Acuvue</v>
          </cell>
        </row>
        <row r="3711">
          <cell r="A3711" t="str">
            <v>su52106-30s-000237-2106-51</v>
          </cell>
          <cell r="B3711" t="str">
            <v>30Sunday</v>
          </cell>
        </row>
        <row r="3712">
          <cell r="A3712" t="str">
            <v>costmon-ama-lens-p02-dark-sepia-sn0500</v>
          </cell>
          <cell r="B3712" t="str">
            <v>Amara</v>
          </cell>
        </row>
        <row r="3713">
          <cell r="A3713" t="str">
            <v>cost3mo-lay-lens-p02-chocolate-brown-sn0275</v>
          </cell>
          <cell r="B3713" t="str">
            <v>Layala</v>
          </cell>
        </row>
        <row r="3714">
          <cell r="A3714" t="str">
            <v>clstdai-acu-oasy-p30-sn0425</v>
          </cell>
          <cell r="B3714" t="str">
            <v>Acuvue</v>
          </cell>
        </row>
        <row r="3715">
          <cell r="A3715" t="str">
            <v>cost3mo-lay-2021-p02-golden-gray-sn0600</v>
          </cell>
          <cell r="B3715" t="str">
            <v>Layala</v>
          </cell>
        </row>
        <row r="3716">
          <cell r="A3716" t="str">
            <v>clstdai-acu-mois-p30-sn0400</v>
          </cell>
          <cell r="B3716" t="str">
            <v>Acuvue</v>
          </cell>
        </row>
        <row r="3717">
          <cell r="A3717" t="str">
            <v>costmon-ama-2021-p02-sandy-sp0000</v>
          </cell>
          <cell r="B3717" t="str">
            <v>Amara</v>
          </cell>
        </row>
        <row r="3718">
          <cell r="A3718" t="str">
            <v>sacchan-30s-lola-gold</v>
          </cell>
          <cell r="B3718" t="str">
            <v>30Sunday</v>
          </cell>
        </row>
        <row r="3719">
          <cell r="A3719" t="str">
            <v>clstdai-dai-aqua-p90-sp0650</v>
          </cell>
          <cell r="B3719" t="str">
            <v>Dailies</v>
          </cell>
        </row>
        <row r="3720">
          <cell r="A3720" t="str">
            <v>sw30804-bla-000207-0804-54</v>
          </cell>
          <cell r="B3720" t="str">
            <v>BlackOut</v>
          </cell>
        </row>
        <row r="3721">
          <cell r="A3721" t="str">
            <v>clstdai-lay-cont-p90-dazzle-black-sn0350</v>
          </cell>
          <cell r="B3721" t="str">
            <v>Layala</v>
          </cell>
        </row>
        <row r="3722">
          <cell r="A3722" t="str">
            <v>clstmon-eve-prom-p06-sp0100</v>
          </cell>
          <cell r="B3722" t="str">
            <v>Everva</v>
          </cell>
        </row>
        <row r="3723">
          <cell r="A3723" t="str">
            <v>cost3mo-lay-2022-p02-cosmo-gray-sn0050</v>
          </cell>
          <cell r="B3723" t="str">
            <v>Layala</v>
          </cell>
        </row>
        <row r="3724">
          <cell r="A3724" t="str">
            <v>su102904-bla-000334-2904-56</v>
          </cell>
          <cell r="B3724" t="str">
            <v>BlackOut</v>
          </cell>
        </row>
        <row r="3725">
          <cell r="A3725" t="str">
            <v>costmon-ama-lens-p02-dark-sepia-sp0000</v>
          </cell>
          <cell r="B3725" t="str">
            <v>Amara</v>
          </cell>
        </row>
        <row r="3726">
          <cell r="A3726" t="str">
            <v>sw30107-bla-000331-0107-51</v>
          </cell>
          <cell r="B3726" t="str">
            <v>BlackOut</v>
          </cell>
        </row>
        <row r="3727">
          <cell r="A3727" t="str">
            <v>clstdai-eve-pure-p30-sn0400</v>
          </cell>
          <cell r="B3727" t="str">
            <v>Everva</v>
          </cell>
        </row>
        <row r="3728">
          <cell r="A3728" t="str">
            <v>clstdai-lay-cont-p90-dazzle-brown-sn1000</v>
          </cell>
          <cell r="B3728" t="str">
            <v>Layala</v>
          </cell>
        </row>
        <row r="3729">
          <cell r="A3729" t="str">
            <v>clstdai-dai-aqua-p90-sn0450</v>
          </cell>
          <cell r="B3729" t="str">
            <v>Dailies</v>
          </cell>
        </row>
        <row r="3730">
          <cell r="A3730" t="str">
            <v>sm12904-30s-000230-2904-58</v>
          </cell>
          <cell r="B3730" t="str">
            <v>30Sunday</v>
          </cell>
        </row>
        <row r="3731">
          <cell r="A3731" t="str">
            <v>sm50207-30s-000211-0207-51</v>
          </cell>
          <cell r="B3731" t="str">
            <v>30Sunday</v>
          </cell>
        </row>
        <row r="3732">
          <cell r="A3732" t="str">
            <v>sm100702-30s-000440-0702-52</v>
          </cell>
          <cell r="B3732" t="str">
            <v>30Sunday</v>
          </cell>
        </row>
        <row r="3733">
          <cell r="A3733" t="str">
            <v>clstbiw-acu-0002-p06-sn0800</v>
          </cell>
          <cell r="B3733" t="str">
            <v>Acuvue</v>
          </cell>
        </row>
        <row r="3734">
          <cell r="A3734" t="str">
            <v>clstdai-lay-cont-p10-dazzle-brown-sn0750</v>
          </cell>
          <cell r="B3734" t="str">
            <v>Layala</v>
          </cell>
        </row>
        <row r="3735">
          <cell r="A3735" t="str">
            <v>clstbiw-acu-0002-p12-sn0075</v>
          </cell>
          <cell r="B3735" t="str">
            <v>Acuvue</v>
          </cell>
        </row>
        <row r="3736">
          <cell r="A3736" t="str">
            <v>sw30107-30s-000122-0107-53</v>
          </cell>
          <cell r="B3736" t="str">
            <v>30Sunday</v>
          </cell>
        </row>
        <row r="3737">
          <cell r="A3737" t="str">
            <v>clstdai-btr-oned-p30-sp0225</v>
          </cell>
          <cell r="B3737" t="str">
            <v>Biotrue</v>
          </cell>
        </row>
        <row r="3738">
          <cell r="A3738" t="str">
            <v>cost3mo-lay-2025-p02-emerald-glow-sn0100</v>
          </cell>
          <cell r="B3738" t="str">
            <v>Layala</v>
          </cell>
        </row>
        <row r="3739">
          <cell r="A3739" t="str">
            <v>cost3mo-cel-natu-p01-azure-blue-sp0150</v>
          </cell>
          <cell r="B3739" t="str">
            <v>Celena</v>
          </cell>
        </row>
        <row r="3740">
          <cell r="A3740" t="str">
            <v>cost3mo-lay-2023-p02-sable-brown-sn0150</v>
          </cell>
          <cell r="B3740" t="str">
            <v>Layala</v>
          </cell>
        </row>
        <row r="3741">
          <cell r="A3741" t="str">
            <v>sc50207-bab-000504-0207-51</v>
          </cell>
          <cell r="B3741" t="str">
            <v>Babamio</v>
          </cell>
        </row>
        <row r="3742">
          <cell r="A3742" t="str">
            <v>sacchan-30s-kali-black</v>
          </cell>
          <cell r="B3742" t="str">
            <v>30Sunday</v>
          </cell>
        </row>
        <row r="3743">
          <cell r="A3743" t="str">
            <v>cost3mo-lay-2022-p02-sweet-hazel-sn0200</v>
          </cell>
          <cell r="B3743" t="str">
            <v>Layala</v>
          </cell>
        </row>
        <row r="3744">
          <cell r="A3744" t="str">
            <v>clstdai-dai-aqua-p90-sn0375</v>
          </cell>
          <cell r="B3744" t="str">
            <v>Dailies</v>
          </cell>
        </row>
        <row r="3745">
          <cell r="A3745" t="str">
            <v>su60107-bla-000281-0107-54</v>
          </cell>
          <cell r="B3745" t="str">
            <v>BlackOut</v>
          </cell>
        </row>
        <row r="3746">
          <cell r="A3746" t="str">
            <v>costmon-ama-2022-p02-tan-sn0300</v>
          </cell>
          <cell r="B3746" t="str">
            <v>Amara</v>
          </cell>
        </row>
        <row r="3747">
          <cell r="A3747" t="str">
            <v>cost3mo-lay-lens-p02-chocolate-brown-sn0550</v>
          </cell>
          <cell r="B3747" t="str">
            <v>Layala</v>
          </cell>
        </row>
        <row r="3748">
          <cell r="A3748" t="str">
            <v>costdai-ama-dail-p10-sugar-sn0600</v>
          </cell>
          <cell r="B3748" t="str">
            <v>Amara</v>
          </cell>
        </row>
        <row r="3749">
          <cell r="A3749" t="str">
            <v>cost3mo-lay-2021-p02-stardust-gray-sn0300</v>
          </cell>
          <cell r="B3749" t="str">
            <v>Layala</v>
          </cell>
        </row>
        <row r="3750">
          <cell r="A3750" t="str">
            <v>clstdai-acu-oasy-p30-sn0375</v>
          </cell>
          <cell r="B3750" t="str">
            <v>Acuvue</v>
          </cell>
        </row>
        <row r="3751">
          <cell r="A3751" t="str">
            <v>costmon-ama-2022-p02-tan-sn0325</v>
          </cell>
          <cell r="B3751" t="str">
            <v>Amara</v>
          </cell>
        </row>
        <row r="3752">
          <cell r="A3752" t="str">
            <v>clstdai-dai-aqua-p30-sn0125</v>
          </cell>
          <cell r="B3752" t="str">
            <v>Dailies</v>
          </cell>
        </row>
        <row r="3753">
          <cell r="A3753" t="str">
            <v>sc50904-bab-000527-0904-48</v>
          </cell>
          <cell r="B3753" t="str">
            <v>Babamio</v>
          </cell>
        </row>
        <row r="3754">
          <cell r="A3754" t="str">
            <v>fu50518-spc-000520-0500-51</v>
          </cell>
          <cell r="B3754" t="str">
            <v>Spectus</v>
          </cell>
        </row>
        <row r="3755">
          <cell r="A3755" t="str">
            <v>sw72907-bla-000231-2901-58</v>
          </cell>
          <cell r="B3755" t="str">
            <v>BlackOut</v>
          </cell>
        </row>
        <row r="3756">
          <cell r="A3756" t="str">
            <v>sw30107-bla-000208-0107-54</v>
          </cell>
          <cell r="B3756" t="str">
            <v>BlackOut</v>
          </cell>
        </row>
        <row r="3757">
          <cell r="A3757" t="str">
            <v>su50602-30s-000237-0404-51</v>
          </cell>
          <cell r="B3757" t="str">
            <v>30Sunday</v>
          </cell>
        </row>
        <row r="3758">
          <cell r="A3758" t="str">
            <v>cost3mo-lay-2024-p02-terra-brown-sn0375</v>
          </cell>
          <cell r="B3758" t="str">
            <v>Layala</v>
          </cell>
        </row>
        <row r="3759">
          <cell r="A3759" t="str">
            <v>fm40118-spc-000517-0100-54</v>
          </cell>
          <cell r="B3759" t="str">
            <v>Spectus</v>
          </cell>
        </row>
        <row r="3760">
          <cell r="A3760" t="str">
            <v>cost3mo-lay-2025-p02-emerald-glow-sn0350</v>
          </cell>
          <cell r="B3760" t="str">
            <v>Layala</v>
          </cell>
        </row>
        <row r="3761">
          <cell r="A3761" t="str">
            <v>cost3mo-lay-lens-p02-crystal-brown-sn0375</v>
          </cell>
          <cell r="B3761" t="str">
            <v>Layala</v>
          </cell>
        </row>
        <row r="3762">
          <cell r="A3762" t="str">
            <v>clstdai-eve-pure-p30-sn0475</v>
          </cell>
          <cell r="B3762" t="str">
            <v>Everva</v>
          </cell>
        </row>
        <row r="3763">
          <cell r="A3763" t="str">
            <v>cost3mo-cel-natu-p01-azure-blue-sp0200</v>
          </cell>
          <cell r="B3763" t="str">
            <v>Celena</v>
          </cell>
        </row>
        <row r="3764">
          <cell r="A3764" t="str">
            <v>sm10104-30s-000505-0104-58</v>
          </cell>
          <cell r="B3764" t="str">
            <v>30Sunday</v>
          </cell>
        </row>
        <row r="3765">
          <cell r="A3765" t="str">
            <v>cltobiw-acu-oasy-p06-sn0225-cn0075-a010</v>
          </cell>
          <cell r="B3765" t="str">
            <v>Acuvue</v>
          </cell>
        </row>
        <row r="3766">
          <cell r="A3766" t="str">
            <v>sacchan-30s-chain123-blu-etta-blue</v>
          </cell>
          <cell r="B3766" t="str">
            <v>30Sunday</v>
          </cell>
        </row>
        <row r="3767">
          <cell r="A3767" t="str">
            <v>clstdai-acu-oasy-p30-sn0100</v>
          </cell>
          <cell r="B3767" t="str">
            <v>Acuvue</v>
          </cell>
        </row>
        <row r="3768">
          <cell r="A3768" t="str">
            <v>cost3mo-lay-lens-p02-cloudy-gray-sn0200</v>
          </cell>
          <cell r="B3768" t="str">
            <v>Layala</v>
          </cell>
        </row>
        <row r="3769">
          <cell r="A3769" t="str">
            <v>clstdai-eve-elit-p30-sn0750</v>
          </cell>
          <cell r="B3769" t="str">
            <v>Everva</v>
          </cell>
        </row>
        <row r="3770">
          <cell r="A3770" t="str">
            <v>clstdai-lay-cont-p30-dazzle-black-sn0900</v>
          </cell>
          <cell r="B3770" t="str">
            <v>Layala</v>
          </cell>
        </row>
        <row r="3771">
          <cell r="A3771" t="str">
            <v>cltodai-acu-mois-p30-sn0750-cn0075-a010</v>
          </cell>
          <cell r="B3771" t="str">
            <v>Acuvue</v>
          </cell>
        </row>
        <row r="3772">
          <cell r="A3772" t="str">
            <v>clstdai-lay-cont-p90-dazzle-brown-sn0050</v>
          </cell>
          <cell r="B3772" t="str">
            <v>Layala</v>
          </cell>
        </row>
        <row r="3773">
          <cell r="A3773" t="str">
            <v>cost3mo-lay-2021-p02-polar-gray-sn0325</v>
          </cell>
          <cell r="B3773" t="str">
            <v>Layala</v>
          </cell>
        </row>
        <row r="3774">
          <cell r="A3774" t="str">
            <v>clstdai-acu-dfvi-p60-sn0750</v>
          </cell>
          <cell r="B3774" t="str">
            <v>Acuvue</v>
          </cell>
        </row>
        <row r="3775">
          <cell r="A3775" t="str">
            <v>clstdai-acu-dfna-p90-sn0850</v>
          </cell>
          <cell r="B3775" t="str">
            <v>Acuvue</v>
          </cell>
        </row>
        <row r="3776">
          <cell r="A3776" t="str">
            <v>clstdai-acu-oasy-p90-sn1000</v>
          </cell>
          <cell r="B3776" t="str">
            <v>Acuvue</v>
          </cell>
        </row>
        <row r="3777">
          <cell r="A3777" t="str">
            <v>clstdai-dai-aqua-p90-sp0400</v>
          </cell>
          <cell r="B3777" t="str">
            <v>Dailies</v>
          </cell>
        </row>
        <row r="3778">
          <cell r="A3778" t="str">
            <v>clstdai-acu-oasy-p30-sn0750</v>
          </cell>
          <cell r="B3778" t="str">
            <v>Acuvue</v>
          </cell>
        </row>
        <row r="3779">
          <cell r="A3779" t="str">
            <v>clstdai-lay-cont-p90-dazzle-black-sn0800</v>
          </cell>
          <cell r="B3779" t="str">
            <v>Layala</v>
          </cell>
        </row>
        <row r="3780">
          <cell r="A3780" t="str">
            <v>costdai-acu-dffr-p30-hazel-sn0325</v>
          </cell>
          <cell r="B3780" t="str">
            <v>Acuvue</v>
          </cell>
        </row>
        <row r="3781">
          <cell r="A3781" t="str">
            <v>sm72706-30s-000209-2706-60</v>
          </cell>
          <cell r="B3781" t="str">
            <v>30Sunday</v>
          </cell>
        </row>
        <row r="3782">
          <cell r="A3782" t="str">
            <v>fu20418-spc-000813-0418-49</v>
          </cell>
          <cell r="B3782" t="str">
            <v>Spectus</v>
          </cell>
        </row>
        <row r="3783">
          <cell r="A3783" t="str">
            <v>cost3mo-lay-2022-p02-cosmo-gray-sn0500</v>
          </cell>
          <cell r="B3783" t="str">
            <v>Layala</v>
          </cell>
        </row>
        <row r="3784">
          <cell r="A3784" t="str">
            <v>sw30510-30s-000243-0510-57</v>
          </cell>
          <cell r="B3784" t="str">
            <v>30Sunday</v>
          </cell>
        </row>
        <row r="3785">
          <cell r="A3785" t="str">
            <v>clstbiw-acu-oasy-p06-sn0700</v>
          </cell>
          <cell r="B3785" t="str">
            <v>Acuvue</v>
          </cell>
        </row>
        <row r="3786">
          <cell r="A3786" t="str">
            <v>clstdai-acu-dfna-p60-sn0175</v>
          </cell>
          <cell r="B3786" t="str">
            <v>Acuvue</v>
          </cell>
        </row>
        <row r="3787">
          <cell r="A3787" t="str">
            <v>clstdai-eve-elit-p90-sp0350</v>
          </cell>
          <cell r="B3787" t="str">
            <v>Everva</v>
          </cell>
        </row>
        <row r="3788">
          <cell r="A3788" t="str">
            <v>fw32318-spc-000810-2318-58</v>
          </cell>
          <cell r="B3788" t="str">
            <v>Spectus</v>
          </cell>
        </row>
        <row r="3789">
          <cell r="A3789" t="str">
            <v>costmon-ama-2022-p02-tiger-eyes-sn0350</v>
          </cell>
          <cell r="B3789" t="str">
            <v>Amara</v>
          </cell>
        </row>
        <row r="3790">
          <cell r="A3790" t="str">
            <v>clstdai-eve-elit-p90-sn1150</v>
          </cell>
          <cell r="B3790" t="str">
            <v>Everva</v>
          </cell>
        </row>
        <row r="3791">
          <cell r="A3791" t="str">
            <v>sm41402-30s-000299-1402p-53</v>
          </cell>
          <cell r="B3791" t="str">
            <v>30Sunday</v>
          </cell>
        </row>
        <row r="3792">
          <cell r="A3792" t="str">
            <v>clstdai-acu-omax-p90-sn0300</v>
          </cell>
          <cell r="B3792" t="str">
            <v>Acuvue</v>
          </cell>
        </row>
        <row r="3793">
          <cell r="A3793" t="str">
            <v>cost3mo-cel-natu-p01-azure-blue-sp0250</v>
          </cell>
          <cell r="B3793" t="str">
            <v>Celena</v>
          </cell>
        </row>
        <row r="3794">
          <cell r="A3794" t="str">
            <v>clstbiw-acu-oasy-p06-sn0500</v>
          </cell>
          <cell r="B3794" t="str">
            <v>Acuvue</v>
          </cell>
        </row>
        <row r="3795">
          <cell r="A3795" t="str">
            <v>cltodai-acu-mois-p30-sn0175-cn0075-a010</v>
          </cell>
          <cell r="B3795" t="str">
            <v>Acuvue</v>
          </cell>
        </row>
        <row r="3796">
          <cell r="A3796" t="str">
            <v>costdai-ama-dail-p10-honey-sn0850</v>
          </cell>
          <cell r="B3796" t="str">
            <v>Amara</v>
          </cell>
        </row>
        <row r="3797">
          <cell r="A3797" t="str">
            <v>cltobiw-acu-oasy-p06-sn0850-cn0175-a040</v>
          </cell>
          <cell r="B3797" t="str">
            <v>Acuvue</v>
          </cell>
        </row>
        <row r="3798">
          <cell r="A3798" t="str">
            <v>sw30202-30s-000272-0202-49</v>
          </cell>
          <cell r="B3798" t="str">
            <v>30Sunday</v>
          </cell>
        </row>
        <row r="3799">
          <cell r="A3799" t="str">
            <v>clstdai-sof-sdai-p30-sn0350</v>
          </cell>
          <cell r="B3799" t="str">
            <v>Soflens</v>
          </cell>
        </row>
        <row r="3800">
          <cell r="A3800" t="str">
            <v>clstbiw-acu-oasy-p06-sp0425</v>
          </cell>
          <cell r="B3800" t="str">
            <v>Acuvue</v>
          </cell>
        </row>
        <row r="3801">
          <cell r="A3801" t="str">
            <v>clstdai-sof-sdai-p90-sn0900</v>
          </cell>
          <cell r="B3801" t="str">
            <v>Soflens</v>
          </cell>
        </row>
        <row r="3802">
          <cell r="A3802" t="str">
            <v>clstmon-bme-bm55-p06-sn0550</v>
          </cell>
          <cell r="B3802" t="str">
            <v>Biomedics</v>
          </cell>
        </row>
        <row r="3803">
          <cell r="A3803" t="str">
            <v>clstbiw-acu-0002-p06-sn0250</v>
          </cell>
          <cell r="B3803" t="str">
            <v>Acuvue</v>
          </cell>
        </row>
        <row r="3804">
          <cell r="A3804" t="str">
            <v>sw101207-bla-000312-1207-56</v>
          </cell>
          <cell r="B3804" t="str">
            <v>BlackOut</v>
          </cell>
        </row>
        <row r="3805">
          <cell r="A3805" t="str">
            <v>clstdai-acu-omax-p30-sn0200</v>
          </cell>
          <cell r="B3805" t="str">
            <v>Acuvue</v>
          </cell>
        </row>
        <row r="3806">
          <cell r="A3806" t="str">
            <v>clstdai-sof-sdai-p30-sp0650</v>
          </cell>
          <cell r="B3806" t="str">
            <v>Soflens</v>
          </cell>
        </row>
        <row r="3807">
          <cell r="A3807" t="str">
            <v>sw30702-bla-000252-0702-54</v>
          </cell>
          <cell r="B3807" t="str">
            <v>BlackOut</v>
          </cell>
        </row>
        <row r="3808">
          <cell r="A3808" t="str">
            <v>clstdai-lay-cont-p30-dazzle-brown-sn0575</v>
          </cell>
          <cell r="B3808" t="str">
            <v>Layala</v>
          </cell>
        </row>
        <row r="3809">
          <cell r="A3809" t="str">
            <v>fc40218-bab-00551-0218d-47</v>
          </cell>
          <cell r="B3809" t="str">
            <v>Babamio</v>
          </cell>
        </row>
        <row r="3810">
          <cell r="A3810" t="str">
            <v>costmon-ama-2023-p02-chai-sn0225</v>
          </cell>
          <cell r="B3810" t="str">
            <v>Amara</v>
          </cell>
        </row>
        <row r="3811">
          <cell r="A3811" t="str">
            <v>clstdai-dai-aqua-p90-sp0225</v>
          </cell>
          <cell r="B3811" t="str">
            <v>Dailies</v>
          </cell>
        </row>
        <row r="3812">
          <cell r="A3812" t="str">
            <v>cost3mo-lay-lens-p02-chocolate-brown-sn0450</v>
          </cell>
          <cell r="B3812" t="str">
            <v>Layala</v>
          </cell>
        </row>
        <row r="3813">
          <cell r="A3813" t="str">
            <v>sw30404-30s-000270-0404-53</v>
          </cell>
          <cell r="B3813" t="str">
            <v>30Sunday</v>
          </cell>
        </row>
        <row r="3814">
          <cell r="A3814" t="str">
            <v>cost3mo-lay-2022-p02-royal-green-sn0100</v>
          </cell>
          <cell r="B3814" t="str">
            <v>Layala</v>
          </cell>
        </row>
        <row r="3815">
          <cell r="A3815" t="str">
            <v>costdai-ama-dail-p10-shadow-sn0375</v>
          </cell>
          <cell r="B3815" t="str">
            <v>Amara</v>
          </cell>
        </row>
        <row r="3816">
          <cell r="A3816" t="str">
            <v>sc20207-bab-000512-0207d-48</v>
          </cell>
          <cell r="B3816" t="str">
            <v>Babamio</v>
          </cell>
        </row>
        <row r="3817">
          <cell r="A3817" t="str">
            <v>fm20618-spc-000654-0618-49</v>
          </cell>
          <cell r="B3817" t="str">
            <v>Spectus</v>
          </cell>
        </row>
        <row r="3818">
          <cell r="A3818" t="str">
            <v>su42904-bla-000314-2904-53</v>
          </cell>
          <cell r="B3818" t="str">
            <v>BlackOut</v>
          </cell>
        </row>
        <row r="3819">
          <cell r="A3819" t="str">
            <v>sw50107-30s-000275-0101-48</v>
          </cell>
          <cell r="B3819" t="str">
            <v>30Sunday</v>
          </cell>
        </row>
        <row r="3820">
          <cell r="A3820" t="str">
            <v>cost3mo-lay-lens-p02-forest-green-sn0275</v>
          </cell>
          <cell r="B3820" t="str">
            <v>Layala</v>
          </cell>
        </row>
        <row r="3821">
          <cell r="A3821" t="str">
            <v>clstdai-acu-dfna-p30-sn0175</v>
          </cell>
          <cell r="B3821" t="str">
            <v>Acuvue</v>
          </cell>
        </row>
        <row r="3822">
          <cell r="A3822" t="str">
            <v>cost3mo-lay-2021-p02-polar-gray-sn0075</v>
          </cell>
          <cell r="B3822" t="str">
            <v>Layala</v>
          </cell>
        </row>
        <row r="3823">
          <cell r="A3823" t="str">
            <v>clstdai-acu-omax-p30-sp0600</v>
          </cell>
          <cell r="B3823" t="str">
            <v>Acuvue</v>
          </cell>
        </row>
        <row r="3824">
          <cell r="A3824" t="str">
            <v>clstdai-acu-oasy-p90-sn0650</v>
          </cell>
          <cell r="B3824" t="str">
            <v>Acuvue</v>
          </cell>
        </row>
        <row r="3825">
          <cell r="A3825" t="str">
            <v>clstbiw-acu-oasy-p18-sn0850</v>
          </cell>
          <cell r="B3825" t="str">
            <v>Acuvue</v>
          </cell>
        </row>
        <row r="3826">
          <cell r="A3826" t="str">
            <v>sw100202-30s-000290-0202-54</v>
          </cell>
          <cell r="B3826" t="str">
            <v>30Sunday</v>
          </cell>
        </row>
        <row r="3827">
          <cell r="A3827" t="str">
            <v>clstdai-eve-elit-p30-sn0025</v>
          </cell>
          <cell r="B3827" t="str">
            <v>Everva</v>
          </cell>
        </row>
        <row r="3828">
          <cell r="A3828" t="str">
            <v>clstdai-lay-cont-p90-dazzle-black-sn0075</v>
          </cell>
          <cell r="B3828" t="str">
            <v>Layala</v>
          </cell>
        </row>
        <row r="3829">
          <cell r="A3829" t="str">
            <v>cost3mo-lay-2023-p02-selene-green-sn0275</v>
          </cell>
          <cell r="B3829" t="str">
            <v>Layala</v>
          </cell>
        </row>
        <row r="3830">
          <cell r="A3830" t="str">
            <v>clstdai-eve-elit-p90-sp0125</v>
          </cell>
          <cell r="B3830" t="str">
            <v>Everva</v>
          </cell>
        </row>
        <row r="3831">
          <cell r="A3831" t="str">
            <v>sm71207-30s-000246-1207-61</v>
          </cell>
          <cell r="B3831" t="str">
            <v>30Sunday</v>
          </cell>
        </row>
        <row r="3832">
          <cell r="A3832" t="str">
            <v>cost3mo-lay-2022-p02-cosmo-gray-sn0550</v>
          </cell>
          <cell r="B3832" t="str">
            <v>Layala</v>
          </cell>
        </row>
        <row r="3833">
          <cell r="A3833" t="str">
            <v>clstdai-acu-oasy-p120-sn0050</v>
          </cell>
          <cell r="B3833" t="str">
            <v>Acuvue</v>
          </cell>
        </row>
        <row r="3834">
          <cell r="A3834" t="str">
            <v>sw30107-30s-000257-0107-52</v>
          </cell>
          <cell r="B3834" t="str">
            <v>30Sunday</v>
          </cell>
        </row>
        <row r="3835">
          <cell r="A3835" t="str">
            <v>cost3mo-lay-2024-p02-terra-brown-sn0325</v>
          </cell>
          <cell r="B3835" t="str">
            <v>Layala</v>
          </cell>
        </row>
        <row r="3836">
          <cell r="A3836" t="str">
            <v>clstdai-acu-mois-p30-sp0550</v>
          </cell>
          <cell r="B3836" t="str">
            <v>Acuvue</v>
          </cell>
        </row>
        <row r="3837">
          <cell r="A3837" t="str">
            <v>clstdai-acu-dfvi-p90-sn0050</v>
          </cell>
          <cell r="B3837" t="str">
            <v>Acuvue</v>
          </cell>
        </row>
        <row r="3838">
          <cell r="A3838" t="str">
            <v>clstdai-eve-elit-p30-sp0350</v>
          </cell>
          <cell r="B3838" t="str">
            <v>Everva</v>
          </cell>
        </row>
        <row r="3839">
          <cell r="A3839" t="str">
            <v>clstdai-eve-pure-p30-sn0500</v>
          </cell>
          <cell r="B3839" t="str">
            <v>Everva</v>
          </cell>
        </row>
        <row r="3840">
          <cell r="A3840" t="str">
            <v>sm50106-30s-000248-0106-53</v>
          </cell>
          <cell r="B3840" t="str">
            <v>30Sunday</v>
          </cell>
        </row>
        <row r="3841">
          <cell r="A3841" t="str">
            <v>sw31107-bla-000328-1107-52</v>
          </cell>
          <cell r="B3841" t="str">
            <v>BlackOut</v>
          </cell>
        </row>
        <row r="3842">
          <cell r="A3842" t="str">
            <v>sw40710-30s-000274-1010-54</v>
          </cell>
          <cell r="B3842" t="str">
            <v>30Sunday</v>
          </cell>
        </row>
        <row r="3843">
          <cell r="A3843" t="str">
            <v>cost3mo-lay-2025-p02-desert-topaz-sn0600</v>
          </cell>
          <cell r="B3843" t="str">
            <v>Layala</v>
          </cell>
        </row>
        <row r="3844">
          <cell r="A3844" t="str">
            <v>cost3mo-lay-2021-p02-willow-green-sn0550</v>
          </cell>
          <cell r="B3844" t="str">
            <v>Layala</v>
          </cell>
        </row>
        <row r="3845">
          <cell r="A3845" t="str">
            <v>clstbiw-acu-oasy-p06-sp0400</v>
          </cell>
          <cell r="B3845" t="str">
            <v>Acuvue</v>
          </cell>
        </row>
        <row r="3846">
          <cell r="A3846" t="str">
            <v>su60107-bla-000282-0101-48</v>
          </cell>
          <cell r="B3846" t="str">
            <v>BlackOut</v>
          </cell>
        </row>
        <row r="3847">
          <cell r="A3847" t="str">
            <v>clstdai-btr-oned-p90-sn0175</v>
          </cell>
          <cell r="B3847" t="str">
            <v>Biotrue</v>
          </cell>
        </row>
        <row r="3848">
          <cell r="A3848" t="str">
            <v>cost3mo-lay-lens-p02-crystal-brown-sn0500</v>
          </cell>
          <cell r="B3848" t="str">
            <v>Layala</v>
          </cell>
        </row>
        <row r="3849">
          <cell r="A3849" t="str">
            <v>clstbiw-acu-0002-p06-sn0900</v>
          </cell>
          <cell r="B3849" t="str">
            <v>Acuvue</v>
          </cell>
        </row>
        <row r="3850">
          <cell r="A3850" t="str">
            <v>cost3mo-lay-2025-p02-desert-topaz-sn0450</v>
          </cell>
          <cell r="B3850" t="str">
            <v>Layala</v>
          </cell>
        </row>
        <row r="3851">
          <cell r="A3851" t="str">
            <v>clstdai-eve-elit-p90-sp0800</v>
          </cell>
          <cell r="B3851" t="str">
            <v>Everva</v>
          </cell>
        </row>
        <row r="3852">
          <cell r="A3852" t="str">
            <v>costdai-acu-dffr-p30-grayzel-sn0600</v>
          </cell>
          <cell r="B3852" t="str">
            <v>Acuvue</v>
          </cell>
        </row>
        <row r="3853">
          <cell r="A3853" t="str">
            <v>clstdai-dai-aqua-p90-sn0425</v>
          </cell>
          <cell r="B3853" t="str">
            <v>Dailies</v>
          </cell>
        </row>
        <row r="3854">
          <cell r="A3854" t="str">
            <v>clstdai-dai-aqua-p30-sn0600</v>
          </cell>
          <cell r="B3854" t="str">
            <v>Dailies</v>
          </cell>
        </row>
        <row r="3855">
          <cell r="A3855" t="str">
            <v>clstdai-sof-sdai-p30-sp0300</v>
          </cell>
          <cell r="B3855" t="str">
            <v>Soflens</v>
          </cell>
        </row>
        <row r="3856">
          <cell r="A3856" t="str">
            <v>clstdai-acu-dfvi-p60-sn0575</v>
          </cell>
          <cell r="B3856" t="str">
            <v>Acuvue</v>
          </cell>
        </row>
        <row r="3857">
          <cell r="A3857" t="str">
            <v>cost3mo-lay-2021-p02-polar-gray-sn0200</v>
          </cell>
          <cell r="B3857" t="str">
            <v>Layala</v>
          </cell>
        </row>
        <row r="3858">
          <cell r="A3858" t="str">
            <v>cost3mo-lay-2022-p02-sage-gray-sn0300</v>
          </cell>
          <cell r="B3858" t="str">
            <v>Layala</v>
          </cell>
        </row>
        <row r="3859">
          <cell r="A3859" t="str">
            <v>cost3mo-lay-2023-p02-selene-green-sp0000</v>
          </cell>
          <cell r="B3859" t="str">
            <v>Layala</v>
          </cell>
        </row>
        <row r="3860">
          <cell r="A3860" t="str">
            <v>costmon-ama-lens-p02-dark-sepia-sn0300</v>
          </cell>
          <cell r="B3860" t="str">
            <v>Amara</v>
          </cell>
        </row>
        <row r="3861">
          <cell r="A3861" t="str">
            <v>sw50107-30s-000431-0107-50</v>
          </cell>
          <cell r="B3861" t="str">
            <v>30Sunday</v>
          </cell>
        </row>
        <row r="3862">
          <cell r="A3862" t="str">
            <v>clstdai-btr-oned-p30-sp0350</v>
          </cell>
          <cell r="B3862" t="str">
            <v>Biotrue</v>
          </cell>
        </row>
        <row r="3863">
          <cell r="A3863" t="str">
            <v>fm71318-spc-000815-1318-50</v>
          </cell>
          <cell r="B3863" t="str">
            <v>Spectus</v>
          </cell>
        </row>
        <row r="3864">
          <cell r="A3864" t="str">
            <v>clstdai-eve-elit-p90-sp0075</v>
          </cell>
          <cell r="B3864" t="str">
            <v>Everva</v>
          </cell>
        </row>
        <row r="3865">
          <cell r="A3865" t="str">
            <v>cost3mo-lay-2024-p02-moon-gray-sn0175</v>
          </cell>
          <cell r="B3865" t="str">
            <v>Layala</v>
          </cell>
        </row>
        <row r="3866">
          <cell r="A3866" t="str">
            <v>cost3mo-lay-2021-p02-polar-gray-sn0175</v>
          </cell>
          <cell r="B3866" t="str">
            <v>Layala</v>
          </cell>
        </row>
        <row r="3867">
          <cell r="A3867" t="str">
            <v>cost3mo-cel-natu-p01-real-shade-sp0400</v>
          </cell>
          <cell r="B3867" t="str">
            <v>Celena</v>
          </cell>
        </row>
        <row r="3868">
          <cell r="A3868" t="str">
            <v>clstdai-lay-cont-p60-dazzle-brown-sn0475</v>
          </cell>
          <cell r="B3868" t="str">
            <v>Layala</v>
          </cell>
        </row>
        <row r="3869">
          <cell r="A3869" t="str">
            <v>clstdai-acu-dfvi-p90-sn0075</v>
          </cell>
          <cell r="B3869" t="str">
            <v>Acuvue</v>
          </cell>
        </row>
        <row r="3870">
          <cell r="A3870" t="str">
            <v>clstdai-acu-mois-p60-sn0700</v>
          </cell>
          <cell r="B3870" t="str">
            <v>Acuvue</v>
          </cell>
        </row>
        <row r="3871">
          <cell r="A3871" t="str">
            <v>costdai-acu-dffr-p30-green-sn0250</v>
          </cell>
          <cell r="B3871" t="str">
            <v>Acuvue</v>
          </cell>
        </row>
        <row r="3872">
          <cell r="A3872" t="str">
            <v>clstdai-dai-tot1-p90-sn0400</v>
          </cell>
          <cell r="B3872" t="str">
            <v>Dailies</v>
          </cell>
        </row>
        <row r="3873">
          <cell r="A3873" t="str">
            <v>sm50104-30s-000251-0104-51</v>
          </cell>
          <cell r="B3873" t="str">
            <v>30Sunday</v>
          </cell>
        </row>
        <row r="3874">
          <cell r="A3874" t="str">
            <v>costdai-acu-dffr-p10-hazel-sn0275</v>
          </cell>
          <cell r="B3874" t="str">
            <v>Acuvue</v>
          </cell>
        </row>
        <row r="3875">
          <cell r="A3875" t="str">
            <v>clstdai-acu-mois-p30-sp0450</v>
          </cell>
          <cell r="B3875" t="str">
            <v>Acuvue</v>
          </cell>
        </row>
        <row r="3876">
          <cell r="A3876" t="str">
            <v>sm100107-30s-000447-0107-53</v>
          </cell>
          <cell r="B3876" t="str">
            <v>30Sunday</v>
          </cell>
        </row>
        <row r="3877">
          <cell r="A3877" t="str">
            <v>sw70507-bla-000247-0501-59</v>
          </cell>
          <cell r="B3877" t="str">
            <v>BlackOut</v>
          </cell>
        </row>
        <row r="3878">
          <cell r="A3878" t="str">
            <v>clstmon-bme-bm55-p06-sp0425</v>
          </cell>
          <cell r="B3878" t="str">
            <v>Biomedics</v>
          </cell>
        </row>
        <row r="3879">
          <cell r="A3879" t="str">
            <v>clstdai-eve-pure-p30-sp0550</v>
          </cell>
          <cell r="B3879" t="str">
            <v>Everva</v>
          </cell>
        </row>
        <row r="3880">
          <cell r="A3880" t="str">
            <v>clstdai-eve-pure-p90-sn0850</v>
          </cell>
          <cell r="B3880" t="str">
            <v>Everva</v>
          </cell>
        </row>
        <row r="3881">
          <cell r="A3881" t="str">
            <v>clstdai-eve-elit-p90-sn1050</v>
          </cell>
          <cell r="B3881" t="str">
            <v>Everva</v>
          </cell>
        </row>
        <row r="3882">
          <cell r="A3882" t="str">
            <v>cltobiw-acu-oasy-p06-sn0200-cn0075-a010</v>
          </cell>
          <cell r="B3882" t="str">
            <v>Acuvue</v>
          </cell>
        </row>
        <row r="3883">
          <cell r="A3883" t="str">
            <v>clstdai-dai-tot1-p90-sp0500</v>
          </cell>
          <cell r="B3883" t="str">
            <v>Dailies</v>
          </cell>
        </row>
        <row r="3884">
          <cell r="A3884" t="str">
            <v>sw51304-bla-000235-1304-56</v>
          </cell>
          <cell r="B3884" t="str">
            <v>BlackOut</v>
          </cell>
        </row>
        <row r="3885">
          <cell r="A3885" t="str">
            <v>clstdai-acu-oasy-p60-sn1000</v>
          </cell>
          <cell r="B3885" t="str">
            <v>Acuvue</v>
          </cell>
        </row>
        <row r="3886">
          <cell r="A3886" t="str">
            <v>sw50107-bla-000225-0101-55</v>
          </cell>
          <cell r="B3886" t="str">
            <v>BlackOut</v>
          </cell>
        </row>
        <row r="3887">
          <cell r="A3887" t="str">
            <v>clstdai-lay-cont-p30-dazzle-brown-sn0550</v>
          </cell>
          <cell r="B3887" t="str">
            <v>Layala</v>
          </cell>
        </row>
        <row r="3888">
          <cell r="A3888" t="str">
            <v>clstdai-eve-pure-p30-Sn0050</v>
          </cell>
          <cell r="B3888" t="str">
            <v>Everva</v>
          </cell>
        </row>
        <row r="3889">
          <cell r="A3889" t="str">
            <v>clstdai-lay-cont-p10-dazzle-black-sn0300</v>
          </cell>
          <cell r="B3889" t="str">
            <v>Layala</v>
          </cell>
        </row>
        <row r="3890">
          <cell r="A3890" t="str">
            <v>bc20918-bab-000501-0918-46</v>
          </cell>
          <cell r="B3890" t="str">
            <v>Babamio</v>
          </cell>
        </row>
        <row r="3891">
          <cell r="A3891" t="str">
            <v>sw100507-bla-000327-0507-56</v>
          </cell>
          <cell r="B3891" t="str">
            <v>BlackOut</v>
          </cell>
        </row>
        <row r="3892">
          <cell r="A3892" t="str">
            <v>clstbiw-acu-oasy-p06-sp0300</v>
          </cell>
          <cell r="B3892" t="str">
            <v>Acuvue</v>
          </cell>
        </row>
        <row r="3893">
          <cell r="A3893" t="str">
            <v>cost3mo-lay-2025-p02-desert-topaz-sn0475</v>
          </cell>
          <cell r="B3893" t="str">
            <v>Layala</v>
          </cell>
        </row>
        <row r="3894">
          <cell r="A3894" t="str">
            <v>clstdai-eve-pure-p90-sp0325</v>
          </cell>
          <cell r="B3894" t="str">
            <v>Everva</v>
          </cell>
        </row>
        <row r="3895">
          <cell r="A3895" t="str">
            <v>clstdai-btr-oned-p90-sn0450</v>
          </cell>
          <cell r="B3895" t="str">
            <v>Biotrue</v>
          </cell>
        </row>
        <row r="3896">
          <cell r="A3896" t="str">
            <v>sacchan-30s-chain133-blk-ivy-black</v>
          </cell>
          <cell r="B3896" t="str">
            <v>30Sunday</v>
          </cell>
        </row>
        <row r="3897">
          <cell r="A3897" t="str">
            <v>clstdai-btr-oned-p30-sp0125</v>
          </cell>
          <cell r="B3897" t="str">
            <v>Biotrue</v>
          </cell>
        </row>
        <row r="3898">
          <cell r="A3898" t="str">
            <v>clstdai-acu-dfrb-p30-sn0650</v>
          </cell>
          <cell r="B3898" t="str">
            <v>Acuvue</v>
          </cell>
        </row>
        <row r="3899">
          <cell r="A3899" t="str">
            <v>costmon-ama-2024-p02-nmr-sn0225</v>
          </cell>
          <cell r="B3899" t="str">
            <v>Amara</v>
          </cell>
        </row>
        <row r="3900">
          <cell r="A3900" t="str">
            <v>sm10207-30s-000222-0207-54</v>
          </cell>
          <cell r="B3900" t="str">
            <v>30Sunday</v>
          </cell>
        </row>
        <row r="3901">
          <cell r="A3901" t="str">
            <v>costmon-ama-2022-p02-cocoa-sn0150</v>
          </cell>
          <cell r="B3901" t="str">
            <v>Amara</v>
          </cell>
        </row>
        <row r="3902">
          <cell r="A3902" t="str">
            <v>sm12906-30s-000253-2906-57</v>
          </cell>
          <cell r="B3902" t="str">
            <v>30Sunday</v>
          </cell>
        </row>
        <row r="3903">
          <cell r="A3903" t="str">
            <v>fw32418-spc-000643-2418-53</v>
          </cell>
          <cell r="B3903" t="str">
            <v>Spectus</v>
          </cell>
        </row>
        <row r="3904">
          <cell r="A3904" t="str">
            <v>costmon-ama-lens-p02-mocca-sp0000</v>
          </cell>
          <cell r="B3904" t="str">
            <v>Amara</v>
          </cell>
        </row>
        <row r="3905">
          <cell r="A3905" t="str">
            <v>cost3mo-lay-2021-p02-sunkiss-brown-sn0550</v>
          </cell>
          <cell r="B3905" t="str">
            <v>Layala</v>
          </cell>
        </row>
        <row r="3906">
          <cell r="A3906" t="str">
            <v>clstbiw-acu-0002-p06-sn0375</v>
          </cell>
          <cell r="B3906" t="str">
            <v>Acuvue</v>
          </cell>
        </row>
        <row r="3907">
          <cell r="A3907" t="str">
            <v>sc50907-bab-000527-0907-48</v>
          </cell>
          <cell r="B3907" t="str">
            <v>Babamio</v>
          </cell>
        </row>
        <row r="3908">
          <cell r="A3908" t="str">
            <v>sm100707-30s-000436-0707-51</v>
          </cell>
          <cell r="B3908" t="str">
            <v>30Sunday</v>
          </cell>
        </row>
        <row r="3909">
          <cell r="A3909" t="str">
            <v>clstdai-lay-cont-p10-dazzle-black-sn0375</v>
          </cell>
          <cell r="B3909" t="str">
            <v>Layala</v>
          </cell>
        </row>
        <row r="3910">
          <cell r="A3910" t="str">
            <v>clstdai-acu-mois-p60-sn1000</v>
          </cell>
          <cell r="B3910" t="str">
            <v>Acuvue</v>
          </cell>
        </row>
        <row r="3911">
          <cell r="A3911" t="str">
            <v>su70504-bla-000237-0504-54</v>
          </cell>
          <cell r="B3911" t="str">
            <v>BlackOut</v>
          </cell>
        </row>
        <row r="3912">
          <cell r="A3912" t="str">
            <v>costdai-ama-dail-p10-amber-sn0325</v>
          </cell>
          <cell r="B3912" t="str">
            <v>Amara</v>
          </cell>
        </row>
        <row r="3913">
          <cell r="A3913" t="str">
            <v>clstdai-lay-cont-p30-dazzle-black-sn0650</v>
          </cell>
          <cell r="B3913" t="str">
            <v>Layala</v>
          </cell>
        </row>
        <row r="3914">
          <cell r="A3914" t="str">
            <v>sw40107-30s-000465-0107-60</v>
          </cell>
          <cell r="B3914" t="str">
            <v>30Sunday</v>
          </cell>
        </row>
        <row r="3915">
          <cell r="A3915" t="str">
            <v>fc51418-bab-000503-1418-46</v>
          </cell>
          <cell r="B3915" t="str">
            <v>Babamio</v>
          </cell>
        </row>
        <row r="3916">
          <cell r="A3916" t="str">
            <v>costdai-ama-dail-p10-honey-sn0400</v>
          </cell>
          <cell r="B3916" t="str">
            <v>Amara</v>
          </cell>
        </row>
        <row r="3917">
          <cell r="A3917" t="str">
            <v>sw30107-30s-000302-0101-53</v>
          </cell>
          <cell r="B3917" t="str">
            <v>30Sunday</v>
          </cell>
        </row>
        <row r="3918">
          <cell r="A3918" t="str">
            <v>costdai-acu-dffr-p10-green-sn0325</v>
          </cell>
          <cell r="B3918" t="str">
            <v>Acuvue</v>
          </cell>
        </row>
        <row r="3919">
          <cell r="A3919" t="str">
            <v>costmon-ama-2022-p02-dream-sn0050</v>
          </cell>
          <cell r="B3919" t="str">
            <v>Amara</v>
          </cell>
        </row>
        <row r="3920">
          <cell r="A3920" t="str">
            <v>clstmon-sof-sl59-p06-sp0200</v>
          </cell>
          <cell r="B3920" t="str">
            <v>Soflens</v>
          </cell>
        </row>
        <row r="3921">
          <cell r="A3921" t="str">
            <v>costdai-ama-dail-p10-shadow-sn0425</v>
          </cell>
          <cell r="B3921" t="str">
            <v>Amara</v>
          </cell>
        </row>
        <row r="3922">
          <cell r="A3922" t="str">
            <v>su40504-bla-000265-2904-59</v>
          </cell>
          <cell r="B3922" t="str">
            <v>BlackOut</v>
          </cell>
        </row>
        <row r="3923">
          <cell r="A3923" t="str">
            <v>clstmon-eve-prom-p06-sn0600</v>
          </cell>
          <cell r="B3923" t="str">
            <v>Everva</v>
          </cell>
        </row>
        <row r="3924">
          <cell r="A3924" t="str">
            <v>fc20918-bab-000252-1100-42</v>
          </cell>
          <cell r="B3924" t="str">
            <v>Babamio</v>
          </cell>
        </row>
        <row r="3925">
          <cell r="A3925" t="str">
            <v>clstdai-lay-cont-p10-dazzle-black-sn1000</v>
          </cell>
          <cell r="B3925" t="str">
            <v>Layala</v>
          </cell>
        </row>
        <row r="3926">
          <cell r="A3926" t="str">
            <v>clstdai-acu-dfrb-p90-sn0050</v>
          </cell>
          <cell r="B3926" t="str">
            <v>Acuvue</v>
          </cell>
        </row>
        <row r="3927">
          <cell r="A3927" t="str">
            <v>fu72318-spc-000507-2300-53</v>
          </cell>
          <cell r="B3927" t="str">
            <v>Spectus</v>
          </cell>
        </row>
        <row r="3928">
          <cell r="A3928" t="str">
            <v>sm20702-30s-000249-0702-53</v>
          </cell>
          <cell r="B3928" t="str">
            <v>30Sunday</v>
          </cell>
        </row>
        <row r="3929">
          <cell r="A3929" t="str">
            <v>cost3mo-lay-lens-p02-crystal-brown-sn0200</v>
          </cell>
          <cell r="B3929" t="str">
            <v>Layala</v>
          </cell>
        </row>
        <row r="3930">
          <cell r="A3930" t="str">
            <v>cost3mo-lay-2020-p02-ash-gray-sn0450</v>
          </cell>
          <cell r="B3930" t="str">
            <v>Layala</v>
          </cell>
        </row>
        <row r="3931">
          <cell r="A3931" t="str">
            <v>sw100404-bla-000303-0404-56</v>
          </cell>
          <cell r="B3931" t="str">
            <v>BlackOut</v>
          </cell>
        </row>
        <row r="3932">
          <cell r="A3932" t="str">
            <v>sw100507-bla-000357-0507-49</v>
          </cell>
          <cell r="B3932" t="str">
            <v>BlackOut</v>
          </cell>
        </row>
        <row r="3933">
          <cell r="A3933" t="str">
            <v>sw30404-30s-000121-0504-48</v>
          </cell>
          <cell r="B3933" t="str">
            <v>30Sunday</v>
          </cell>
        </row>
        <row r="3934">
          <cell r="A3934" t="str">
            <v>sm100107-30s-000304-0101-54</v>
          </cell>
          <cell r="B3934" t="str">
            <v>30Sunday</v>
          </cell>
        </row>
        <row r="3935">
          <cell r="A3935" t="str">
            <v>cost3mo-lay-2021-p02-golden-gray-sn0350</v>
          </cell>
          <cell r="B3935" t="str">
            <v>Layala</v>
          </cell>
        </row>
        <row r="3936">
          <cell r="A3936" t="str">
            <v>clstmon-eve-prom-p06-sn0850</v>
          </cell>
          <cell r="B3936" t="str">
            <v>Everva</v>
          </cell>
        </row>
        <row r="3937">
          <cell r="A3937" t="str">
            <v>sw30907-30s-000108-0907-52</v>
          </cell>
          <cell r="B3937" t="str">
            <v>30Sunday</v>
          </cell>
        </row>
        <row r="3938">
          <cell r="A3938" t="str">
            <v>clstmon-ava-avai-p06-sp0225</v>
          </cell>
          <cell r="B3938" t="str">
            <v>Avaira</v>
          </cell>
        </row>
        <row r="3939">
          <cell r="A3939" t="str">
            <v>clstdai-lay-cont-p60-dazzle-brown-sn0350</v>
          </cell>
          <cell r="B3939" t="str">
            <v>Layala</v>
          </cell>
        </row>
        <row r="3940">
          <cell r="A3940" t="str">
            <v>costdai-ama-dail-p10-moon-stone-sn0100</v>
          </cell>
          <cell r="B3940" t="str">
            <v>Amara</v>
          </cell>
        </row>
        <row r="3941">
          <cell r="A3941" t="str">
            <v>costmon-ama-2024-p02-matcha-sn0375</v>
          </cell>
          <cell r="B3941" t="str">
            <v>Amara</v>
          </cell>
        </row>
        <row r="3942">
          <cell r="A3942" t="str">
            <v>saccase-30s-gre-beige</v>
          </cell>
          <cell r="B3942" t="str">
            <v>30Sunday</v>
          </cell>
        </row>
        <row r="3943">
          <cell r="A3943" t="str">
            <v>clstdai-acu-dfrb-p60-sn0425</v>
          </cell>
          <cell r="B3943" t="str">
            <v>Acuvue</v>
          </cell>
        </row>
        <row r="3944">
          <cell r="A3944" t="str">
            <v>fc31218-bab-00555-1218d-47</v>
          </cell>
          <cell r="B3944" t="str">
            <v>Babamio</v>
          </cell>
        </row>
        <row r="3945">
          <cell r="A3945" t="str">
            <v>clstdai-acu-oasy-p90-sn0950</v>
          </cell>
          <cell r="B3945" t="str">
            <v>Acuvue</v>
          </cell>
        </row>
        <row r="3946">
          <cell r="A3946" t="str">
            <v>clstbiw-acu-0002-p06-sn0275</v>
          </cell>
          <cell r="B3946" t="str">
            <v>Acuvue</v>
          </cell>
        </row>
        <row r="3947">
          <cell r="A3947" t="str">
            <v>clstdai-acu-oasy-p30-sn0125</v>
          </cell>
          <cell r="B3947" t="str">
            <v>Acuvue</v>
          </cell>
        </row>
        <row r="3948">
          <cell r="A3948" t="str">
            <v>clstdai-acu-mois-p60-sn0375</v>
          </cell>
          <cell r="B3948" t="str">
            <v>Acuvue</v>
          </cell>
        </row>
        <row r="3949">
          <cell r="A3949" t="str">
            <v>sw20507-bla-000206-2707-57</v>
          </cell>
          <cell r="B3949" t="str">
            <v>BlackOut</v>
          </cell>
        </row>
        <row r="3950">
          <cell r="A3950" t="str">
            <v>sw42107-bla-000330-2107-53</v>
          </cell>
          <cell r="B3950" t="str">
            <v>BlackOut</v>
          </cell>
        </row>
        <row r="3951">
          <cell r="A3951" t="str">
            <v>su50109-bla-000105-0107-59</v>
          </cell>
          <cell r="B3951" t="str">
            <v>BlackOut</v>
          </cell>
        </row>
        <row r="3952">
          <cell r="A3952" t="str">
            <v>costmon-ama-2020-p02-charcoal-gray-sn0575</v>
          </cell>
          <cell r="B3952" t="str">
            <v>Amara</v>
          </cell>
        </row>
        <row r="3953">
          <cell r="A3953" t="str">
            <v>sunglasses-30Sundays-30s-000452-0607</v>
          </cell>
          <cell r="B3953" t="str">
            <v>30Sunday</v>
          </cell>
        </row>
        <row r="3954">
          <cell r="A3954" t="str">
            <v>clstdai-acu-dfvi-p60-sn0225</v>
          </cell>
          <cell r="B3954" t="str">
            <v>Acuvue</v>
          </cell>
        </row>
        <row r="3955">
          <cell r="A3955" t="str">
            <v>costdai-acu-dffr-p10-grayzel-sn0250</v>
          </cell>
          <cell r="B3955" t="str">
            <v>Acuvue</v>
          </cell>
        </row>
        <row r="3956">
          <cell r="A3956" t="str">
            <v>clstdai-sof-sdai-p30-sp0375</v>
          </cell>
          <cell r="B3956" t="str">
            <v>Soflens</v>
          </cell>
        </row>
        <row r="3957">
          <cell r="A3957" t="str">
            <v>sm21304-30s-000219-1304-50</v>
          </cell>
          <cell r="B3957" t="str">
            <v>30Sunday</v>
          </cell>
        </row>
        <row r="3958">
          <cell r="A3958" t="str">
            <v>clstdai-btr-oned-p30-sn0575</v>
          </cell>
          <cell r="B3958" t="str">
            <v>Biotrue</v>
          </cell>
        </row>
        <row r="3959">
          <cell r="A3959" t="str">
            <v>costdai-acu-dffr-p10-grayzel-sn0500</v>
          </cell>
          <cell r="B3959" t="str">
            <v>Acuvue</v>
          </cell>
        </row>
        <row r="3960">
          <cell r="A3960" t="str">
            <v>costdai-acu-dffr-p10-hazel-sn0525</v>
          </cell>
          <cell r="B3960" t="str">
            <v>Acuvue</v>
          </cell>
        </row>
        <row r="3961">
          <cell r="A3961" t="str">
            <v>clstdai-acu-oasy-p90-sp0300</v>
          </cell>
          <cell r="B3961" t="str">
            <v>Acuvue</v>
          </cell>
        </row>
        <row r="3962">
          <cell r="A3962" t="str">
            <v>sw40404-bla-000232-0404-52</v>
          </cell>
          <cell r="B3962" t="str">
            <v>BlackOut</v>
          </cell>
        </row>
        <row r="3963">
          <cell r="A3963" t="str">
            <v>clstmon-sof-sl59-p06-sp0550</v>
          </cell>
          <cell r="B3963" t="str">
            <v>Soflens</v>
          </cell>
        </row>
        <row r="3964">
          <cell r="A3964" t="str">
            <v>costdai-ama-dail-p10-honey-sn0750</v>
          </cell>
          <cell r="B3964" t="str">
            <v>Amara</v>
          </cell>
        </row>
        <row r="3965">
          <cell r="A3965" t="str">
            <v>clstdai-acu-dfna-p90-sn0800</v>
          </cell>
          <cell r="B3965" t="str">
            <v>Acuvue</v>
          </cell>
        </row>
        <row r="3966">
          <cell r="A3966" t="str">
            <v>cost3mo-lay-lens-p02-forest-green-sn0225</v>
          </cell>
          <cell r="B3966" t="str">
            <v>Layala</v>
          </cell>
        </row>
        <row r="3967">
          <cell r="A3967" t="str">
            <v>clstdai-bme-1day-p30-sn0500</v>
          </cell>
          <cell r="B3967" t="str">
            <v>Biomedics</v>
          </cell>
        </row>
        <row r="3968">
          <cell r="A3968" t="str">
            <v>clstdai-acu-dfvi-p90-sn0900</v>
          </cell>
          <cell r="B3968" t="str">
            <v>Acuvue</v>
          </cell>
        </row>
        <row r="3969">
          <cell r="A3969" t="str">
            <v>sacchan-30s-chain120-rsg-gia-ii-rose-gold</v>
          </cell>
          <cell r="B3969" t="str">
            <v>30Sunday</v>
          </cell>
        </row>
        <row r="3970">
          <cell r="A3970" t="str">
            <v>cost3mo-lay-2022-p02-crescent-gray-sn0325</v>
          </cell>
          <cell r="B3970" t="str">
            <v>Layala</v>
          </cell>
        </row>
        <row r="3971">
          <cell r="A3971" t="str">
            <v>cost3mo-lay-2021-p02-sunkiss-brown-sn0100</v>
          </cell>
          <cell r="B3971" t="str">
            <v>Layala</v>
          </cell>
        </row>
        <row r="3972">
          <cell r="A3972" t="str">
            <v>sw32901-bla-000307-2901-55</v>
          </cell>
          <cell r="B3972" t="str">
            <v>BlackOut</v>
          </cell>
        </row>
        <row r="3973">
          <cell r="A3973" t="str">
            <v>clstbiw-acu-0002-p06-sp0450</v>
          </cell>
          <cell r="B3973" t="str">
            <v>Acuvue</v>
          </cell>
        </row>
        <row r="3974">
          <cell r="A3974" t="str">
            <v>clstdai-lay-cont-p30-dazzle-brown-sp0000</v>
          </cell>
          <cell r="B3974" t="str">
            <v>Layala</v>
          </cell>
        </row>
        <row r="3975">
          <cell r="A3975" t="str">
            <v>costmon-ama-2023-p02-chai-sn0325</v>
          </cell>
          <cell r="B3975" t="str">
            <v>Amara</v>
          </cell>
        </row>
        <row r="3976">
          <cell r="A3976" t="str">
            <v>clstbiw-acu-0002-p06-sn0750</v>
          </cell>
          <cell r="B3976" t="str">
            <v>Acuvue</v>
          </cell>
        </row>
        <row r="3977">
          <cell r="A3977" t="str">
            <v>costmon-ama-2020-p02-charcoal-gray-sn0100</v>
          </cell>
          <cell r="B3977" t="str">
            <v>Amara</v>
          </cell>
        </row>
        <row r="3978">
          <cell r="A3978" t="str">
            <v>costmon-ama-2020-p02-charcoal-gray-sn0600</v>
          </cell>
          <cell r="B3978" t="str">
            <v>Amara</v>
          </cell>
        </row>
        <row r="3979">
          <cell r="A3979" t="str">
            <v>clstdai-acu-oasy-p90-sp0375</v>
          </cell>
          <cell r="B3979" t="str">
            <v>Acuvue</v>
          </cell>
        </row>
        <row r="3980">
          <cell r="A3980" t="str">
            <v>costdai-ama-dail-p10-sugar-sn0550</v>
          </cell>
          <cell r="B3980" t="str">
            <v>Amara</v>
          </cell>
        </row>
        <row r="3981">
          <cell r="A3981" t="str">
            <v>costdai-acu-dffr-p10-grayzel-sn0150</v>
          </cell>
          <cell r="B3981" t="str">
            <v>Acuvue</v>
          </cell>
        </row>
        <row r="3982">
          <cell r="A3982" t="str">
            <v>fw50218-spc-000840-0218-53</v>
          </cell>
          <cell r="B3982" t="str">
            <v>Spectus</v>
          </cell>
        </row>
        <row r="3983">
          <cell r="A3983" t="str">
            <v>costdai-ama-dail-p10-shadow-sn0950</v>
          </cell>
          <cell r="B3983" t="str">
            <v>Amara</v>
          </cell>
        </row>
        <row r="3984">
          <cell r="A3984" t="str">
            <v>costdai-acu-dffr-p30-hazel-sn0400</v>
          </cell>
          <cell r="B3984" t="str">
            <v>Acuvue</v>
          </cell>
        </row>
        <row r="3985">
          <cell r="A3985" t="str">
            <v>fw31218-spc-000825-1218-55</v>
          </cell>
          <cell r="B3985" t="str">
            <v>Spectus</v>
          </cell>
        </row>
        <row r="3986">
          <cell r="A3986" t="str">
            <v>fm51318-spc-000816-1318-52</v>
          </cell>
          <cell r="B3986" t="str">
            <v>Spectus</v>
          </cell>
        </row>
        <row r="3987">
          <cell r="A3987" t="str">
            <v>costdai-acu-dffr-p30-honey-sn0125</v>
          </cell>
          <cell r="B3987" t="str">
            <v>Acuvue</v>
          </cell>
        </row>
        <row r="3988">
          <cell r="A3988" t="str">
            <v>clstdai-dai-aqua-p90-sn0800</v>
          </cell>
          <cell r="B3988" t="str">
            <v>Dailies</v>
          </cell>
        </row>
        <row r="3989">
          <cell r="A3989" t="str">
            <v>clstdai-sof-sdai-p30-sn0450</v>
          </cell>
          <cell r="B3989" t="str">
            <v>Soflens</v>
          </cell>
        </row>
        <row r="3990">
          <cell r="A3990" t="str">
            <v>su21706-30s-000446-1706-52</v>
          </cell>
          <cell r="B3990" t="str">
            <v>30Sunday</v>
          </cell>
        </row>
        <row r="3991">
          <cell r="A3991" t="str">
            <v>clstdai-acu-mois-p90-sp0250</v>
          </cell>
          <cell r="B3991" t="str">
            <v>Acuvue</v>
          </cell>
        </row>
        <row r="3992">
          <cell r="A3992" t="str">
            <v>cost3mo-lay-lens-p02-golden-brown-sn0225</v>
          </cell>
          <cell r="B3992" t="str">
            <v>Layala</v>
          </cell>
        </row>
        <row r="3993">
          <cell r="A3993" t="str">
            <v>sw70202-30s-000282-0202-54</v>
          </cell>
          <cell r="B3993" t="str">
            <v>30Sunday</v>
          </cell>
        </row>
        <row r="3994">
          <cell r="A3994" t="str">
            <v>costdai-acu-dffr-p10-rose-sn0150</v>
          </cell>
          <cell r="B3994" t="str">
            <v>Acuvue</v>
          </cell>
        </row>
        <row r="3995">
          <cell r="A3995" t="str">
            <v>clstdai-lay-cont-p30-dazzle-black-sn0450</v>
          </cell>
          <cell r="B3995" t="str">
            <v>Layala</v>
          </cell>
        </row>
        <row r="3996">
          <cell r="A3996" t="str">
            <v>cltodai-acu-mois-p30-sn0350-cn0075-a020</v>
          </cell>
          <cell r="B3996" t="str">
            <v>Acuvue</v>
          </cell>
        </row>
        <row r="3997">
          <cell r="A3997" t="str">
            <v>clstdai-acu-oasy-p90-sn0225</v>
          </cell>
          <cell r="B3997" t="str">
            <v>Acuvue</v>
          </cell>
        </row>
        <row r="3998">
          <cell r="A3998" t="str">
            <v>sw30107-bla-000218-2901-57</v>
          </cell>
          <cell r="B3998" t="str">
            <v>BlackOut</v>
          </cell>
        </row>
        <row r="3999">
          <cell r="A3999" t="str">
            <v>clstdai-acu-dfrb-p90-sn0225</v>
          </cell>
          <cell r="B3999" t="str">
            <v>Acuvue</v>
          </cell>
        </row>
        <row r="4000">
          <cell r="A4000" t="str">
            <v>costdai-acu-dffr-p10-green-sn0350</v>
          </cell>
          <cell r="B4000" t="str">
            <v>Acuvue</v>
          </cell>
        </row>
        <row r="4001">
          <cell r="A4001" t="str">
            <v>clstdai-acu-dfrb-p30-sn0850</v>
          </cell>
          <cell r="B4001" t="str">
            <v>Acuvue</v>
          </cell>
        </row>
        <row r="4002">
          <cell r="A4002" t="str">
            <v>clstdai-acu-dfvi-p30-sp0000</v>
          </cell>
          <cell r="B4002" t="str">
            <v>Acuvue</v>
          </cell>
        </row>
        <row r="4003">
          <cell r="A4003" t="str">
            <v>clstmon-eve-prom-p06-sn0450</v>
          </cell>
          <cell r="B4003" t="str">
            <v>Everva</v>
          </cell>
        </row>
        <row r="4004">
          <cell r="A4004" t="str">
            <v>su20104-bla-000238-0104-49</v>
          </cell>
          <cell r="B4004" t="str">
            <v>BlackOut</v>
          </cell>
        </row>
        <row r="4005">
          <cell r="A4005" t="str">
            <v>costmon-ama-2022-p02-dream-sn0800</v>
          </cell>
          <cell r="B4005" t="str">
            <v>Amara</v>
          </cell>
        </row>
        <row r="4006">
          <cell r="A4006" t="str">
            <v>clstdai-lay-cont-p60-dazzle-brown-sn0500</v>
          </cell>
          <cell r="B4006" t="str">
            <v>Layala</v>
          </cell>
        </row>
        <row r="4007">
          <cell r="A4007" t="str">
            <v>cost3mo-lay-2022-p02-cosmo-gray-sn0225</v>
          </cell>
          <cell r="B4007" t="str">
            <v>Layala</v>
          </cell>
        </row>
        <row r="4008">
          <cell r="A4008" t="str">
            <v>cost3mo-lay-lens-p02-cloudy-gray-sn0175</v>
          </cell>
          <cell r="B4008" t="str">
            <v>Layala</v>
          </cell>
        </row>
        <row r="4009">
          <cell r="A4009" t="str">
            <v>saccase-30s-case103-pnk-bge-blush-pink</v>
          </cell>
          <cell r="B4009" t="str">
            <v>30Sunday</v>
          </cell>
        </row>
        <row r="4010">
          <cell r="A4010" t="str">
            <v>clstdai-lay-cont-p60-dazzle-black-sn0425</v>
          </cell>
          <cell r="B4010" t="str">
            <v>Layala</v>
          </cell>
        </row>
        <row r="4011">
          <cell r="A4011" t="str">
            <v>costdai-ama-dail-p10-honey-sp0000</v>
          </cell>
          <cell r="B4011" t="str">
            <v>Amara</v>
          </cell>
        </row>
        <row r="4012">
          <cell r="A4012" t="str">
            <v>clstdai-dai-aqua-p90-sp0075</v>
          </cell>
          <cell r="B4012" t="str">
            <v>Dailies</v>
          </cell>
        </row>
        <row r="4013">
          <cell r="A4013" t="str">
            <v>costdai-acu-dffr-p30-grayzel-sn0175</v>
          </cell>
          <cell r="B4013" t="str">
            <v>Acuvue</v>
          </cell>
        </row>
        <row r="4014">
          <cell r="A4014" t="str">
            <v>sm50107-30s-000221-0107-52</v>
          </cell>
          <cell r="B4014" t="str">
            <v>30Sunday</v>
          </cell>
        </row>
        <row r="4015">
          <cell r="A4015" t="str">
            <v>cost3mo-lay-lens-p02-platinum-gray-sn0050</v>
          </cell>
          <cell r="B4015" t="str">
            <v>Layala</v>
          </cell>
        </row>
        <row r="4016">
          <cell r="A4016" t="str">
            <v>sw22304-bla-000269-2304-54</v>
          </cell>
          <cell r="B4016" t="str">
            <v>BlackOut</v>
          </cell>
        </row>
        <row r="4017">
          <cell r="A4017" t="str">
            <v>clstdai-acu-dfna-p30-sn0100</v>
          </cell>
          <cell r="B4017" t="str">
            <v>Acuvue</v>
          </cell>
        </row>
        <row r="4018">
          <cell r="A4018" t="str">
            <v>clstdai-lay-cont-p90-dazzle-brown-sn0525</v>
          </cell>
          <cell r="B4018" t="str">
            <v>Layala</v>
          </cell>
        </row>
        <row r="4019">
          <cell r="A4019" t="str">
            <v>clstdai-acu-dfrb-p60-sn0750</v>
          </cell>
          <cell r="B4019" t="str">
            <v>Acuvue</v>
          </cell>
        </row>
        <row r="4020">
          <cell r="A4020" t="str">
            <v>clstdai-dai-tot1-p30-sn0800</v>
          </cell>
          <cell r="B4020" t="str">
            <v>Dailies</v>
          </cell>
        </row>
        <row r="4021">
          <cell r="A4021" t="str">
            <v>clstdai-acu-omax-p30-sp0075</v>
          </cell>
          <cell r="B4021" t="str">
            <v>Acuvue</v>
          </cell>
        </row>
        <row r="4022">
          <cell r="A4022" t="str">
            <v>costdai-ama-dail-p10-shadow-sn0300</v>
          </cell>
          <cell r="B4022" t="str">
            <v>Amara</v>
          </cell>
        </row>
        <row r="4023">
          <cell r="A4023" t="str">
            <v>rm43218-spc-00928-3218-52-sp0150</v>
          </cell>
          <cell r="B4023" t="str">
            <v>Spectus</v>
          </cell>
        </row>
        <row r="4024">
          <cell r="A4024" t="str">
            <v>clstdai-lay-cont-p10-dazzle-brown-sn0600</v>
          </cell>
          <cell r="B4024" t="str">
            <v>Layala</v>
          </cell>
        </row>
        <row r="4025">
          <cell r="A4025" t="str">
            <v>costdai-ama-dail-p10-shadow-sn0750</v>
          </cell>
          <cell r="B4025" t="str">
            <v>Amara</v>
          </cell>
        </row>
        <row r="4026">
          <cell r="A4026" t="str">
            <v>cost3mo-lay-lens-p02-ocean-blue-sn0375</v>
          </cell>
          <cell r="B4026" t="str">
            <v>Layala</v>
          </cell>
        </row>
        <row r="4027">
          <cell r="A4027" t="str">
            <v>su100702-30s-000445-0702-51</v>
          </cell>
          <cell r="B4027" t="str">
            <v>30Sunday</v>
          </cell>
        </row>
        <row r="4028">
          <cell r="A4028" t="str">
            <v>clstdai-eve-elit-p30-sp0650</v>
          </cell>
          <cell r="B4028" t="str">
            <v>Everva</v>
          </cell>
        </row>
        <row r="4029">
          <cell r="A4029" t="str">
            <v>sacchan-30s-chain101-gld-fleek-light-gold</v>
          </cell>
          <cell r="B4029" t="str">
            <v>30Sunday</v>
          </cell>
        </row>
        <row r="4030">
          <cell r="A4030" t="str">
            <v>sw20404-bla-000107-0404-60</v>
          </cell>
          <cell r="B4030" t="str">
            <v>BlackOut</v>
          </cell>
        </row>
        <row r="4031">
          <cell r="A4031" t="str">
            <v>sunglasses-30Sundays-30s-000456-1207</v>
          </cell>
          <cell r="B4031" t="str">
            <v>30Sunday</v>
          </cell>
        </row>
        <row r="4032">
          <cell r="A4032" t="str">
            <v>su52104-30s-000236-2102-49</v>
          </cell>
          <cell r="B4032" t="str">
            <v>30Sunday</v>
          </cell>
        </row>
        <row r="4033">
          <cell r="A4033" t="str">
            <v>sw42906-bla-000245-2906-51</v>
          </cell>
          <cell r="B4033" t="str">
            <v>BlackOut</v>
          </cell>
        </row>
        <row r="4034">
          <cell r="A4034" t="str">
            <v>cost3mo-lay-2022-p02-cosmo-gray-sn0375</v>
          </cell>
          <cell r="B4034" t="str">
            <v>Layala</v>
          </cell>
        </row>
        <row r="4035">
          <cell r="A4035" t="str">
            <v>costmon-ama-lens-p02-dark-sepia-sn0475</v>
          </cell>
          <cell r="B4035" t="str">
            <v>Amara</v>
          </cell>
        </row>
        <row r="4036">
          <cell r="A4036" t="str">
            <v>cost3mo-lay-2022-p02-avena-brown-sn0050</v>
          </cell>
          <cell r="B4036" t="str">
            <v>Layala</v>
          </cell>
        </row>
        <row r="4037">
          <cell r="A4037" t="str">
            <v>cost3mo-lay-lens-p02-cloudy-gray-sn0225</v>
          </cell>
          <cell r="B4037" t="str">
            <v>Layala</v>
          </cell>
        </row>
        <row r="4038">
          <cell r="A4038" t="str">
            <v>clstdai-acu-oasy-p120-sn0425</v>
          </cell>
          <cell r="B4038" t="str">
            <v>Acuvue</v>
          </cell>
        </row>
        <row r="4039">
          <cell r="A4039" t="str">
            <v>clstbiw-acu-cle-p06-sn0125</v>
          </cell>
          <cell r="B4039" t="str">
            <v>Acuvue</v>
          </cell>
        </row>
        <row r="4040">
          <cell r="A4040" t="str">
            <v>cost3mo-cel-natu-p01-real-shade-sp0250</v>
          </cell>
          <cell r="B4040" t="str">
            <v>Celena</v>
          </cell>
        </row>
        <row r="4041">
          <cell r="A4041" t="str">
            <v>cost3mo-lay-2022-p02-sage-gray-sn0600</v>
          </cell>
          <cell r="B4041" t="str">
            <v>Layala</v>
          </cell>
        </row>
        <row r="4042">
          <cell r="A4042" t="str">
            <v>clstdai-dai-aqua-p30-sn1250</v>
          </cell>
          <cell r="B4042" t="str">
            <v>Dailies</v>
          </cell>
        </row>
        <row r="4043">
          <cell r="A4043" t="str">
            <v>sw32904-bla-000230-2904-54</v>
          </cell>
          <cell r="B4043" t="str">
            <v>BlackOut</v>
          </cell>
        </row>
        <row r="4044">
          <cell r="A4044" t="str">
            <v>cost3mo-lay-2021-p02-willow-green-sn0500</v>
          </cell>
          <cell r="B4044" t="str">
            <v>Layala</v>
          </cell>
        </row>
        <row r="4045">
          <cell r="A4045" t="str">
            <v>sw70107-30s-000259-0101-52</v>
          </cell>
          <cell r="B4045" t="str">
            <v>30Sunday</v>
          </cell>
        </row>
        <row r="4046">
          <cell r="A4046" t="str">
            <v>sw30506-bla-000204-2706-66</v>
          </cell>
          <cell r="B4046" t="str">
            <v>BlackOut</v>
          </cell>
        </row>
        <row r="4047">
          <cell r="A4047" t="str">
            <v>clstdai-eve-elit-p30-sn0250</v>
          </cell>
          <cell r="B4047" t="str">
            <v>Everva</v>
          </cell>
        </row>
        <row r="4048">
          <cell r="A4048" t="str">
            <v>cost3mo-lay-2020-p02-hazel-brown-sn0400</v>
          </cell>
          <cell r="B4048" t="str">
            <v>Layala</v>
          </cell>
        </row>
        <row r="4049">
          <cell r="A4049" t="str">
            <v>sw102604-30s-000301-2604-54</v>
          </cell>
          <cell r="B4049" t="str">
            <v>30Sunday</v>
          </cell>
        </row>
        <row r="4050">
          <cell r="A4050" t="str">
            <v>costmon-ama-2024-p02-nmr-sn0125</v>
          </cell>
          <cell r="B4050" t="str">
            <v>Amara</v>
          </cell>
        </row>
        <row r="4051">
          <cell r="A4051" t="str">
            <v>sw102304-30s-000307-2304-54</v>
          </cell>
          <cell r="B4051" t="str">
            <v>30Sunday</v>
          </cell>
        </row>
        <row r="4052">
          <cell r="A4052" t="str">
            <v>sw30107-bla-000244-0101-52</v>
          </cell>
          <cell r="B4052" t="str">
            <v>BlackOut</v>
          </cell>
        </row>
        <row r="4053">
          <cell r="A4053" t="str">
            <v>sw100707-bla-000327-0707-56</v>
          </cell>
          <cell r="B4053" t="str">
            <v>BlackOut</v>
          </cell>
        </row>
        <row r="4054">
          <cell r="A4054" t="str">
            <v>sm101804-30s-000464-1804-53</v>
          </cell>
          <cell r="B4054" t="str">
            <v>30Sunday</v>
          </cell>
        </row>
        <row r="4055">
          <cell r="A4055" t="str">
            <v>cost3mo-lay-2020-p02-ash-gray-sn0100</v>
          </cell>
          <cell r="B4055" t="str">
            <v>Layala</v>
          </cell>
        </row>
        <row r="4056">
          <cell r="A4056" t="str">
            <v>sw32102-bla-000208-2102-54</v>
          </cell>
          <cell r="B4056" t="str">
            <v>BlackOut</v>
          </cell>
        </row>
        <row r="4057">
          <cell r="A4057" t="str">
            <v>sw32904-30s-000111-2904-63</v>
          </cell>
          <cell r="B4057" t="str">
            <v>30Sunday</v>
          </cell>
        </row>
        <row r="4058">
          <cell r="A4058" t="str">
            <v>sw102307-bla-000356-2307-52</v>
          </cell>
          <cell r="B4058" t="str">
            <v>BlackOut</v>
          </cell>
        </row>
        <row r="4059">
          <cell r="A4059" t="str">
            <v>clstdai-eve-pure-p90-sn0200</v>
          </cell>
          <cell r="B4059" t="str">
            <v>Everva</v>
          </cell>
        </row>
        <row r="4060">
          <cell r="A4060" t="str">
            <v>sw60107-30s-000435-0107-54</v>
          </cell>
          <cell r="B4060" t="str">
            <v>30Sunday</v>
          </cell>
        </row>
        <row r="4061">
          <cell r="A4061" t="str">
            <v>cost3mo-lay-2022-p02-royal-green-sn0150</v>
          </cell>
          <cell r="B4061" t="str">
            <v>Layala</v>
          </cell>
        </row>
        <row r="4062">
          <cell r="A4062" t="str">
            <v>cost3mo-lay-lens-p02-chestnut-brown-sn0175</v>
          </cell>
          <cell r="B4062" t="str">
            <v>Layala</v>
          </cell>
        </row>
        <row r="4063">
          <cell r="A4063" t="str">
            <v>bc20618-bab-000502-0618-50</v>
          </cell>
          <cell r="B4063" t="str">
            <v>Babamio</v>
          </cell>
        </row>
        <row r="4064">
          <cell r="A4064" t="str">
            <v>sw32404-30s-000122-2404-53</v>
          </cell>
          <cell r="B4064" t="str">
            <v>30Sunday</v>
          </cell>
        </row>
        <row r="4065">
          <cell r="A4065" t="str">
            <v>clstdai-lay-cont-p10-dazzle-brown-sn0425</v>
          </cell>
          <cell r="B4065" t="str">
            <v>Layala</v>
          </cell>
        </row>
        <row r="4066">
          <cell r="A4066" t="str">
            <v>clstdai-sof-sdai-p90-sn0125</v>
          </cell>
          <cell r="B4066" t="str">
            <v>Soflens</v>
          </cell>
        </row>
        <row r="4067">
          <cell r="A4067" t="str">
            <v>sw31207-30s-000425-1207-60</v>
          </cell>
          <cell r="B4067" t="str">
            <v>30Sunday</v>
          </cell>
        </row>
        <row r="4068">
          <cell r="A4068" t="str">
            <v>costdai-ama-dail-p10-shadow-sn0850</v>
          </cell>
          <cell r="B4068" t="str">
            <v>Amara</v>
          </cell>
        </row>
        <row r="4069">
          <cell r="A4069" t="str">
            <v>clstdai-acu-dfrb-p60-sn0525</v>
          </cell>
          <cell r="B4069" t="str">
            <v>Acuvue</v>
          </cell>
        </row>
        <row r="4070">
          <cell r="A4070" t="str">
            <v>clstdai-dai-tot1-p90-sn0225</v>
          </cell>
          <cell r="B4070" t="str">
            <v>Dailies</v>
          </cell>
        </row>
        <row r="4071">
          <cell r="A4071" t="str">
            <v>costdai-ama-dail-p10-shadow-sn0350</v>
          </cell>
          <cell r="B4071" t="str">
            <v>Amara</v>
          </cell>
        </row>
        <row r="4072">
          <cell r="A4072" t="str">
            <v>cost3mo-lay-2022-p02-cosmo-gray-sn0200</v>
          </cell>
          <cell r="B4072" t="str">
            <v>Layala</v>
          </cell>
        </row>
        <row r="4073">
          <cell r="A4073" t="str">
            <v>clstdai-dai-tot1-p30-sn0050</v>
          </cell>
          <cell r="B4073" t="str">
            <v>Dailies</v>
          </cell>
        </row>
        <row r="4074">
          <cell r="A4074" t="str">
            <v>clstdai-acu-omax-p90-sp0175</v>
          </cell>
          <cell r="B4074" t="str">
            <v>Acuvue</v>
          </cell>
        </row>
        <row r="4075">
          <cell r="A4075" t="str">
            <v>fw100718-spc-000300-0700-52</v>
          </cell>
          <cell r="B4075" t="str">
            <v>Spectus</v>
          </cell>
        </row>
        <row r="4076">
          <cell r="A4076" t="str">
            <v>sw20710-bla-000106-0710-57</v>
          </cell>
          <cell r="B4076" t="str">
            <v>BlackOut</v>
          </cell>
        </row>
        <row r="4077">
          <cell r="A4077" t="str">
            <v>clstdai-dai-tot1-p90-sn0550</v>
          </cell>
          <cell r="B4077" t="str">
            <v>Dailies</v>
          </cell>
        </row>
        <row r="4078">
          <cell r="A4078" t="str">
            <v>clstdai-lay-cont-p30-dazzle-brown-sn0375</v>
          </cell>
          <cell r="B4078" t="str">
            <v>Layala</v>
          </cell>
        </row>
        <row r="4079">
          <cell r="A4079" t="str">
            <v>sw52907-bla-000221-2901-61</v>
          </cell>
          <cell r="B4079" t="str">
            <v>BlackOut</v>
          </cell>
        </row>
        <row r="4080">
          <cell r="A4080" t="str">
            <v>clstdai-eve-pure-p90-Sn0950</v>
          </cell>
          <cell r="B4080" t="str">
            <v>Everva</v>
          </cell>
        </row>
        <row r="4081">
          <cell r="A4081" t="str">
            <v>clstdai-lay-cont-p90-dazzle-black-sn0200</v>
          </cell>
          <cell r="B4081" t="str">
            <v>Layala</v>
          </cell>
        </row>
        <row r="4082">
          <cell r="A4082" t="str">
            <v>costmon-ama-2020-p02-charcoal-gray-sn0175</v>
          </cell>
          <cell r="B4082" t="str">
            <v>Amara</v>
          </cell>
        </row>
        <row r="4083">
          <cell r="A4083" t="str">
            <v>clstdai-acu-dfvi-p90-sn0300</v>
          </cell>
          <cell r="B4083" t="str">
            <v>Acuvue</v>
          </cell>
        </row>
        <row r="4084">
          <cell r="A4084" t="str">
            <v>bc20218-bab-000512-0218d-50</v>
          </cell>
          <cell r="B4084" t="str">
            <v>Babamio</v>
          </cell>
        </row>
        <row r="4085">
          <cell r="A4085" t="str">
            <v>clstdai-acu-mois-p30-sp0100</v>
          </cell>
          <cell r="B4085" t="str">
            <v>Acuvue</v>
          </cell>
        </row>
        <row r="4086">
          <cell r="A4086" t="str">
            <v>sm50102-30s-000220-2106-55</v>
          </cell>
          <cell r="B4086" t="str">
            <v>30Sunday</v>
          </cell>
        </row>
        <row r="4087">
          <cell r="A4087" t="str">
            <v>clstdai-acu-oasy-p120-sn1000</v>
          </cell>
          <cell r="B4087" t="str">
            <v>Acuvue</v>
          </cell>
        </row>
        <row r="4088">
          <cell r="A4088" t="str">
            <v>clstdai-lay-cont-p10-dazzle-brown-sn0950</v>
          </cell>
          <cell r="B4088" t="str">
            <v>Layala</v>
          </cell>
        </row>
        <row r="4089">
          <cell r="A4089" t="str">
            <v>sw22504-30s-000132-2504-46</v>
          </cell>
          <cell r="B4089" t="str">
            <v>30Sunday</v>
          </cell>
        </row>
        <row r="4090">
          <cell r="A4090" t="str">
            <v>sm101202-30s-000266-1202-59</v>
          </cell>
          <cell r="B4090" t="str">
            <v>30Sunday</v>
          </cell>
        </row>
        <row r="4091">
          <cell r="A4091" t="str">
            <v>sm60406-30s-000235-0406-46</v>
          </cell>
          <cell r="B4091" t="str">
            <v>30Sunday</v>
          </cell>
        </row>
        <row r="4092">
          <cell r="A4092" t="str">
            <v>cost3mo-lay-2025-p02-desert-topaz-sn0575</v>
          </cell>
          <cell r="B4092" t="str">
            <v>Layala</v>
          </cell>
        </row>
        <row r="4093">
          <cell r="A4093" t="str">
            <v>costmon-ama-2023-p02-chai-sn0400</v>
          </cell>
          <cell r="B4093" t="str">
            <v>Amara</v>
          </cell>
        </row>
        <row r="4094">
          <cell r="A4094" t="str">
            <v>costmon-ama-lens-p02-dark-sepia-sn0325</v>
          </cell>
          <cell r="B4094" t="str">
            <v>Amara</v>
          </cell>
        </row>
        <row r="4095">
          <cell r="A4095" t="str">
            <v>fw30918-spc-000817-0918-54</v>
          </cell>
          <cell r="B4095" t="str">
            <v>Spectus</v>
          </cell>
        </row>
        <row r="4096">
          <cell r="A4096" t="str">
            <v>clstdai-acu-mois-p30-sn0100</v>
          </cell>
          <cell r="B4096" t="str">
            <v>Acuvue</v>
          </cell>
        </row>
        <row r="4097">
          <cell r="A4097" t="str">
            <v>sm70707-30s-000209-0707-60</v>
          </cell>
          <cell r="B4097" t="str">
            <v>30Sunday</v>
          </cell>
        </row>
        <row r="4098">
          <cell r="A4098" t="str">
            <v>cost3mo-lay-lens-p02-forest-green-sn0500</v>
          </cell>
          <cell r="B4098" t="str">
            <v>Layala</v>
          </cell>
        </row>
        <row r="4099">
          <cell r="A4099" t="str">
            <v>sw30107-30s-000434-0107-61</v>
          </cell>
          <cell r="B4099" t="str">
            <v>30Sunday</v>
          </cell>
        </row>
        <row r="4100">
          <cell r="A4100" t="str">
            <v>clstdai-lay-cont-p10-dazzle-black-sn0475</v>
          </cell>
          <cell r="B4100" t="str">
            <v>Layala</v>
          </cell>
        </row>
        <row r="4101">
          <cell r="A4101" t="str">
            <v>clstdai-lay-cont-p30-dazzle-brown-sn0025</v>
          </cell>
          <cell r="B4101" t="str">
            <v>Layala</v>
          </cell>
        </row>
        <row r="4102">
          <cell r="A4102" t="str">
            <v>clstdai-lay-cont-p10-dazzle-brown-sn0500</v>
          </cell>
          <cell r="B4102" t="str">
            <v>Layala</v>
          </cell>
        </row>
        <row r="4103">
          <cell r="A4103" t="str">
            <v>clstdai-acu-omax-p30-sn0425</v>
          </cell>
          <cell r="B4103" t="str">
            <v>Acuvue</v>
          </cell>
        </row>
        <row r="4104">
          <cell r="A4104" t="str">
            <v>fu11318-spc-000828-1318-54</v>
          </cell>
          <cell r="B4104" t="str">
            <v>Spectus</v>
          </cell>
        </row>
        <row r="4105">
          <cell r="A4105" t="str">
            <v>clstdai-acu-dfrb-p30-sn0500</v>
          </cell>
          <cell r="B4105" t="str">
            <v>Acuvue</v>
          </cell>
        </row>
        <row r="4106">
          <cell r="A4106" t="str">
            <v>cost3mo-lay-2022-p02-sweet-hazel-sn0500</v>
          </cell>
          <cell r="B4106" t="str">
            <v>Layala</v>
          </cell>
        </row>
        <row r="4107">
          <cell r="A4107" t="str">
            <v>fw30418-spc-000834-0418-54</v>
          </cell>
          <cell r="B4107" t="str">
            <v>Spectus</v>
          </cell>
        </row>
        <row r="4108">
          <cell r="A4108" t="str">
            <v>cost3mo-lay-lens-p02-golden-brown-sn0600</v>
          </cell>
          <cell r="B4108" t="str">
            <v>Layala</v>
          </cell>
        </row>
        <row r="4109">
          <cell r="A4109" t="str">
            <v>clstdai-eve-elit-p30-sp0550</v>
          </cell>
          <cell r="B4109" t="str">
            <v>Everva</v>
          </cell>
        </row>
        <row r="4110">
          <cell r="A4110" t="str">
            <v>sc20907-bab-000502-0907-50</v>
          </cell>
          <cell r="B4110" t="str">
            <v>Babamio</v>
          </cell>
        </row>
        <row r="4111">
          <cell r="A4111" t="str">
            <v>costmon-ama-2024-p02-chocolate-sn0175</v>
          </cell>
          <cell r="B4111" t="str">
            <v>Amara</v>
          </cell>
        </row>
        <row r="4112">
          <cell r="A4112" t="str">
            <v>fw31118-spc-000556-1100-53</v>
          </cell>
          <cell r="B4112" t="str">
            <v>Spectus</v>
          </cell>
        </row>
        <row r="4113">
          <cell r="A4113" t="str">
            <v>clstdai-acu-dfna-p60-sn0050</v>
          </cell>
          <cell r="B4113" t="str">
            <v>Acuvue</v>
          </cell>
        </row>
        <row r="4114">
          <cell r="A4114" t="str">
            <v>sm50102-30s-000234-0102-48</v>
          </cell>
          <cell r="B4114" t="str">
            <v>30Sunday</v>
          </cell>
        </row>
        <row r="4115">
          <cell r="A4115" t="str">
            <v>fm70418-spc-000822-0418-51</v>
          </cell>
          <cell r="B4115" t="str">
            <v>Spectus</v>
          </cell>
        </row>
        <row r="4116">
          <cell r="A4116" t="str">
            <v>sm50707-30s-000205-0707-55</v>
          </cell>
          <cell r="B4116" t="str">
            <v>30Sunday</v>
          </cell>
        </row>
        <row r="4117">
          <cell r="A4117" t="str">
            <v>cost3mo-lay-2025-p02-emerald-glow-sn0250</v>
          </cell>
          <cell r="B4117" t="str">
            <v>Layala</v>
          </cell>
        </row>
        <row r="4118">
          <cell r="A4118" t="str">
            <v>sw52904-bla-000226-2904-57</v>
          </cell>
          <cell r="B4118" t="str">
            <v>BlackOut</v>
          </cell>
        </row>
        <row r="4119">
          <cell r="A4119" t="str">
            <v>sm41306-30s-000214-1306-51</v>
          </cell>
          <cell r="B4119" t="str">
            <v>30Sunday</v>
          </cell>
        </row>
        <row r="4120">
          <cell r="A4120" t="str">
            <v>clstdai-btr-oned-p30-sn0800</v>
          </cell>
          <cell r="B4120" t="str">
            <v>Biotrue</v>
          </cell>
        </row>
        <row r="4121">
          <cell r="A4121" t="str">
            <v>clstdai-lay-cont-p10-dazzle-brown-sn0700</v>
          </cell>
          <cell r="B4121" t="str">
            <v>Layala</v>
          </cell>
        </row>
        <row r="4122">
          <cell r="A4122" t="str">
            <v>sw32904-bla-000220-2904-65</v>
          </cell>
          <cell r="B4122" t="str">
            <v>BlackOut</v>
          </cell>
        </row>
        <row r="4123">
          <cell r="A4123" t="str">
            <v>sw102404-30s-000301-2404-54</v>
          </cell>
          <cell r="B4123" t="str">
            <v>30Sunday</v>
          </cell>
        </row>
        <row r="4124">
          <cell r="A4124" t="str">
            <v>sw50504-30s-000406-2904p-56</v>
          </cell>
          <cell r="B4124" t="str">
            <v>30Sunday</v>
          </cell>
        </row>
        <row r="4125">
          <cell r="A4125" t="str">
            <v>sw40101-bla-000261-0101-50</v>
          </cell>
          <cell r="B4125" t="str">
            <v>BlackOut</v>
          </cell>
        </row>
        <row r="4126">
          <cell r="A4126" t="str">
            <v>cost3mo-lay-2023-p02-sable-brown-sp0000</v>
          </cell>
          <cell r="B4126" t="str">
            <v>Layala</v>
          </cell>
        </row>
        <row r="4127">
          <cell r="A4127" t="str">
            <v>clstdai-eve-elit-p30-sn0600</v>
          </cell>
          <cell r="B4127" t="str">
            <v>Everva</v>
          </cell>
        </row>
        <row r="4128">
          <cell r="A4128" t="str">
            <v>sw30404-bla-000208-2604-54</v>
          </cell>
          <cell r="B4128" t="str">
            <v>BlackOut</v>
          </cell>
        </row>
        <row r="4129">
          <cell r="A4129" t="str">
            <v>clstdai-acu-oasy-p120-sn0150</v>
          </cell>
          <cell r="B4129" t="str">
            <v>Acuvue</v>
          </cell>
        </row>
        <row r="4130">
          <cell r="A4130" t="str">
            <v>clstdai-acu-dfna-p60-sn0525</v>
          </cell>
          <cell r="B4130" t="str">
            <v>Acuvue</v>
          </cell>
        </row>
        <row r="4131">
          <cell r="A4131" t="str">
            <v>sw31306-30s-000233-1306-53</v>
          </cell>
          <cell r="B4131" t="str">
            <v>30Sunday</v>
          </cell>
        </row>
        <row r="4132">
          <cell r="A4132" t="str">
            <v>clstmon-ava-avai-p06-sp0125</v>
          </cell>
          <cell r="B4132" t="str">
            <v>Avaira</v>
          </cell>
        </row>
        <row r="4133">
          <cell r="A4133" t="str">
            <v>sw40211-bla-000260-0211-52</v>
          </cell>
          <cell r="B4133" t="str">
            <v>BlackOut</v>
          </cell>
        </row>
        <row r="4134">
          <cell r="A4134" t="str">
            <v>clstdai-lay-cont-p60-dazzle-brown-sn0100</v>
          </cell>
          <cell r="B4134" t="str">
            <v>Layala</v>
          </cell>
        </row>
        <row r="4135">
          <cell r="A4135" t="str">
            <v>clstdai-acu-dfrb-p30-sn0050</v>
          </cell>
          <cell r="B4135" t="str">
            <v>Acuvue</v>
          </cell>
        </row>
        <row r="4136">
          <cell r="A4136" t="str">
            <v>su11707-rov-8006-13-41-57</v>
          </cell>
          <cell r="B4136" t="str">
            <v>Roav</v>
          </cell>
        </row>
        <row r="4137">
          <cell r="A4137" t="str">
            <v>clstbiw-acu-0002-p06-sp0800</v>
          </cell>
          <cell r="B4137" t="str">
            <v>Acuvue</v>
          </cell>
        </row>
        <row r="4138">
          <cell r="A4138" t="str">
            <v>clstdai-dai-aqua-p30-sn1150</v>
          </cell>
          <cell r="B4138" t="str">
            <v>Dailies</v>
          </cell>
        </row>
        <row r="4139">
          <cell r="A4139" t="str">
            <v>clstdai-lay-cont-p10-dazzle-black-sn0350</v>
          </cell>
          <cell r="B4139" t="str">
            <v>Layala</v>
          </cell>
        </row>
        <row r="4140">
          <cell r="A4140" t="str">
            <v>cost3mo-lay-lens-p02-platinum-gray-sn0525</v>
          </cell>
          <cell r="B4140" t="str">
            <v>Layala</v>
          </cell>
        </row>
        <row r="4141">
          <cell r="A4141" t="str">
            <v>clstmon-bio-biof-p06-sn0200</v>
          </cell>
          <cell r="B4141" t="str">
            <v>Biofinity</v>
          </cell>
        </row>
        <row r="4142">
          <cell r="A4142" t="str">
            <v>sw30701-bla-000228-0701-58</v>
          </cell>
          <cell r="B4142" t="str">
            <v>BlackOut</v>
          </cell>
        </row>
        <row r="4143">
          <cell r="A4143" t="str">
            <v>sacchan-30s-chain134-mul-berry-multicolour</v>
          </cell>
          <cell r="B4143" t="str">
            <v>30Sunday</v>
          </cell>
        </row>
        <row r="4144">
          <cell r="A4144" t="str">
            <v>clstdai-acu-dfrb-p30-sn0900</v>
          </cell>
          <cell r="B4144" t="str">
            <v>Acuvue</v>
          </cell>
        </row>
        <row r="4145">
          <cell r="A4145" t="str">
            <v>costmon-ama-2020-p02-pure-hazel-sp0000</v>
          </cell>
          <cell r="B4145" t="str">
            <v>Amara</v>
          </cell>
        </row>
        <row r="4146">
          <cell r="A4146" t="str">
            <v>clstdai-acu-oasy-p60-sn0350</v>
          </cell>
          <cell r="B4146" t="str">
            <v>Acuvue</v>
          </cell>
        </row>
        <row r="4147">
          <cell r="A4147" t="str">
            <v>sw100107-bla-000318-0107-56</v>
          </cell>
          <cell r="B4147" t="str">
            <v>BlackOut</v>
          </cell>
        </row>
        <row r="4148">
          <cell r="A4148" t="str">
            <v>sm51306-30s-000217-1306-54</v>
          </cell>
          <cell r="B4148" t="str">
            <v>30Sunday</v>
          </cell>
        </row>
        <row r="4149">
          <cell r="A4149" t="str">
            <v>clstdai-acu-dfrb-p30-sn0350</v>
          </cell>
          <cell r="B4149" t="str">
            <v>Acuvue</v>
          </cell>
        </row>
        <row r="4150">
          <cell r="A4150" t="str">
            <v>clstdai-acu-mois-p30-sp0225</v>
          </cell>
          <cell r="B4150" t="str">
            <v>Acuvue</v>
          </cell>
        </row>
        <row r="4151">
          <cell r="A4151" t="str">
            <v>clstdai-acu-mois-p30-sn0450</v>
          </cell>
          <cell r="B4151" t="str">
            <v>Acuvue</v>
          </cell>
        </row>
        <row r="4152">
          <cell r="A4152" t="str">
            <v>cost3mo-cel-natu-p01-light-grey-sp0200</v>
          </cell>
          <cell r="B4152" t="str">
            <v>Celena</v>
          </cell>
        </row>
        <row r="4153">
          <cell r="A4153" t="str">
            <v>clstbiw-acu-0002-p12-sn1050</v>
          </cell>
          <cell r="B4153" t="str">
            <v>Acuvue</v>
          </cell>
        </row>
        <row r="4154">
          <cell r="A4154" t="str">
            <v>sw70404-bla-000257-0404-57</v>
          </cell>
          <cell r="B4154" t="str">
            <v>BlackOut</v>
          </cell>
        </row>
        <row r="4155">
          <cell r="A4155" t="str">
            <v>costdai-ama-dail-p10-honey-sn0450</v>
          </cell>
          <cell r="B4155" t="str">
            <v>Amara</v>
          </cell>
        </row>
        <row r="4156">
          <cell r="A4156" t="str">
            <v>clstdai-lay-cont-p60-dazzle-black-sn0450</v>
          </cell>
          <cell r="B4156" t="str">
            <v>Layala</v>
          </cell>
        </row>
        <row r="4157">
          <cell r="A4157" t="str">
            <v>costmon-ama-lens-p02-crocodile-green-sn0325</v>
          </cell>
          <cell r="B4157" t="str">
            <v>Amara</v>
          </cell>
        </row>
        <row r="4158">
          <cell r="A4158" t="str">
            <v>costdai-acu-dffr-p10-rose-sn0300</v>
          </cell>
          <cell r="B4158" t="str">
            <v>Acuvue</v>
          </cell>
        </row>
        <row r="4159">
          <cell r="A4159" t="str">
            <v>clstdai-dai-aqua-p30-sp0650</v>
          </cell>
          <cell r="B4159" t="str">
            <v>Dailies</v>
          </cell>
        </row>
        <row r="4160">
          <cell r="A4160" t="str">
            <v>costdai-ama-dail-p10-amber-sp0000</v>
          </cell>
          <cell r="B4160" t="str">
            <v>Amara</v>
          </cell>
        </row>
        <row r="4161">
          <cell r="A4161" t="str">
            <v>sw60107-bla-000376-0107-55</v>
          </cell>
          <cell r="B4161" t="str">
            <v>BlackOut</v>
          </cell>
        </row>
        <row r="4162">
          <cell r="A4162" t="str">
            <v>clstdai-acu-mois-p60-sn0900</v>
          </cell>
          <cell r="B4162" t="str">
            <v>Acuvue</v>
          </cell>
        </row>
        <row r="4163">
          <cell r="A4163" t="str">
            <v>sm50107-30s-000216-0107-51</v>
          </cell>
          <cell r="B4163" t="str">
            <v>30Sunday</v>
          </cell>
        </row>
        <row r="4164">
          <cell r="A4164" t="str">
            <v>costmon-ama-lens-p02-dark-sepia-sn0175</v>
          </cell>
          <cell r="B4164" t="str">
            <v>Amara</v>
          </cell>
        </row>
        <row r="4165">
          <cell r="A4165" t="str">
            <v>sw32904-bla-000344-2904-56</v>
          </cell>
          <cell r="B4165" t="str">
            <v>BlackOut</v>
          </cell>
        </row>
        <row r="4166">
          <cell r="A4166" t="str">
            <v>sw61207-bla-000241-1207-58</v>
          </cell>
          <cell r="B4166" t="str">
            <v>BlackOut</v>
          </cell>
        </row>
        <row r="4167">
          <cell r="A4167" t="str">
            <v>clstdai-acu-dfvi-p90-sn0275</v>
          </cell>
          <cell r="B4167" t="str">
            <v>Acuvue</v>
          </cell>
        </row>
        <row r="4168">
          <cell r="A4168" t="str">
            <v>su20102-30s-000213-0102-46</v>
          </cell>
          <cell r="B4168" t="str">
            <v>30Sunday</v>
          </cell>
        </row>
        <row r="4169">
          <cell r="A4169" t="str">
            <v>costmon-ama-2020-p02-charcoal-gray-sn0400</v>
          </cell>
          <cell r="B4169" t="str">
            <v>Amara</v>
          </cell>
        </row>
        <row r="4170">
          <cell r="A4170" t="str">
            <v>cost3mo-lay-2020-p02-hazel-brown-sn0125</v>
          </cell>
          <cell r="B4170" t="str">
            <v>Layala</v>
          </cell>
        </row>
        <row r="4171">
          <cell r="A4171" t="str">
            <v>sw100104-bla-000343-0104-55</v>
          </cell>
          <cell r="B4171" t="str">
            <v>BlackOut</v>
          </cell>
        </row>
        <row r="4172">
          <cell r="A4172" t="str">
            <v>clstdai-acu-dfvi-p60-sn0850</v>
          </cell>
          <cell r="B4172" t="str">
            <v>Acuvue</v>
          </cell>
        </row>
        <row r="4173">
          <cell r="A4173" t="str">
            <v>sw72604-30s-000245-2604-55</v>
          </cell>
          <cell r="B4173" t="str">
            <v>30Sunday</v>
          </cell>
        </row>
        <row r="4174">
          <cell r="A4174" t="str">
            <v>clstbiw-acu-cle-p06-sn0175</v>
          </cell>
          <cell r="B4174" t="str">
            <v>Acuvue</v>
          </cell>
        </row>
        <row r="4175">
          <cell r="A4175" t="str">
            <v>clstdai-acu-omax-p90-sn0900</v>
          </cell>
          <cell r="B4175" t="str">
            <v>Acuvue</v>
          </cell>
        </row>
        <row r="4176">
          <cell r="A4176" t="str">
            <v>sm101207-30s-000247-1207p-57</v>
          </cell>
          <cell r="B4176" t="str">
            <v>30Sunday</v>
          </cell>
        </row>
        <row r="4177">
          <cell r="A4177" t="str">
            <v>clstdai-dai-tot1-p30-sn0750</v>
          </cell>
          <cell r="B4177" t="str">
            <v>Dailies</v>
          </cell>
        </row>
        <row r="4178">
          <cell r="A4178" t="str">
            <v>costdai-ama-dail-p10-amber-sn0850</v>
          </cell>
          <cell r="B4178" t="str">
            <v>Amara</v>
          </cell>
        </row>
        <row r="4179">
          <cell r="A4179" t="str">
            <v>costdai-ama-dail-p10-sugar-sn0075</v>
          </cell>
          <cell r="B4179" t="str">
            <v>Amara</v>
          </cell>
        </row>
        <row r="4180">
          <cell r="A4180" t="str">
            <v>clstmon-bio-biof-p06-sn0325</v>
          </cell>
          <cell r="B4180" t="str">
            <v>Biofinity</v>
          </cell>
        </row>
        <row r="4181">
          <cell r="A4181" t="str">
            <v>clstdai-lay-cont-p90-dazzle-black-sn1000</v>
          </cell>
          <cell r="B4181" t="str">
            <v>Layala</v>
          </cell>
        </row>
        <row r="4182">
          <cell r="A4182" t="str">
            <v>sw52302-30s-000242-2302-58</v>
          </cell>
          <cell r="B4182" t="str">
            <v>30Sunday</v>
          </cell>
        </row>
        <row r="4183">
          <cell r="A4183" t="str">
            <v>clstdai-eve-elit-p30-sn0400</v>
          </cell>
          <cell r="B4183" t="str">
            <v>Everva</v>
          </cell>
        </row>
        <row r="4184">
          <cell r="A4184" t="str">
            <v>sm11304-30s-000201-1304-57</v>
          </cell>
          <cell r="B4184" t="str">
            <v>30Sunday</v>
          </cell>
        </row>
        <row r="4185">
          <cell r="A4185" t="str">
            <v>bc52018-bab-000505-2018-43</v>
          </cell>
          <cell r="B4185" t="str">
            <v>Babamio</v>
          </cell>
        </row>
        <row r="4186">
          <cell r="A4186" t="str">
            <v>clstbiw-acu-oasy-p06-sp0750</v>
          </cell>
          <cell r="B4186" t="str">
            <v>Acuvue</v>
          </cell>
        </row>
        <row r="4187">
          <cell r="A4187" t="str">
            <v>sw62304-bla-000320-2304-56</v>
          </cell>
          <cell r="B4187" t="str">
            <v>BlackOut</v>
          </cell>
        </row>
        <row r="4188">
          <cell r="A4188" t="str">
            <v>sw50101-30s-000120-0101-59</v>
          </cell>
          <cell r="B4188" t="str">
            <v>30Sunday</v>
          </cell>
        </row>
        <row r="4189">
          <cell r="A4189" t="str">
            <v>clstdai-acu-dfna-p60-sn0250</v>
          </cell>
          <cell r="B4189" t="str">
            <v>Acuvue</v>
          </cell>
        </row>
        <row r="4190">
          <cell r="A4190" t="str">
            <v>sw20404-30s-000269-0404-51</v>
          </cell>
          <cell r="B4190" t="str">
            <v>30Sunday</v>
          </cell>
        </row>
        <row r="4191">
          <cell r="A4191" t="str">
            <v>sacchan-30s-chain123-pnk-etta-pink</v>
          </cell>
          <cell r="B4191" t="str">
            <v>30Sunday</v>
          </cell>
        </row>
        <row r="4192">
          <cell r="A4192" t="str">
            <v>cost3mo-lay-2024-p02-moon-gray-sn0550</v>
          </cell>
          <cell r="B4192" t="str">
            <v>Layala</v>
          </cell>
        </row>
        <row r="4193">
          <cell r="A4193" t="str">
            <v>sacchan-30s-chain134-blk-berry-black</v>
          </cell>
          <cell r="B4193" t="str">
            <v>30Sunday</v>
          </cell>
        </row>
        <row r="4194">
          <cell r="A4194" t="str">
            <v>clstdai-lay-cont-p90-dazzle-black-sn0700</v>
          </cell>
          <cell r="B4194" t="str">
            <v>Layala</v>
          </cell>
        </row>
        <row r="4195">
          <cell r="A4195" t="str">
            <v>cost3mo-lay-2023-p02-sable-brown-sn0550</v>
          </cell>
          <cell r="B4195" t="str">
            <v>Layala</v>
          </cell>
        </row>
        <row r="4196">
          <cell r="A4196" t="str">
            <v>costmon-ama-2024-p02-matcha-sn0350</v>
          </cell>
          <cell r="B4196" t="str">
            <v>Amara</v>
          </cell>
        </row>
        <row r="4197">
          <cell r="A4197" t="str">
            <v>costdai-acu-dffr-p30-grayzel-sn0800</v>
          </cell>
          <cell r="B4197" t="str">
            <v>Acuvue</v>
          </cell>
        </row>
        <row r="4198">
          <cell r="A4198" t="str">
            <v>cost3mo-lay-2020-p02-hazel-brown-sn0375</v>
          </cell>
          <cell r="B4198" t="str">
            <v>Layala</v>
          </cell>
        </row>
        <row r="4199">
          <cell r="A4199" t="str">
            <v>sw62906-bla-000304-2906-55</v>
          </cell>
          <cell r="B4199" t="str">
            <v>BlackOut</v>
          </cell>
        </row>
        <row r="4200">
          <cell r="A4200" t="str">
            <v>su10702-bla-000213-0702-61</v>
          </cell>
          <cell r="B4200" t="str">
            <v>BlackOut</v>
          </cell>
        </row>
        <row r="4201">
          <cell r="A4201" t="str">
            <v>costmon-ama-2020-p02-charcoal-gray-sn0050</v>
          </cell>
          <cell r="B4201" t="str">
            <v>Amara</v>
          </cell>
        </row>
        <row r="4202">
          <cell r="A4202" t="str">
            <v>clstdai-acu-omax-p30-sn0275</v>
          </cell>
          <cell r="B4202" t="str">
            <v>Acuvue</v>
          </cell>
        </row>
        <row r="4203">
          <cell r="A4203" t="str">
            <v>sacchan-30s-chain136-wht-celestia-white-pearl</v>
          </cell>
          <cell r="B4203" t="str">
            <v>30Sunday</v>
          </cell>
        </row>
        <row r="4204">
          <cell r="A4204" t="str">
            <v>clstdai-lay-cont-p30-dazzle-black-sn0325</v>
          </cell>
          <cell r="B4204" t="str">
            <v>Layala</v>
          </cell>
        </row>
        <row r="4205">
          <cell r="A4205" t="str">
            <v>sacchan-30s-chain141-blu-legacy-navy-blue</v>
          </cell>
          <cell r="B4205" t="str">
            <v>30Sunday</v>
          </cell>
        </row>
        <row r="4206">
          <cell r="A4206" t="str">
            <v>fw32418-spc-000634-2418-53</v>
          </cell>
          <cell r="B4206" t="str">
            <v>Spectus</v>
          </cell>
        </row>
        <row r="4207">
          <cell r="A4207" t="str">
            <v>clstdai-eve-pure-p90-sn0600</v>
          </cell>
          <cell r="B4207" t="str">
            <v>Everva</v>
          </cell>
        </row>
        <row r="4208">
          <cell r="A4208" t="str">
            <v>clstbiw-acu-oasy-p18-sn0150</v>
          </cell>
          <cell r="B4208" t="str">
            <v>Acuvue</v>
          </cell>
        </row>
        <row r="4209">
          <cell r="A4209" t="str">
            <v>sw30404-30s-000233-0402-53</v>
          </cell>
          <cell r="B4209" t="str">
            <v>30Sunday</v>
          </cell>
        </row>
        <row r="4210">
          <cell r="A4210" t="str">
            <v>clstdai-dai-tot1-p90-sp0050</v>
          </cell>
          <cell r="B4210" t="str">
            <v>Dailies</v>
          </cell>
        </row>
        <row r="4211">
          <cell r="A4211" t="str">
            <v>clstdai-eve-elit-p90-sn0100</v>
          </cell>
          <cell r="B4211" t="str">
            <v>Everva</v>
          </cell>
        </row>
        <row r="4212">
          <cell r="A4212" t="str">
            <v>cost3mo-lay-2024-p02-terra-brown-sn0450</v>
          </cell>
          <cell r="B4212" t="str">
            <v>Layala</v>
          </cell>
        </row>
        <row r="4213">
          <cell r="A4213" t="str">
            <v>clstbiw-acu-oasy-p06-sp0075</v>
          </cell>
          <cell r="B4213" t="str">
            <v>Acuvue</v>
          </cell>
        </row>
        <row r="4214">
          <cell r="A4214" t="str">
            <v>clstdai-lay-cont-p60-dazzle-black-sn0525</v>
          </cell>
          <cell r="B4214" t="str">
            <v>Layala</v>
          </cell>
        </row>
        <row r="4215">
          <cell r="A4215" t="str">
            <v>sc21007-bab-000512-1007d-48</v>
          </cell>
          <cell r="B4215" t="str">
            <v>Babamio</v>
          </cell>
        </row>
        <row r="4216">
          <cell r="A4216" t="str">
            <v>cost3mo-lay-2022-p02-sweet-hazel-sn0100</v>
          </cell>
          <cell r="B4216" t="str">
            <v>Layala</v>
          </cell>
        </row>
        <row r="4217">
          <cell r="A4217" t="str">
            <v>clstdai-acu-dfrb-p90-sn0750</v>
          </cell>
          <cell r="B4217" t="str">
            <v>Acuvue</v>
          </cell>
        </row>
        <row r="4218">
          <cell r="A4218" t="str">
            <v>cost3mo-lay-2022-p02-crescent-gray-sn0250</v>
          </cell>
          <cell r="B4218" t="str">
            <v>Layala</v>
          </cell>
        </row>
        <row r="4219">
          <cell r="A4219" t="str">
            <v>clstdai-acu-omax-p90-sn0200</v>
          </cell>
          <cell r="B4219" t="str">
            <v>Acuvue</v>
          </cell>
        </row>
        <row r="4220">
          <cell r="A4220" t="str">
            <v>sm100102-30s-000410-0102-55</v>
          </cell>
          <cell r="B4220" t="str">
            <v>30Sunday</v>
          </cell>
        </row>
        <row r="4221">
          <cell r="A4221" t="str">
            <v>sunglasses-30Sundays-30s-000454-0107</v>
          </cell>
          <cell r="B4221" t="str">
            <v>30Sunday</v>
          </cell>
        </row>
        <row r="4222">
          <cell r="A4222" t="str">
            <v>costdai-ama-dail-p10-moon-stone-sn0375</v>
          </cell>
          <cell r="B4222" t="str">
            <v>Amara</v>
          </cell>
        </row>
        <row r="4223">
          <cell r="A4223" t="str">
            <v>sw30107-30s-000432-0107-58</v>
          </cell>
          <cell r="B4223" t="str">
            <v>30Sunday</v>
          </cell>
        </row>
        <row r="4224">
          <cell r="A4224" t="str">
            <v>costdai-ama-dail-p10-sugar-sn0475</v>
          </cell>
          <cell r="B4224" t="str">
            <v>Amara</v>
          </cell>
        </row>
        <row r="4225">
          <cell r="A4225" t="str">
            <v>clstmon-bme-bm55-p06-sn0425</v>
          </cell>
          <cell r="B4225" t="str">
            <v>Biomedics</v>
          </cell>
        </row>
        <row r="4226">
          <cell r="A4226" t="str">
            <v>clstdai-acu-oasy-p90-sn0350</v>
          </cell>
          <cell r="B4226" t="str">
            <v>Acuvue</v>
          </cell>
        </row>
        <row r="4227">
          <cell r="A4227" t="str">
            <v>clstdai-dai-aqua-p90-sn1050</v>
          </cell>
          <cell r="B4227" t="str">
            <v>Dailies</v>
          </cell>
        </row>
        <row r="4228">
          <cell r="A4228" t="str">
            <v>clstdai-lay-cont-p30-dazzle-brown-sn0850</v>
          </cell>
          <cell r="B4228" t="str">
            <v>Layala</v>
          </cell>
        </row>
        <row r="4229">
          <cell r="A4229" t="str">
            <v>clstdai-acu-dfna-p60-sn0125</v>
          </cell>
          <cell r="B4229" t="str">
            <v>Acuvue</v>
          </cell>
        </row>
        <row r="4230">
          <cell r="A4230" t="str">
            <v>fw21318-spc-000620-1318-49</v>
          </cell>
          <cell r="B4230" t="str">
            <v>Spectus</v>
          </cell>
        </row>
        <row r="4231">
          <cell r="A4231" t="str">
            <v>costdai-acu-dffr-p10-hazel-sn0125</v>
          </cell>
          <cell r="B4231" t="str">
            <v>Acuvue</v>
          </cell>
        </row>
        <row r="4232">
          <cell r="A4232" t="str">
            <v>clstdai-acu-dfrb-p60-sn0125</v>
          </cell>
          <cell r="B4232" t="str">
            <v>Acuvue</v>
          </cell>
        </row>
        <row r="4233">
          <cell r="A4233" t="str">
            <v>sw80502-bla-000212-0502-61</v>
          </cell>
          <cell r="B4233" t="str">
            <v>BlackOut</v>
          </cell>
        </row>
        <row r="4234">
          <cell r="A4234" t="str">
            <v>clstdai-dai-tot1-p30-sn0650</v>
          </cell>
          <cell r="B4234" t="str">
            <v>Dailies</v>
          </cell>
        </row>
        <row r="4235">
          <cell r="A4235" t="str">
            <v>clstdai-dai-aqua-p30-sn0050</v>
          </cell>
          <cell r="B4235" t="str">
            <v>Dailies</v>
          </cell>
        </row>
        <row r="4236">
          <cell r="A4236" t="str">
            <v>clstdai-lay-cont-p60-dazzle-brown-sn0400</v>
          </cell>
          <cell r="B4236" t="str">
            <v>Layala</v>
          </cell>
        </row>
        <row r="4237">
          <cell r="A4237" t="str">
            <v>clstdai-dai-tot1-p30-sp0575</v>
          </cell>
          <cell r="B4237" t="str">
            <v>Dailies</v>
          </cell>
        </row>
        <row r="4238">
          <cell r="A4238" t="str">
            <v>sw50606-30s-000275-0606-48</v>
          </cell>
          <cell r="B4238" t="str">
            <v>30Sunday</v>
          </cell>
        </row>
        <row r="4239">
          <cell r="A4239" t="str">
            <v>sm10707-30s-00443-0707p-56</v>
          </cell>
          <cell r="B4239" t="str">
            <v>30Sunday</v>
          </cell>
        </row>
        <row r="4240">
          <cell r="A4240" t="str">
            <v>sacchan-30s-chain137-gld-nova-gold</v>
          </cell>
          <cell r="B4240" t="str">
            <v>30Sunday</v>
          </cell>
        </row>
        <row r="4241">
          <cell r="A4241" t="str">
            <v>clstdai-btr-oned-p30-sn0325</v>
          </cell>
          <cell r="B4241" t="str">
            <v>Biotrue</v>
          </cell>
        </row>
        <row r="4242">
          <cell r="A4242" t="str">
            <v>cost3mo-lay-lens-p02-crystal-brown-sn0400</v>
          </cell>
          <cell r="B4242" t="str">
            <v>Layala</v>
          </cell>
        </row>
        <row r="4243">
          <cell r="A4243" t="str">
            <v>clstdai-dai-aqua-p30-sp0275</v>
          </cell>
          <cell r="B4243" t="str">
            <v>Dailies</v>
          </cell>
        </row>
        <row r="4244">
          <cell r="A4244" t="str">
            <v>sw32404-bla-000332-2404-53</v>
          </cell>
          <cell r="B4244" t="str">
            <v>BlackOut</v>
          </cell>
        </row>
        <row r="4245">
          <cell r="A4245" t="str">
            <v>clstdai-acu-dfvi-p90-sp0000</v>
          </cell>
          <cell r="B4245" t="str">
            <v>Acuvue</v>
          </cell>
        </row>
        <row r="4246">
          <cell r="A4246" t="str">
            <v>clstmon-bio-biof-p06-sn0075</v>
          </cell>
          <cell r="B4246" t="str">
            <v>Biofinity</v>
          </cell>
        </row>
        <row r="4247">
          <cell r="A4247" t="str">
            <v>clstdai-lay-cont-p10-dazzle-black-sn0325</v>
          </cell>
          <cell r="B4247" t="str">
            <v>Layala</v>
          </cell>
        </row>
        <row r="4248">
          <cell r="A4248" t="str">
            <v>sw22309-30s-000112-0916-50</v>
          </cell>
          <cell r="B4248" t="str">
            <v>30Sunday</v>
          </cell>
        </row>
        <row r="4249">
          <cell r="A4249" t="str">
            <v>clstmon-pur-visi-p06-sp0250</v>
          </cell>
          <cell r="B4249" t="str">
            <v>PureVision</v>
          </cell>
        </row>
        <row r="4250">
          <cell r="A4250" t="str">
            <v>su40207-bla-000353-0207-51</v>
          </cell>
          <cell r="B4250" t="str">
            <v>BlackOut</v>
          </cell>
        </row>
        <row r="4251">
          <cell r="A4251" t="str">
            <v>sw32404-bla-000243-2404-58</v>
          </cell>
          <cell r="B4251" t="str">
            <v>BlackOut</v>
          </cell>
        </row>
        <row r="4252">
          <cell r="A4252" t="str">
            <v>clstdai-lay-cont-p60-dazzle-brown-sp0000</v>
          </cell>
          <cell r="B4252" t="str">
            <v>Layala</v>
          </cell>
        </row>
        <row r="4253">
          <cell r="A4253" t="str">
            <v>clstdai-bme-1day-p30-sn0275</v>
          </cell>
          <cell r="B4253" t="str">
            <v>Biomedics</v>
          </cell>
        </row>
        <row r="4254">
          <cell r="A4254" t="str">
            <v>clstdai-acu-dfvi-p90-sn0525</v>
          </cell>
          <cell r="B4254" t="str">
            <v>Acuvue</v>
          </cell>
        </row>
        <row r="4255">
          <cell r="A4255" t="str">
            <v>clstdai-lay-cont-p30-dazzle-brown-sn0600</v>
          </cell>
          <cell r="B4255" t="str">
            <v>Layala</v>
          </cell>
        </row>
        <row r="4256">
          <cell r="A4256" t="str">
            <v>costmon-ama-2022-p02-dream-sn0250</v>
          </cell>
          <cell r="B4256" t="str">
            <v>Amara</v>
          </cell>
        </row>
        <row r="4257">
          <cell r="A4257" t="str">
            <v>costmon-ama-2023-p02-chai-sn0350</v>
          </cell>
          <cell r="B4257" t="str">
            <v>Amara</v>
          </cell>
        </row>
        <row r="4258">
          <cell r="A4258" t="str">
            <v>sm20406-30s-000207-0406-52</v>
          </cell>
          <cell r="B4258" t="str">
            <v>30Sunday</v>
          </cell>
        </row>
        <row r="4259">
          <cell r="A4259" t="str">
            <v>sacchan-30s-chain128-svr-mia-silver</v>
          </cell>
          <cell r="B4259" t="str">
            <v>30Sunday</v>
          </cell>
        </row>
        <row r="4260">
          <cell r="A4260" t="str">
            <v>clstmon-sof-sl59-p06-sn0700</v>
          </cell>
          <cell r="B4260" t="str">
            <v>Soflens</v>
          </cell>
        </row>
        <row r="4261">
          <cell r="A4261" t="str">
            <v>clstdai-acu-dfna-p30-sn0850</v>
          </cell>
          <cell r="B4261" t="str">
            <v>Acuvue</v>
          </cell>
        </row>
        <row r="4262">
          <cell r="A4262" t="str">
            <v>costdai-ama-dail-p10-moon-stone-sn0950</v>
          </cell>
          <cell r="B4262" t="str">
            <v>Amara</v>
          </cell>
        </row>
        <row r="4263">
          <cell r="A4263" t="str">
            <v>clstdai-acu-mois-p60-sn0525</v>
          </cell>
          <cell r="B4263" t="str">
            <v>Acuvue</v>
          </cell>
        </row>
        <row r="4264">
          <cell r="A4264" t="str">
            <v>cost3mo-lay-lens-p02-chestnut-brown-sn0300</v>
          </cell>
          <cell r="B4264" t="str">
            <v>Layala</v>
          </cell>
        </row>
        <row r="4265">
          <cell r="A4265" t="str">
            <v>cost3mo-lay-lens-p02-crystal-brown-sn0800</v>
          </cell>
          <cell r="B4265" t="str">
            <v>Layala</v>
          </cell>
        </row>
        <row r="4266">
          <cell r="A4266" t="str">
            <v>fw70518-spc-000667-0500-57</v>
          </cell>
          <cell r="B4266" t="str">
            <v>Spectus</v>
          </cell>
        </row>
        <row r="4267">
          <cell r="A4267" t="str">
            <v>costdai-ama-dail-p10-shadow-sn0400</v>
          </cell>
          <cell r="B4267" t="str">
            <v>Amara</v>
          </cell>
        </row>
        <row r="4268">
          <cell r="A4268" t="str">
            <v>sm52104-30s-000211-2104-51</v>
          </cell>
          <cell r="B4268" t="str">
            <v>30Sunday</v>
          </cell>
        </row>
        <row r="4269">
          <cell r="A4269" t="str">
            <v>cost3mo-lay-2022-p02-avena-brown-sn0450</v>
          </cell>
          <cell r="B4269" t="str">
            <v>Layala</v>
          </cell>
        </row>
        <row r="4270">
          <cell r="A4270" t="str">
            <v>clstdai-eve-pure-p90-sn0125</v>
          </cell>
          <cell r="B4270" t="str">
            <v>Everva</v>
          </cell>
        </row>
        <row r="4271">
          <cell r="A4271" t="str">
            <v>cost3mo-lay-lens-p02-cloudy-gray-sn0300</v>
          </cell>
          <cell r="B4271" t="str">
            <v>Layala</v>
          </cell>
        </row>
        <row r="4272">
          <cell r="A4272" t="str">
            <v>clstbiw-acu-0002-p06-sn0500</v>
          </cell>
          <cell r="B4272" t="str">
            <v>Acuvue</v>
          </cell>
        </row>
        <row r="4273">
          <cell r="A4273" t="str">
            <v>clstdai-acu-dfrb-p60-sn0325</v>
          </cell>
          <cell r="B4273" t="str">
            <v>Acuvue</v>
          </cell>
        </row>
        <row r="4274">
          <cell r="A4274" t="str">
            <v>clstdai-dai-aqua-p30-sn1300</v>
          </cell>
          <cell r="B4274" t="str">
            <v>Dailies</v>
          </cell>
        </row>
        <row r="4275">
          <cell r="A4275" t="str">
            <v>clstdai-lay-cont-p60-dazzle-black-sn0375</v>
          </cell>
          <cell r="B4275" t="str">
            <v>Layala</v>
          </cell>
        </row>
        <row r="4276">
          <cell r="A4276" t="str">
            <v>clstdai-dai-tot1-p90-sp0450</v>
          </cell>
          <cell r="B4276" t="str">
            <v>Dailies</v>
          </cell>
        </row>
        <row r="4277">
          <cell r="A4277" t="str">
            <v>sm100101-30s-000410-0101-55</v>
          </cell>
          <cell r="B4277" t="str">
            <v>30Sunday</v>
          </cell>
        </row>
        <row r="4278">
          <cell r="A4278" t="str">
            <v>su60404-bla-000326-0404-55</v>
          </cell>
          <cell r="B4278" t="str">
            <v>BlackOut</v>
          </cell>
        </row>
        <row r="4279">
          <cell r="A4279" t="str">
            <v>clstbiw-acu-cle-p06-sn0450</v>
          </cell>
          <cell r="B4279" t="str">
            <v>Acuvue</v>
          </cell>
        </row>
        <row r="4280">
          <cell r="A4280" t="str">
            <v>clstdai-eve-elit-p30-sn0650</v>
          </cell>
          <cell r="B4280" t="str">
            <v>Everva</v>
          </cell>
        </row>
        <row r="4281">
          <cell r="A4281" t="str">
            <v>sw102907-30s-000307-2901-54</v>
          </cell>
          <cell r="B4281" t="str">
            <v>30Sunday</v>
          </cell>
        </row>
        <row r="4282">
          <cell r="A4282" t="str">
            <v>clstdai-btr-oned-p30-sn0300</v>
          </cell>
          <cell r="B4282" t="str">
            <v>Biotrue</v>
          </cell>
        </row>
        <row r="4283">
          <cell r="A4283" t="str">
            <v>cost3mo-lay-2025-p02-emerald-glow-sn0550</v>
          </cell>
          <cell r="B4283" t="str">
            <v>Layala</v>
          </cell>
        </row>
        <row r="4284">
          <cell r="A4284" t="str">
            <v>ru40218-spc-000850-0218-49-sp0250</v>
          </cell>
          <cell r="B4284" t="str">
            <v>Spectus</v>
          </cell>
        </row>
        <row r="4285">
          <cell r="A4285" t="str">
            <v>costmon-ama-2024-p02-matcha-sn0450</v>
          </cell>
          <cell r="B4285" t="str">
            <v>Amara</v>
          </cell>
        </row>
        <row r="4286">
          <cell r="A4286" t="str">
            <v>clstdai-dai-tot1-p30-sn0575</v>
          </cell>
          <cell r="B4286" t="str">
            <v>Dailies</v>
          </cell>
        </row>
        <row r="4287">
          <cell r="A4287" t="str">
            <v>cost3mo-lay-2022-p02-royal-green-sn0050</v>
          </cell>
          <cell r="B4287" t="str">
            <v>Layala</v>
          </cell>
        </row>
        <row r="4288">
          <cell r="A4288" t="str">
            <v>clstdai-acu-mois-p120-sn0100</v>
          </cell>
          <cell r="B4288" t="str">
            <v>Acuvue</v>
          </cell>
        </row>
        <row r="4289">
          <cell r="A4289" t="str">
            <v>clstdai-acu-dfrb-p90-sn0650</v>
          </cell>
          <cell r="B4289" t="str">
            <v>Acuvue</v>
          </cell>
        </row>
        <row r="4290">
          <cell r="A4290" t="str">
            <v>fc50918-bab-000505-0900-43</v>
          </cell>
          <cell r="B4290" t="str">
            <v>Babamio</v>
          </cell>
        </row>
        <row r="4291">
          <cell r="A4291" t="str">
            <v>su20106-30s-000206-0106-52</v>
          </cell>
          <cell r="B4291" t="str">
            <v>30Sunday</v>
          </cell>
        </row>
        <row r="4292">
          <cell r="A4292" t="str">
            <v>clstdai-eve-pure-p30-sn0425</v>
          </cell>
          <cell r="B4292" t="str">
            <v>Everva</v>
          </cell>
        </row>
        <row r="4293">
          <cell r="A4293" t="str">
            <v>su21202-30s-000206-1202-52</v>
          </cell>
          <cell r="B4293" t="str">
            <v>30Sunday</v>
          </cell>
        </row>
        <row r="4294">
          <cell r="A4294" t="str">
            <v>sw42404-30s-000123-2404-51</v>
          </cell>
          <cell r="B4294" t="str">
            <v>30Sunday</v>
          </cell>
        </row>
        <row r="4295">
          <cell r="A4295" t="str">
            <v>clstdai-acu-mois-p30-sn0275</v>
          </cell>
          <cell r="B4295" t="str">
            <v>Acuvue</v>
          </cell>
        </row>
        <row r="4296">
          <cell r="A4296" t="str">
            <v>sw30107-bla-000207-0107-54</v>
          </cell>
          <cell r="B4296" t="str">
            <v>BlackOut</v>
          </cell>
        </row>
        <row r="4297">
          <cell r="A4297" t="str">
            <v>clstdai-acu-dfvi-p90-sn0700</v>
          </cell>
          <cell r="B4297" t="str">
            <v>Acuvue</v>
          </cell>
        </row>
        <row r="4298">
          <cell r="A4298" t="str">
            <v>costmon-ama-2022-p02-reemy-sp0000</v>
          </cell>
          <cell r="B4298" t="str">
            <v>Amara</v>
          </cell>
        </row>
        <row r="4299">
          <cell r="A4299" t="str">
            <v>clstdai-eve-pure-p30-sp0200</v>
          </cell>
          <cell r="B4299" t="str">
            <v>Everva</v>
          </cell>
        </row>
        <row r="4300">
          <cell r="A4300" t="str">
            <v>sw51304-bla-000233-1304-54</v>
          </cell>
          <cell r="B4300" t="str">
            <v>BlackOut</v>
          </cell>
        </row>
        <row r="4301">
          <cell r="A4301" t="str">
            <v>fw22418-spc-000539-2918-52</v>
          </cell>
          <cell r="B4301" t="str">
            <v>Spectus</v>
          </cell>
        </row>
        <row r="4302">
          <cell r="A4302" t="str">
            <v>costmon-ama-2022-p02-cocoa-sn0325</v>
          </cell>
          <cell r="B4302" t="str">
            <v>Amara</v>
          </cell>
        </row>
        <row r="4303">
          <cell r="A4303" t="str">
            <v>sw50504-30s-000242-2904-58</v>
          </cell>
          <cell r="B4303" t="str">
            <v>30Sunday</v>
          </cell>
        </row>
        <row r="4304">
          <cell r="A4304" t="str">
            <v>clstdai-acu-oasy-p30-sn0075</v>
          </cell>
          <cell r="B4304" t="str">
            <v>Acuvue</v>
          </cell>
        </row>
        <row r="4305">
          <cell r="A4305" t="str">
            <v>sc20107-bab-000502-0107-50</v>
          </cell>
          <cell r="B4305" t="str">
            <v>Babamio</v>
          </cell>
        </row>
        <row r="4306">
          <cell r="A4306" t="str">
            <v>costmon-ama-2022-p02-cocoa-sn0200</v>
          </cell>
          <cell r="B4306" t="str">
            <v>Amara</v>
          </cell>
        </row>
        <row r="4307">
          <cell r="A4307" t="str">
            <v>su62904-bla-000282-2904-48</v>
          </cell>
          <cell r="B4307" t="str">
            <v>BlackOut</v>
          </cell>
        </row>
        <row r="4308">
          <cell r="A4308" t="str">
            <v>clstdai-acu-oasy-p30-sn0575</v>
          </cell>
          <cell r="B4308" t="str">
            <v>Acuvue</v>
          </cell>
        </row>
        <row r="4309">
          <cell r="A4309" t="str">
            <v>cost3mo-lay-2021-p02-golden-gray-sn0150</v>
          </cell>
          <cell r="B4309" t="str">
            <v>Layala</v>
          </cell>
        </row>
        <row r="4310">
          <cell r="A4310" t="str">
            <v>sacchan-30s-chain129-svr-vega-silver</v>
          </cell>
          <cell r="B4310" t="str">
            <v>30Sunday</v>
          </cell>
        </row>
        <row r="4311">
          <cell r="A4311" t="str">
            <v>sw72907-bla-000216-2901-55</v>
          </cell>
          <cell r="B4311" t="str">
            <v>BlackOut</v>
          </cell>
        </row>
        <row r="4312">
          <cell r="A4312" t="str">
            <v>fw30618-spc-000634-0618-53</v>
          </cell>
          <cell r="B4312" t="str">
            <v>Spectus</v>
          </cell>
        </row>
        <row r="4313">
          <cell r="A4313" t="str">
            <v>sw20107-30s-000228-0107-50</v>
          </cell>
          <cell r="B4313" t="str">
            <v>30Sunday</v>
          </cell>
        </row>
        <row r="4314">
          <cell r="A4314" t="str">
            <v>fw30918-spc-000537-0900-53</v>
          </cell>
          <cell r="B4314" t="str">
            <v>Spectus</v>
          </cell>
        </row>
        <row r="4315">
          <cell r="A4315" t="str">
            <v>sw100404-bla-000329-0404-55</v>
          </cell>
          <cell r="B4315" t="str">
            <v>BlackOut</v>
          </cell>
        </row>
        <row r="4316">
          <cell r="A4316" t="str">
            <v>sw30107-30s-000296-0101-54</v>
          </cell>
          <cell r="B4316" t="str">
            <v>30Sunday</v>
          </cell>
        </row>
        <row r="4317">
          <cell r="A4317" t="str">
            <v>clstdai-dai-aqua-p30-sp0750</v>
          </cell>
          <cell r="B4317" t="str">
            <v>Dailies</v>
          </cell>
        </row>
        <row r="4318">
          <cell r="A4318" t="str">
            <v>saccase-30s-case102-nvy-brn-navy-blue</v>
          </cell>
          <cell r="B4318" t="str">
            <v>30Sunday</v>
          </cell>
        </row>
        <row r="4319">
          <cell r="A4319" t="str">
            <v>cltodai-acu-mois-p30-sn0250-cn0075-a060</v>
          </cell>
          <cell r="B4319" t="str">
            <v>Acuvue</v>
          </cell>
        </row>
        <row r="4320">
          <cell r="A4320" t="str">
            <v>clstdai-acu-omax-p90-sp0125</v>
          </cell>
          <cell r="B4320" t="str">
            <v>Acuvue</v>
          </cell>
        </row>
        <row r="4321">
          <cell r="A4321" t="str">
            <v>sw20404-30s-000107-0404-50</v>
          </cell>
          <cell r="B4321" t="str">
            <v>30Sunday</v>
          </cell>
        </row>
        <row r="4322">
          <cell r="A4322" t="str">
            <v>su10404-30s-000203-2904-58</v>
          </cell>
          <cell r="B4322" t="str">
            <v>30Sunday</v>
          </cell>
        </row>
        <row r="4323">
          <cell r="A4323" t="str">
            <v>sw32904-30s-000224-2904-59</v>
          </cell>
          <cell r="B4323" t="str">
            <v>30Sunday</v>
          </cell>
        </row>
        <row r="4324">
          <cell r="A4324" t="str">
            <v>clstdai-acu-mois-p90-sn0300</v>
          </cell>
          <cell r="B4324" t="str">
            <v>Acuvue</v>
          </cell>
        </row>
        <row r="4325">
          <cell r="A4325" t="str">
            <v>clstdai-eve-elit-p30-sp0500</v>
          </cell>
          <cell r="B4325" t="str">
            <v>Everva</v>
          </cell>
        </row>
        <row r="4326">
          <cell r="A4326" t="str">
            <v>sm100702-30s-00250-0702p-55</v>
          </cell>
          <cell r="B4326" t="str">
            <v>30Sunday</v>
          </cell>
        </row>
        <row r="4327">
          <cell r="A4327" t="str">
            <v>cost3mo-lay-2023-p02-selene-green-sn0450</v>
          </cell>
          <cell r="B4327" t="str">
            <v>Layala</v>
          </cell>
        </row>
        <row r="4328">
          <cell r="A4328" t="str">
            <v>clstdai-eve-pure-p90-sp0350</v>
          </cell>
          <cell r="B4328" t="str">
            <v>Everva</v>
          </cell>
        </row>
        <row r="4329">
          <cell r="A4329" t="str">
            <v>costmon-ama-2022-p02-tiger-eyes-sn0200</v>
          </cell>
          <cell r="B4329" t="str">
            <v>Amara</v>
          </cell>
        </row>
        <row r="4330">
          <cell r="A4330" t="str">
            <v>sm40404-bla-000363-0404-50</v>
          </cell>
          <cell r="B4330" t="str">
            <v>BlackOut</v>
          </cell>
        </row>
        <row r="4331">
          <cell r="A4331" t="str">
            <v>clstbiw-acu-0002-p06-sp0400</v>
          </cell>
          <cell r="B4331" t="str">
            <v>Acuvue</v>
          </cell>
        </row>
        <row r="4332">
          <cell r="A4332" t="str">
            <v>fw20418-spc-000725-0418-48</v>
          </cell>
          <cell r="B4332" t="str">
            <v>Spectus</v>
          </cell>
        </row>
        <row r="4333">
          <cell r="A4333" t="str">
            <v>clstdai-acu-oasy-p30-sp0600</v>
          </cell>
          <cell r="B4333" t="str">
            <v>Acuvue</v>
          </cell>
        </row>
        <row r="4334">
          <cell r="A4334" t="str">
            <v>su11202-30s-000279-1202-55</v>
          </cell>
          <cell r="B4334" t="str">
            <v>30Sunday</v>
          </cell>
        </row>
        <row r="4335">
          <cell r="A4335" t="str">
            <v>sw30107-30s-000121-0107-49</v>
          </cell>
          <cell r="B4335" t="str">
            <v>30Sunday</v>
          </cell>
        </row>
        <row r="4336">
          <cell r="A4336" t="str">
            <v>costdai-acu-dffr-p10-honey-sn0575</v>
          </cell>
          <cell r="B4336" t="str">
            <v>Acuvue</v>
          </cell>
        </row>
        <row r="4337">
          <cell r="A4337" t="str">
            <v>clstdai-acu-oasy-p30-sp0350</v>
          </cell>
          <cell r="B4337" t="str">
            <v>Acuvue</v>
          </cell>
        </row>
        <row r="4338">
          <cell r="A4338" t="str">
            <v>clstdai-acu-dfrb-p60-sn0575</v>
          </cell>
          <cell r="B4338" t="str">
            <v>Acuvue</v>
          </cell>
        </row>
        <row r="4339">
          <cell r="A4339" t="str">
            <v>sw32311-30s-000224-2311-59</v>
          </cell>
          <cell r="B4339" t="str">
            <v>30Sunday</v>
          </cell>
        </row>
        <row r="4340">
          <cell r="A4340" t="str">
            <v>cost3mo-lay-2025-p02-emerald-glow-sp0000</v>
          </cell>
          <cell r="B4340" t="str">
            <v>Layala</v>
          </cell>
        </row>
        <row r="4341">
          <cell r="A4341" t="str">
            <v>clstdai-eve-elit-p30-sp0225</v>
          </cell>
          <cell r="B4341" t="str">
            <v>Everva</v>
          </cell>
        </row>
        <row r="4342">
          <cell r="A4342" t="str">
            <v>clstdai-acu-oasy-p90-sn0375</v>
          </cell>
          <cell r="B4342" t="str">
            <v>Acuvue</v>
          </cell>
        </row>
        <row r="4343">
          <cell r="A4343" t="str">
            <v>sw30404-30s-000227-0404-52</v>
          </cell>
          <cell r="B4343" t="str">
            <v>30Sunday</v>
          </cell>
        </row>
        <row r="4344">
          <cell r="A4344" t="str">
            <v>clstdai-eve-pure-p30-sn0200</v>
          </cell>
          <cell r="B4344" t="str">
            <v>Everva</v>
          </cell>
        </row>
        <row r="4345">
          <cell r="A4345" t="str">
            <v>clstdai-acu-oasy-p90-sn1150</v>
          </cell>
          <cell r="B4345" t="str">
            <v>Acuvue</v>
          </cell>
        </row>
        <row r="4346">
          <cell r="A4346" t="str">
            <v>costdai-ama-dail-p10-moon-stone-sn0475</v>
          </cell>
          <cell r="B4346" t="str">
            <v>Amara</v>
          </cell>
        </row>
        <row r="4347">
          <cell r="A4347" t="str">
            <v>clstbiw-acu-oasy-p06-sn1150</v>
          </cell>
          <cell r="B4347" t="str">
            <v>Acuvue</v>
          </cell>
        </row>
        <row r="4348">
          <cell r="A4348" t="str">
            <v>clstdai-lay-cont-p30-dazzle-black-sn0550</v>
          </cell>
          <cell r="B4348" t="str">
            <v>Layala</v>
          </cell>
        </row>
        <row r="4349">
          <cell r="A4349" t="str">
            <v>sw30707-bla-000215-0707-61</v>
          </cell>
          <cell r="B4349" t="str">
            <v>BlackOut</v>
          </cell>
        </row>
        <row r="4350">
          <cell r="A4350" t="str">
            <v>clstdai-acu-dfrb-p60-sn0300</v>
          </cell>
          <cell r="B4350" t="str">
            <v>Acuvue</v>
          </cell>
        </row>
        <row r="4351">
          <cell r="A4351" t="str">
            <v>sc22006-bab-000501-2006-46</v>
          </cell>
          <cell r="B4351" t="str">
            <v>Babamio</v>
          </cell>
        </row>
        <row r="4352">
          <cell r="A4352" t="str">
            <v>clstdai-eve-elit-p30-sn0550</v>
          </cell>
          <cell r="B4352" t="str">
            <v>Everva</v>
          </cell>
        </row>
        <row r="4353">
          <cell r="A4353" t="str">
            <v>su100702-30s-000457-0702-49</v>
          </cell>
          <cell r="B4353" t="str">
            <v>30Sunday</v>
          </cell>
        </row>
        <row r="4354">
          <cell r="A4354" t="str">
            <v>bc50918-bab-000503-0918-46</v>
          </cell>
          <cell r="B4354" t="str">
            <v>Babamio</v>
          </cell>
        </row>
        <row r="4355">
          <cell r="A4355" t="str">
            <v>cost3mo-lay-2021-p02-sunkiss-brown-sn0325</v>
          </cell>
          <cell r="B4355" t="str">
            <v>Layala</v>
          </cell>
        </row>
        <row r="4356">
          <cell r="A4356" t="str">
            <v>cost3mo-lay-2022-p02-royal-green-sn0450</v>
          </cell>
          <cell r="B4356" t="str">
            <v>Layala</v>
          </cell>
        </row>
        <row r="4357">
          <cell r="A4357" t="str">
            <v>bc22018-bab-000501-2018-46</v>
          </cell>
          <cell r="B4357" t="str">
            <v>Babamio</v>
          </cell>
        </row>
        <row r="4358">
          <cell r="A4358" t="str">
            <v>costmon-ama-lens-p02-mocca-sn0050</v>
          </cell>
          <cell r="B4358" t="str">
            <v>Amara</v>
          </cell>
        </row>
        <row r="4359">
          <cell r="A4359" t="str">
            <v>cost3mo-lay-lens-p02-golden-brown-sn0175</v>
          </cell>
          <cell r="B4359" t="str">
            <v>Layala</v>
          </cell>
        </row>
        <row r="4360">
          <cell r="A4360" t="str">
            <v>sw20107-bla-000217-2901-57</v>
          </cell>
          <cell r="B4360" t="str">
            <v>BlackOut</v>
          </cell>
        </row>
        <row r="4361">
          <cell r="A4361" t="str">
            <v>fc20218-bab-000535-0918-47</v>
          </cell>
          <cell r="B4361" t="str">
            <v>Babamio</v>
          </cell>
        </row>
        <row r="4362">
          <cell r="A4362" t="str">
            <v>clstdai-acu-oasy-p120-sn0850</v>
          </cell>
          <cell r="B4362" t="str">
            <v>Acuvue</v>
          </cell>
        </row>
        <row r="4363">
          <cell r="A4363" t="str">
            <v>costmon-ama-lens-p02-mocca-sn0600</v>
          </cell>
          <cell r="B4363" t="str">
            <v>Amara</v>
          </cell>
        </row>
        <row r="4364">
          <cell r="A4364" t="str">
            <v>clstdai-acu-dfvi-p30-sn0350</v>
          </cell>
          <cell r="B4364" t="str">
            <v>Acuvue</v>
          </cell>
        </row>
        <row r="4365">
          <cell r="A4365" t="str">
            <v>clstdai-lay-cont-p30-dazzle-black-sn0375</v>
          </cell>
          <cell r="B4365" t="str">
            <v>Layala</v>
          </cell>
        </row>
        <row r="4366">
          <cell r="A4366" t="str">
            <v>clstdai-dai-tot1-p90-sn0600</v>
          </cell>
          <cell r="B4366" t="str">
            <v>Dailies</v>
          </cell>
        </row>
        <row r="4367">
          <cell r="A4367" t="str">
            <v>clstdai-acu-dfna-p60-sn0200</v>
          </cell>
          <cell r="B4367" t="str">
            <v>Acuvue</v>
          </cell>
        </row>
        <row r="4368">
          <cell r="A4368" t="str">
            <v>fw30618-spc-000808-0618-59</v>
          </cell>
          <cell r="B4368" t="str">
            <v>Spectus</v>
          </cell>
        </row>
        <row r="4369">
          <cell r="A4369" t="str">
            <v>su100107-30s-00277-0107p-52</v>
          </cell>
          <cell r="B4369" t="str">
            <v>30Sunday</v>
          </cell>
        </row>
        <row r="4370">
          <cell r="A4370" t="str">
            <v>sm70404-30s-000209-0404-60</v>
          </cell>
          <cell r="B4370" t="str">
            <v>30Sunday</v>
          </cell>
        </row>
        <row r="4371">
          <cell r="A4371" t="str">
            <v>costmon-ama-2020-p02-pure-hazel-sn0550</v>
          </cell>
          <cell r="B4371" t="str">
            <v>Amara</v>
          </cell>
        </row>
        <row r="4372">
          <cell r="A4372" t="str">
            <v>clstdai-dai-aqua-p90-sp0325</v>
          </cell>
          <cell r="B4372" t="str">
            <v>Dailies</v>
          </cell>
        </row>
        <row r="4373">
          <cell r="A4373" t="str">
            <v>cost3mo-cel-natu-p01-light-grey-sp0250</v>
          </cell>
          <cell r="B4373" t="str">
            <v>Celena</v>
          </cell>
        </row>
        <row r="4374">
          <cell r="A4374" t="str">
            <v>costmon-ama-2022-p02-cocoa-sn0300</v>
          </cell>
          <cell r="B4374" t="str">
            <v>Amara</v>
          </cell>
        </row>
        <row r="4375">
          <cell r="A4375" t="str">
            <v>clstdai-eve-elit-p90-sn0250</v>
          </cell>
          <cell r="B4375" t="str">
            <v>Everva</v>
          </cell>
        </row>
        <row r="4376">
          <cell r="A4376" t="str">
            <v>clstmon-bme-bm55-p06-sn0650</v>
          </cell>
          <cell r="B4376" t="str">
            <v>Biomedics</v>
          </cell>
        </row>
        <row r="4377">
          <cell r="A4377" t="str">
            <v>clstdai-btr-oned-p90-sn0050</v>
          </cell>
          <cell r="B4377" t="str">
            <v>Biotrue</v>
          </cell>
        </row>
        <row r="4378">
          <cell r="A4378" t="str">
            <v>fm20418-spc-000545-0400-51</v>
          </cell>
          <cell r="B4378" t="str">
            <v>Spectus</v>
          </cell>
        </row>
        <row r="4379">
          <cell r="A4379" t="str">
            <v>costdai-acu-dffr-p10-rose-sn0100</v>
          </cell>
          <cell r="B4379" t="str">
            <v>Acuvue</v>
          </cell>
        </row>
        <row r="4380">
          <cell r="A4380" t="str">
            <v>costmon-ama-2020-p02-pure-hazel-sn0900</v>
          </cell>
          <cell r="B4380" t="str">
            <v>Amara</v>
          </cell>
        </row>
        <row r="4381">
          <cell r="A4381" t="str">
            <v>costdai-ama-dail-p10-moon-stone-sn0525</v>
          </cell>
          <cell r="B4381" t="str">
            <v>Amara</v>
          </cell>
        </row>
        <row r="4382">
          <cell r="A4382" t="str">
            <v>clstdai-btr-oned-p90-sp0400</v>
          </cell>
          <cell r="B4382" t="str">
            <v>Biotrue</v>
          </cell>
        </row>
        <row r="4383">
          <cell r="A4383" t="str">
            <v>sw72904-bla-000251-2904-62</v>
          </cell>
          <cell r="B4383" t="str">
            <v>BlackOut</v>
          </cell>
        </row>
        <row r="4384">
          <cell r="A4384" t="str">
            <v>costdai-acu-dffr-p30-rose-sn0175</v>
          </cell>
          <cell r="B4384" t="str">
            <v>Acuvue</v>
          </cell>
        </row>
        <row r="4385">
          <cell r="A4385" t="str">
            <v>clstdai-acu-oasy-p120-sn0300</v>
          </cell>
          <cell r="B4385" t="str">
            <v>Acuvue</v>
          </cell>
        </row>
        <row r="4386">
          <cell r="A4386" t="str">
            <v>su10506-30s-000279-2906-55</v>
          </cell>
          <cell r="B4386" t="str">
            <v>30Sunday</v>
          </cell>
        </row>
        <row r="4387">
          <cell r="A4387" t="str">
            <v>sw20202-30s-000112-0202-50</v>
          </cell>
          <cell r="B4387" t="str">
            <v>30Sunday</v>
          </cell>
        </row>
        <row r="4388">
          <cell r="A4388" t="str">
            <v>sacchan-30s-gigi-silver</v>
          </cell>
          <cell r="B4388" t="str">
            <v>30Sunday</v>
          </cell>
        </row>
        <row r="4389">
          <cell r="A4389" t="str">
            <v>cost3mo-lay-lens-p02-ocean-blue-sn0075</v>
          </cell>
          <cell r="B4389" t="str">
            <v>Layala</v>
          </cell>
        </row>
        <row r="4390">
          <cell r="A4390" t="str">
            <v>clstdai-lay-cont-p60-dazzle-brown-sn0600</v>
          </cell>
          <cell r="B4390" t="str">
            <v>Layala</v>
          </cell>
        </row>
        <row r="4391">
          <cell r="A4391" t="str">
            <v>costmon-ama-2022-p02-tan-sn0175</v>
          </cell>
          <cell r="B4391" t="str">
            <v>Amara</v>
          </cell>
        </row>
        <row r="4392">
          <cell r="A4392" t="str">
            <v>clstdai-acu-oasy-p30-sn0250</v>
          </cell>
          <cell r="B4392" t="str">
            <v>Acuvue</v>
          </cell>
        </row>
        <row r="4393">
          <cell r="A4393" t="str">
            <v>sc20607-bab-000501-0607-46</v>
          </cell>
          <cell r="B4393" t="str">
            <v>Babamio</v>
          </cell>
        </row>
        <row r="4394">
          <cell r="A4394" t="str">
            <v>sw100404-bla-000277-0404-58</v>
          </cell>
          <cell r="B4394" t="str">
            <v>BlackOut</v>
          </cell>
        </row>
        <row r="4395">
          <cell r="A4395" t="str">
            <v>sacchan-30s-chain138-blu-starla-dark-blue</v>
          </cell>
          <cell r="B4395" t="str">
            <v>30Sunday</v>
          </cell>
        </row>
        <row r="4396">
          <cell r="A4396" t="str">
            <v>sm53202-30s-000495-3202-52</v>
          </cell>
          <cell r="B4396" t="str">
            <v>30Sunday</v>
          </cell>
        </row>
        <row r="4397">
          <cell r="A4397" t="str">
            <v>clstbiw-acu-cle-p06-sn0325</v>
          </cell>
          <cell r="B4397" t="str">
            <v>Acuvue</v>
          </cell>
        </row>
        <row r="4398">
          <cell r="A4398" t="str">
            <v>costdai-ama-dail-p10-shadow-sn0075</v>
          </cell>
          <cell r="B4398" t="str">
            <v>Amara</v>
          </cell>
        </row>
        <row r="4399">
          <cell r="A4399" t="str">
            <v>clstdai-acu-dfrb-p60-sn0475</v>
          </cell>
          <cell r="B4399" t="str">
            <v>Acuvue</v>
          </cell>
        </row>
        <row r="4400">
          <cell r="A4400" t="str">
            <v>clstdai-dai-aqua-p30-sn0450</v>
          </cell>
          <cell r="B4400" t="str">
            <v>Dailies</v>
          </cell>
        </row>
        <row r="4401">
          <cell r="A4401" t="str">
            <v>clstmon-eve-prom-p06-sn0475</v>
          </cell>
          <cell r="B4401" t="str">
            <v>Everva</v>
          </cell>
        </row>
        <row r="4402">
          <cell r="A4402" t="str">
            <v>bc21018-bab-000512-1018d-50</v>
          </cell>
          <cell r="B4402" t="str">
            <v>Babamio</v>
          </cell>
        </row>
        <row r="4403">
          <cell r="A4403" t="str">
            <v>clstdai-eve-pure-p30-sn0800</v>
          </cell>
          <cell r="B4403" t="str">
            <v>Everva</v>
          </cell>
        </row>
        <row r="4404">
          <cell r="A4404" t="str">
            <v>clstdai-sof-sdai-p90-sn0050</v>
          </cell>
          <cell r="B4404" t="str">
            <v>Soflens</v>
          </cell>
        </row>
        <row r="4405">
          <cell r="A4405" t="str">
            <v>cost3mo-cel-natu-p01-forest-green-sp0150</v>
          </cell>
          <cell r="B4405" t="str">
            <v>Celena</v>
          </cell>
        </row>
        <row r="4406">
          <cell r="A4406" t="str">
            <v>sw20707-30s-000112-0707-50</v>
          </cell>
          <cell r="B4406" t="str">
            <v>30Sunday</v>
          </cell>
        </row>
        <row r="4407">
          <cell r="A4407" t="str">
            <v>cltodai-acu-mois-p30-sn0400-cn0075-a010</v>
          </cell>
          <cell r="B4407" t="str">
            <v>Acuvue</v>
          </cell>
        </row>
        <row r="4408">
          <cell r="A4408" t="str">
            <v>clstdai-acu-oasy-p90-sp0100</v>
          </cell>
          <cell r="B4408" t="str">
            <v>Acuvue</v>
          </cell>
        </row>
        <row r="4409">
          <cell r="A4409" t="str">
            <v>clstdai-acu-mois-p90-sn0550</v>
          </cell>
          <cell r="B4409" t="str">
            <v>Acuvue</v>
          </cell>
        </row>
        <row r="4410">
          <cell r="A4410" t="str">
            <v>cost3mo-lay-lens-p02-crystal-brown-sn0125</v>
          </cell>
          <cell r="B4410" t="str">
            <v>Layala</v>
          </cell>
        </row>
        <row r="4411">
          <cell r="A4411" t="str">
            <v>su101010-bla-000381-1010-54</v>
          </cell>
          <cell r="B4411" t="str">
            <v>BlackOut</v>
          </cell>
        </row>
        <row r="4412">
          <cell r="A4412" t="str">
            <v>clstdai-acu-dfvi-p30-sn0800</v>
          </cell>
          <cell r="B4412" t="str">
            <v>Acuvue</v>
          </cell>
        </row>
        <row r="4413">
          <cell r="A4413" t="str">
            <v>cost3mo-lay-lens-p02-chocolate-brown-sn0100</v>
          </cell>
          <cell r="B4413" t="str">
            <v>Layala</v>
          </cell>
        </row>
        <row r="4414">
          <cell r="A4414" t="str">
            <v>clstdai-dai-aqua-p90-sp0600</v>
          </cell>
          <cell r="B4414" t="str">
            <v>Dailies</v>
          </cell>
        </row>
        <row r="4415">
          <cell r="A4415" t="str">
            <v>clstdai-dai-tot1-p30-sp0050</v>
          </cell>
          <cell r="B4415" t="str">
            <v>Dailies</v>
          </cell>
        </row>
        <row r="4416">
          <cell r="A4416" t="str">
            <v>cost3mo-lay-2021-p02-golden-gray-sn0200</v>
          </cell>
          <cell r="B4416" t="str">
            <v>Layala</v>
          </cell>
        </row>
        <row r="4417">
          <cell r="A4417" t="str">
            <v>clstdai-acu-dfna-p30-sn0575</v>
          </cell>
          <cell r="B4417" t="str">
            <v>Acuvue</v>
          </cell>
        </row>
        <row r="4418">
          <cell r="A4418" t="str">
            <v>clstbiw-acu-cle-p06-sn0950</v>
          </cell>
          <cell r="B4418" t="str">
            <v>Acuvue</v>
          </cell>
        </row>
        <row r="4419">
          <cell r="A4419" t="str">
            <v>clstdai-dai-tot1-p30-sn0500</v>
          </cell>
          <cell r="B4419" t="str">
            <v>Dailies</v>
          </cell>
        </row>
        <row r="4420">
          <cell r="A4420" t="str">
            <v>ru100618-spc-000882-0618-46-sp0150</v>
          </cell>
          <cell r="B4420" t="str">
            <v>Spectus</v>
          </cell>
        </row>
        <row r="4421">
          <cell r="A4421" t="str">
            <v>costmon-ama-2022-p02-tan-sn0125</v>
          </cell>
          <cell r="B4421" t="str">
            <v>Amara</v>
          </cell>
        </row>
        <row r="4422">
          <cell r="A4422" t="str">
            <v>sw100101-bla-000268-0101-56</v>
          </cell>
          <cell r="B4422" t="str">
            <v>BlackOut</v>
          </cell>
        </row>
        <row r="4423">
          <cell r="A4423" t="str">
            <v>sw31302-bla-000208-1302-54</v>
          </cell>
          <cell r="B4423" t="str">
            <v>BlackOut</v>
          </cell>
        </row>
        <row r="4424">
          <cell r="A4424" t="str">
            <v>clstdai-eve-elit-p90-sp0650</v>
          </cell>
          <cell r="B4424" t="str">
            <v>Everva</v>
          </cell>
        </row>
        <row r="4425">
          <cell r="A4425" t="str">
            <v>sc51402-bab-000505-1402-43</v>
          </cell>
          <cell r="B4425" t="str">
            <v>Babamio</v>
          </cell>
        </row>
        <row r="4426">
          <cell r="A4426" t="str">
            <v>clstdai-acu-dfrb-p30-sn0300</v>
          </cell>
          <cell r="B4426" t="str">
            <v>Acuvue</v>
          </cell>
        </row>
        <row r="4427">
          <cell r="A4427" t="str">
            <v>clstmon-sof-sl59-p06-sn0750</v>
          </cell>
          <cell r="B4427" t="str">
            <v>Soflens</v>
          </cell>
        </row>
        <row r="4428">
          <cell r="A4428" t="str">
            <v>clstdai-lay-cont-p90-dazzle-black-sn0050</v>
          </cell>
          <cell r="B4428" t="str">
            <v>Layala</v>
          </cell>
        </row>
        <row r="4429">
          <cell r="A4429" t="str">
            <v>su100706-30s-000305-0706-50</v>
          </cell>
          <cell r="B4429" t="str">
            <v>30Sunday</v>
          </cell>
        </row>
        <row r="4430">
          <cell r="A4430" t="str">
            <v>sw52302-bla-000226-2302-57</v>
          </cell>
          <cell r="B4430" t="str">
            <v>BlackOut</v>
          </cell>
        </row>
        <row r="4431">
          <cell r="A4431" t="str">
            <v>cost3mo-lay-2020-p02-ash-gray-sn0225</v>
          </cell>
          <cell r="B4431" t="str">
            <v>Layala</v>
          </cell>
        </row>
        <row r="4432">
          <cell r="A4432" t="str">
            <v>cost3mo-lay-2020-p02-ash-gray-sn0300</v>
          </cell>
          <cell r="B4432" t="str">
            <v>Layala</v>
          </cell>
        </row>
        <row r="4433">
          <cell r="A4433" t="str">
            <v>sm52106-30s-000216-2106-51</v>
          </cell>
          <cell r="B4433" t="str">
            <v>30Sunday</v>
          </cell>
        </row>
        <row r="4434">
          <cell r="A4434" t="str">
            <v>sw90502-bla-000211-2702-138</v>
          </cell>
          <cell r="B4434" t="str">
            <v>BlackOut</v>
          </cell>
        </row>
        <row r="4435">
          <cell r="A4435" t="str">
            <v>clstdai-bme-1day-p30-sn0250</v>
          </cell>
          <cell r="B4435" t="str">
            <v>Biomedics</v>
          </cell>
        </row>
        <row r="4436">
          <cell r="A4436" t="str">
            <v>clstdai-dai-aqua-p90-sn1150</v>
          </cell>
          <cell r="B4436" t="str">
            <v>Dailies</v>
          </cell>
        </row>
        <row r="4437">
          <cell r="A4437" t="str">
            <v>sw50710-30s-000276-1010-53</v>
          </cell>
          <cell r="B4437" t="str">
            <v>30Sunday</v>
          </cell>
        </row>
        <row r="4438">
          <cell r="A4438" t="str">
            <v>costmon-ama-2020-p02-pure-hazel-sn0250</v>
          </cell>
          <cell r="B4438" t="str">
            <v>Amara</v>
          </cell>
        </row>
        <row r="4439">
          <cell r="A4439" t="str">
            <v>sm70107-30s-000247-0107-57</v>
          </cell>
          <cell r="B4439" t="str">
            <v>30Sunday</v>
          </cell>
        </row>
        <row r="4440">
          <cell r="A4440" t="str">
            <v>sc50207-bab-000527-0207-48</v>
          </cell>
          <cell r="B4440" t="str">
            <v>Babamio</v>
          </cell>
        </row>
        <row r="4441">
          <cell r="A4441" t="str">
            <v>sw22904-bla-000206-2704-57</v>
          </cell>
          <cell r="B4441" t="str">
            <v>BlackOut</v>
          </cell>
        </row>
        <row r="4442">
          <cell r="A4442" t="str">
            <v>cost3mo-lay-lens-p02-forest-green-sn0125</v>
          </cell>
          <cell r="B4442" t="str">
            <v>Layala</v>
          </cell>
        </row>
        <row r="4443">
          <cell r="A4443" t="str">
            <v>fm21218-spc-000871-0618-53</v>
          </cell>
          <cell r="B4443" t="str">
            <v>Spectus</v>
          </cell>
        </row>
        <row r="4444">
          <cell r="A4444" t="str">
            <v>clstdai-acu-oasy-p30-sp0300</v>
          </cell>
          <cell r="B4444" t="str">
            <v>Acuvue</v>
          </cell>
        </row>
        <row r="4445">
          <cell r="A4445" t="str">
            <v>sacchan-30s-chain130-red-clover-red</v>
          </cell>
          <cell r="B4445" t="str">
            <v>30Sunday</v>
          </cell>
        </row>
        <row r="4446">
          <cell r="A4446" t="str">
            <v>sw30107-30s-000114-0107-53</v>
          </cell>
          <cell r="B4446" t="str">
            <v>30Sunday</v>
          </cell>
        </row>
        <row r="4447">
          <cell r="A4447" t="str">
            <v>clstdai-dai-tot1-p30-sn1150</v>
          </cell>
          <cell r="B4447" t="str">
            <v>Dailies</v>
          </cell>
        </row>
        <row r="4448">
          <cell r="A4448" t="str">
            <v>su20107-30s-000206-0107p-52</v>
          </cell>
          <cell r="B4448" t="str">
            <v>30Sunday</v>
          </cell>
        </row>
        <row r="4449">
          <cell r="A4449" t="str">
            <v>clstdai-acu-omax-p30-sn0700</v>
          </cell>
          <cell r="B4449" t="str">
            <v>Acuvue</v>
          </cell>
        </row>
        <row r="4450">
          <cell r="A4450" t="str">
            <v>costdai-acu-dffr-p10-rose-sn0450</v>
          </cell>
          <cell r="B4450" t="str">
            <v>Acuvue</v>
          </cell>
        </row>
        <row r="4451">
          <cell r="A4451" t="str">
            <v>clstdai-acu-dfrb-p60-sn0200</v>
          </cell>
          <cell r="B4451" t="str">
            <v>Acuvue</v>
          </cell>
        </row>
        <row r="4452">
          <cell r="A4452" t="str">
            <v>fw32318-spc-000754-2318-51</v>
          </cell>
          <cell r="B4452" t="str">
            <v>Spectus</v>
          </cell>
        </row>
        <row r="4453">
          <cell r="A4453" t="str">
            <v>costmon-ama-2024-p02-chocolate-sn0350</v>
          </cell>
          <cell r="B4453" t="str">
            <v>Amara</v>
          </cell>
        </row>
        <row r="4454">
          <cell r="A4454" t="str">
            <v>fu70718-spc-000638-0718-50</v>
          </cell>
          <cell r="B4454" t="str">
            <v>Spectus</v>
          </cell>
        </row>
        <row r="4455">
          <cell r="A4455" t="str">
            <v>su50107-30s-000237-0101-51</v>
          </cell>
          <cell r="B4455" t="str">
            <v>30Sunday</v>
          </cell>
        </row>
        <row r="4456">
          <cell r="A4456" t="str">
            <v>sw101207-30s-000498-1207-54</v>
          </cell>
          <cell r="B4456" t="str">
            <v>30Sunday</v>
          </cell>
        </row>
        <row r="4457">
          <cell r="A4457" t="str">
            <v>sw40404-bla-000302-0404-54</v>
          </cell>
          <cell r="B4457" t="str">
            <v>BlackOut</v>
          </cell>
        </row>
        <row r="4458">
          <cell r="A4458" t="str">
            <v>cost3mo-lay-2022-p02-crescent-gray-sn0550</v>
          </cell>
          <cell r="B4458" t="str">
            <v>Layala</v>
          </cell>
        </row>
        <row r="4459">
          <cell r="A4459" t="str">
            <v>clstdai-eve-pure-p05-sn0200</v>
          </cell>
          <cell r="B4459" t="str">
            <v>Everva</v>
          </cell>
        </row>
        <row r="4460">
          <cell r="A4460" t="str">
            <v>sm50101-30s-000248-0101p-53</v>
          </cell>
          <cell r="B4460" t="str">
            <v>30Sunday</v>
          </cell>
        </row>
        <row r="4461">
          <cell r="A4461" t="str">
            <v>su40107-bla-000275-0107-54</v>
          </cell>
          <cell r="B4461" t="str">
            <v>BlackOut</v>
          </cell>
        </row>
        <row r="4462">
          <cell r="A4462" t="str">
            <v>costmon-ama-2020-p02-charcoal-gray-sn0125</v>
          </cell>
          <cell r="B4462" t="str">
            <v>Amara</v>
          </cell>
        </row>
        <row r="4463">
          <cell r="A4463" t="str">
            <v>sw100107-30s-000414-0100-47</v>
          </cell>
          <cell r="B4463" t="str">
            <v>30Sunday</v>
          </cell>
        </row>
        <row r="4464">
          <cell r="A4464" t="str">
            <v>cost3mo-lay-2022-p02-royal-green-sn0600</v>
          </cell>
          <cell r="B4464" t="str">
            <v>Layala</v>
          </cell>
        </row>
        <row r="4465">
          <cell r="A4465" t="str">
            <v>sacchan-30s-chain101-gry-fleek-gunmetal</v>
          </cell>
          <cell r="B4465" t="str">
            <v>30Sunday</v>
          </cell>
        </row>
        <row r="4466">
          <cell r="A4466" t="str">
            <v>clstdai-dai-tot1-p30-sn0075</v>
          </cell>
          <cell r="B4466" t="str">
            <v>Dailies</v>
          </cell>
        </row>
        <row r="4467">
          <cell r="A4467" t="str">
            <v>fw32418-spc-000669-2418-54</v>
          </cell>
          <cell r="B4467" t="str">
            <v>Spectus</v>
          </cell>
        </row>
        <row r="4468">
          <cell r="A4468" t="str">
            <v>sm10404-30s-000505-0404-58</v>
          </cell>
          <cell r="B4468" t="str">
            <v>30Sunday</v>
          </cell>
        </row>
        <row r="4469">
          <cell r="A4469" t="str">
            <v>cost3mo-lay-2021-p02-stardust-gray-sn0500</v>
          </cell>
          <cell r="B4469" t="str">
            <v>Layala</v>
          </cell>
        </row>
        <row r="4470">
          <cell r="A4470" t="str">
            <v>cost3mo-lay-lens-p02-crystal-brown-sn0050</v>
          </cell>
          <cell r="B4470" t="str">
            <v>Layala</v>
          </cell>
        </row>
        <row r="4471">
          <cell r="A4471" t="str">
            <v>sw30101-bla-000263-0101-50</v>
          </cell>
          <cell r="B4471" t="str">
            <v>BlackOut</v>
          </cell>
        </row>
        <row r="4472">
          <cell r="A4472" t="str">
            <v>sm40107-bla-000335-0107-58</v>
          </cell>
          <cell r="B4472" t="str">
            <v>BlackOut</v>
          </cell>
        </row>
        <row r="4473">
          <cell r="A4473" t="str">
            <v>costmon-ama-lens-p02-crocodile-green-sn0400</v>
          </cell>
          <cell r="B4473" t="str">
            <v>Amara</v>
          </cell>
        </row>
        <row r="4474">
          <cell r="A4474" t="str">
            <v>clstdai-acu-mois-p30-sp0375</v>
          </cell>
          <cell r="B4474" t="str">
            <v>Acuvue</v>
          </cell>
        </row>
        <row r="4475">
          <cell r="A4475" t="str">
            <v>clstdai-dai-aqua-p30-sn0700</v>
          </cell>
          <cell r="B4475" t="str">
            <v>Dailies</v>
          </cell>
        </row>
        <row r="4476">
          <cell r="A4476" t="str">
            <v>sacchan-30s-kona-beige</v>
          </cell>
          <cell r="B4476" t="str">
            <v>30Sunday</v>
          </cell>
        </row>
        <row r="4477">
          <cell r="A4477" t="str">
            <v>clstmon-eve-prom-p06-sp0150</v>
          </cell>
          <cell r="B4477" t="str">
            <v>Everva</v>
          </cell>
        </row>
        <row r="4478">
          <cell r="A4478" t="str">
            <v>clstdai-lay-cont-p10-dazzle-brown-sn0225</v>
          </cell>
          <cell r="B4478" t="str">
            <v>Layala</v>
          </cell>
        </row>
        <row r="4479">
          <cell r="A4479" t="str">
            <v>fc20218-bab-000251-0200-45</v>
          </cell>
          <cell r="B4479" t="str">
            <v>Babamio</v>
          </cell>
        </row>
        <row r="4480">
          <cell r="A4480" t="str">
            <v>cost3mo-lay-2023-p02-sable-brown-sn0400</v>
          </cell>
          <cell r="B4480" t="str">
            <v>Layala</v>
          </cell>
        </row>
        <row r="4481">
          <cell r="A4481" t="str">
            <v>fw32618-spc-000502-2600-54</v>
          </cell>
          <cell r="B4481" t="str">
            <v>Spectus</v>
          </cell>
        </row>
        <row r="4482">
          <cell r="A4482" t="str">
            <v>sw30407-bla-000349-0407-52</v>
          </cell>
          <cell r="B4482" t="str">
            <v>BlackOut</v>
          </cell>
        </row>
        <row r="4483">
          <cell r="A4483" t="str">
            <v>clstdai-dai-aqua-p90-sn0300</v>
          </cell>
          <cell r="B4483" t="str">
            <v>Dailies</v>
          </cell>
        </row>
        <row r="4484">
          <cell r="A4484" t="str">
            <v>su100701-bla-000278-0701-58</v>
          </cell>
          <cell r="B4484" t="str">
            <v>BlackOut</v>
          </cell>
        </row>
        <row r="4485">
          <cell r="A4485" t="str">
            <v>costdai-ama-dail-p10-honey-sn0950</v>
          </cell>
          <cell r="B4485" t="str">
            <v>Amara</v>
          </cell>
        </row>
        <row r="4486">
          <cell r="A4486" t="str">
            <v>cost3mo-lay-2021-p02-skye-blue-sn0500</v>
          </cell>
          <cell r="B4486" t="str">
            <v>Layala</v>
          </cell>
        </row>
        <row r="4487">
          <cell r="A4487" t="str">
            <v>clstdai-acu-dfna-p30-sn0125</v>
          </cell>
          <cell r="B4487" t="str">
            <v>Acuvue</v>
          </cell>
        </row>
        <row r="4488">
          <cell r="A4488" t="str">
            <v>clstdai-acu-dfna-p30-sn0275</v>
          </cell>
          <cell r="B4488" t="str">
            <v>Acuvue</v>
          </cell>
        </row>
        <row r="4489">
          <cell r="A4489" t="str">
            <v>clstdai-acu-oasy-p30-sp0400</v>
          </cell>
          <cell r="B4489" t="str">
            <v>Acuvue</v>
          </cell>
        </row>
        <row r="4490">
          <cell r="A4490" t="str">
            <v>clstdai-lay-cont-p90-dazzle-brown-sn0400</v>
          </cell>
          <cell r="B4490" t="str">
            <v>Layala</v>
          </cell>
        </row>
        <row r="4491">
          <cell r="A4491" t="str">
            <v>fw30418-spc-000809-0418-61</v>
          </cell>
          <cell r="B4491" t="str">
            <v>Spectus</v>
          </cell>
        </row>
        <row r="4492">
          <cell r="A4492" t="str">
            <v>clstdai-btr-oned-p90-sp0325</v>
          </cell>
          <cell r="B4492" t="str">
            <v>Biotrue</v>
          </cell>
        </row>
        <row r="4493">
          <cell r="A4493" t="str">
            <v>sm10107-30s-000254-0107-54</v>
          </cell>
          <cell r="B4493" t="str">
            <v>30Sunday</v>
          </cell>
        </row>
        <row r="4494">
          <cell r="A4494" t="str">
            <v>clstmon-bio-biof-p06-sn0650</v>
          </cell>
          <cell r="B4494" t="str">
            <v>Biofinity</v>
          </cell>
        </row>
        <row r="4495">
          <cell r="A4495" t="str">
            <v>sunglasses-30Sundays-30s-00448-2907p</v>
          </cell>
          <cell r="B4495" t="str">
            <v>30Sunday</v>
          </cell>
        </row>
        <row r="4496">
          <cell r="A4496" t="str">
            <v>clstbiw-acu-oasy-p06-sp0525</v>
          </cell>
          <cell r="B4496" t="str">
            <v>Acuvue</v>
          </cell>
        </row>
        <row r="4497">
          <cell r="A4497" t="str">
            <v>clstmon-ava-avai-p06-sn0325</v>
          </cell>
          <cell r="B4497" t="str">
            <v>Avaira</v>
          </cell>
        </row>
        <row r="4498">
          <cell r="A4498" t="str">
            <v>clstmon-sof-sl59-p06-sn0200</v>
          </cell>
          <cell r="B4498" t="str">
            <v>Soflens</v>
          </cell>
        </row>
        <row r="4499">
          <cell r="A4499" t="str">
            <v>sm40107-30s-000299-0107p-53</v>
          </cell>
          <cell r="B4499" t="str">
            <v>30Sunday</v>
          </cell>
        </row>
        <row r="4500">
          <cell r="A4500" t="str">
            <v>clstdai-lay-cont-p30-dazzle-brown-sn0525</v>
          </cell>
          <cell r="B4500" t="str">
            <v>Layala</v>
          </cell>
        </row>
        <row r="4501">
          <cell r="A4501" t="str">
            <v>cltobiw-acu-oasy-p06-sn0475-cn0175-a170</v>
          </cell>
          <cell r="B4501" t="str">
            <v>Acuvue</v>
          </cell>
        </row>
        <row r="4502">
          <cell r="A4502" t="str">
            <v>costmon-ama-2024-p02-chocolate-sn0125</v>
          </cell>
          <cell r="B4502" t="str">
            <v>Amara</v>
          </cell>
        </row>
        <row r="4503">
          <cell r="A4503" t="str">
            <v>clstdai-dai-tot1-p90-sn0125</v>
          </cell>
          <cell r="B4503" t="str">
            <v>Dailies</v>
          </cell>
        </row>
        <row r="4504">
          <cell r="A4504" t="str">
            <v>clstmon-ava-avai-p06-sn0400</v>
          </cell>
          <cell r="B4504" t="str">
            <v>Avaira</v>
          </cell>
        </row>
        <row r="4505">
          <cell r="A4505" t="str">
            <v>costdai-acu-dffr-p10-blue-sn0100</v>
          </cell>
          <cell r="B4505" t="str">
            <v>Acuvue</v>
          </cell>
        </row>
        <row r="4506">
          <cell r="A4506" t="str">
            <v>clstdai-acu-mois-p30-sn0425</v>
          </cell>
          <cell r="B4506" t="str">
            <v>Acuvue</v>
          </cell>
        </row>
        <row r="4507">
          <cell r="A4507" t="str">
            <v>costdai-acu-dffr-p10-hazel-sn0050</v>
          </cell>
          <cell r="B4507" t="str">
            <v>Acuvue</v>
          </cell>
        </row>
        <row r="4508">
          <cell r="A4508" t="str">
            <v>cost3mo-lay-2021-p02-sunkiss-brown-sn0600</v>
          </cell>
          <cell r="B4508" t="str">
            <v>Layala</v>
          </cell>
        </row>
        <row r="4509">
          <cell r="A4509" t="str">
            <v>cost3mo-lay-2021-p02-polar-gray-sn0250</v>
          </cell>
          <cell r="B4509" t="str">
            <v>Layala</v>
          </cell>
        </row>
        <row r="4510">
          <cell r="A4510" t="str">
            <v>cost3mo-lay-2022-p02-crescent-gray-sn0500</v>
          </cell>
          <cell r="B4510" t="str">
            <v>Layala</v>
          </cell>
        </row>
        <row r="4511">
          <cell r="A4511" t="str">
            <v>clstdai-acu-mois-p30-sp0075</v>
          </cell>
          <cell r="B4511" t="str">
            <v>Acuvue</v>
          </cell>
        </row>
        <row r="4512">
          <cell r="A4512" t="str">
            <v>bc51318-bab-000505-1318-43</v>
          </cell>
          <cell r="B4512" t="str">
            <v>Babamio</v>
          </cell>
        </row>
        <row r="4513">
          <cell r="A4513" t="str">
            <v>cost3mo-lay-lens-p02-platinum-gray-sn0400</v>
          </cell>
          <cell r="B4513" t="str">
            <v>Layala</v>
          </cell>
        </row>
        <row r="4514">
          <cell r="A4514" t="str">
            <v>clstdai-lay-cont-p10-dazzle-black-sn0425</v>
          </cell>
          <cell r="B4514" t="str">
            <v>Layala</v>
          </cell>
        </row>
        <row r="4515">
          <cell r="A4515" t="str">
            <v>clstdai-eve-elit-p90-sn0325</v>
          </cell>
          <cell r="B4515" t="str">
            <v>Everva</v>
          </cell>
        </row>
        <row r="4516">
          <cell r="A4516" t="str">
            <v>cost3mo-lay-lens-p02-forest-green-sn0100</v>
          </cell>
          <cell r="B4516" t="str">
            <v>Layala</v>
          </cell>
        </row>
        <row r="4517">
          <cell r="A4517" t="str">
            <v>clstdai-btr-oned-p90-sn0250</v>
          </cell>
          <cell r="B4517" t="str">
            <v>Biotrue</v>
          </cell>
        </row>
        <row r="4518">
          <cell r="A4518" t="str">
            <v>cost3mo-lay-2022-p02-avena-brown-sn0350</v>
          </cell>
          <cell r="B4518" t="str">
            <v>Layala</v>
          </cell>
        </row>
        <row r="4519">
          <cell r="A4519" t="str">
            <v>costmon-ama-2024-p02-matcha-sn0500</v>
          </cell>
          <cell r="B4519" t="str">
            <v>Amara</v>
          </cell>
        </row>
        <row r="4520">
          <cell r="A4520" t="str">
            <v>costdai-acu-dffr-p10-blue-sn0550</v>
          </cell>
          <cell r="B4520" t="str">
            <v>Acuvue</v>
          </cell>
        </row>
        <row r="4521">
          <cell r="A4521" t="str">
            <v>costmon-ama-2020-p02-pure-hazel-sn0175</v>
          </cell>
          <cell r="B4521" t="str">
            <v>Amara</v>
          </cell>
        </row>
        <row r="4522">
          <cell r="A4522" t="str">
            <v>costdai-ama-dail-p10-honey-sn0900</v>
          </cell>
          <cell r="B4522" t="str">
            <v>Amara</v>
          </cell>
        </row>
        <row r="4523">
          <cell r="A4523" t="str">
            <v>costdai-acu-dffr-p30-blue-sn0300</v>
          </cell>
          <cell r="B4523" t="str">
            <v>Acuvue</v>
          </cell>
        </row>
        <row r="4524">
          <cell r="A4524" t="str">
            <v>fw51118-spc-000714-1118-52</v>
          </cell>
          <cell r="B4524" t="str">
            <v>Spectus</v>
          </cell>
        </row>
        <row r="4525">
          <cell r="A4525" t="str">
            <v>clstdai-sof-sdai-p30-sp0350</v>
          </cell>
          <cell r="B4525" t="str">
            <v>Soflens</v>
          </cell>
        </row>
        <row r="4526">
          <cell r="A4526" t="str">
            <v>clstbiw-acu-oasy-p06-sn0575</v>
          </cell>
          <cell r="B4526" t="str">
            <v>Acuvue</v>
          </cell>
        </row>
        <row r="4527">
          <cell r="A4527" t="str">
            <v>su20207-30s-000218-0207-51</v>
          </cell>
          <cell r="B4527" t="str">
            <v>30Sunday</v>
          </cell>
        </row>
        <row r="4528">
          <cell r="A4528" t="str">
            <v>cost3mo-lay-lens-p02-cloudy-gray-sn0325</v>
          </cell>
          <cell r="B4528" t="str">
            <v>Layala</v>
          </cell>
        </row>
        <row r="4529">
          <cell r="A4529" t="str">
            <v>sw91212-bla-000211-1212-138</v>
          </cell>
          <cell r="B4529" t="str">
            <v>BlackOut</v>
          </cell>
        </row>
        <row r="4530">
          <cell r="A4530" t="str">
            <v>sm50104-30s-000299-0104p-53</v>
          </cell>
          <cell r="B4530" t="str">
            <v>30Sunday</v>
          </cell>
        </row>
        <row r="4531">
          <cell r="A4531" t="str">
            <v>sm100107-30s-000436-0107-51</v>
          </cell>
          <cell r="B4531" t="str">
            <v>30Sunday</v>
          </cell>
        </row>
        <row r="4532">
          <cell r="A4532" t="str">
            <v>cost3mo-lay-2025-p02-emerald-glow-sn0275</v>
          </cell>
          <cell r="B4532" t="str">
            <v>Layala</v>
          </cell>
        </row>
        <row r="4533">
          <cell r="A4533" t="str">
            <v>clstdai-lay-cont-p10-dazzle-black-sn0450</v>
          </cell>
          <cell r="B4533" t="str">
            <v>Layala</v>
          </cell>
        </row>
        <row r="4534">
          <cell r="A4534" t="str">
            <v>costmon-ama-2024-p02-matcha-sn0250</v>
          </cell>
          <cell r="B4534" t="str">
            <v>Amara</v>
          </cell>
        </row>
        <row r="4535">
          <cell r="A4535" t="str">
            <v>sc20207-bab-000500-0201-40</v>
          </cell>
          <cell r="B4535" t="str">
            <v>Babamio</v>
          </cell>
        </row>
        <row r="4536">
          <cell r="A4536" t="str">
            <v>clstbiw-acu-cle-p06-sn0300</v>
          </cell>
          <cell r="B4536" t="str">
            <v>Acuvue</v>
          </cell>
        </row>
        <row r="4537">
          <cell r="A4537" t="str">
            <v>fw20918-spc-000552-0900-53</v>
          </cell>
          <cell r="B4537" t="str">
            <v>Spectus</v>
          </cell>
        </row>
        <row r="4538">
          <cell r="A4538" t="str">
            <v>clstdai-lay-cont-p90-dazzle-brown-sn0150</v>
          </cell>
          <cell r="B4538" t="str">
            <v>Layala</v>
          </cell>
        </row>
        <row r="4539">
          <cell r="A4539" t="str">
            <v>fw52618-spc-000742-2618-52</v>
          </cell>
          <cell r="B4539" t="str">
            <v>Spectus</v>
          </cell>
        </row>
        <row r="4540">
          <cell r="A4540" t="str">
            <v>clstbiw-acu-oasy-p06-sn0150</v>
          </cell>
          <cell r="B4540" t="str">
            <v>Acuvue</v>
          </cell>
        </row>
        <row r="4541">
          <cell r="A4541" t="str">
            <v>cltobiw-acu-oasy-p06-sn0400-cn0075-a010</v>
          </cell>
          <cell r="B4541" t="str">
            <v>Acuvue</v>
          </cell>
        </row>
        <row r="4542">
          <cell r="A4542" t="str">
            <v>cost3mo-lay-2020-p02-hazel-brown-sn0350</v>
          </cell>
          <cell r="B4542" t="str">
            <v>Layala</v>
          </cell>
        </row>
        <row r="4543">
          <cell r="A4543" t="str">
            <v>clstdai-acu-dfna-p60-sn0075</v>
          </cell>
          <cell r="B4543" t="str">
            <v>Acuvue</v>
          </cell>
        </row>
        <row r="4544">
          <cell r="A4544" t="str">
            <v>cost3mo-lay-2021-p02-golden-gray-sn0325</v>
          </cell>
          <cell r="B4544" t="str">
            <v>Layala</v>
          </cell>
        </row>
        <row r="4545">
          <cell r="A4545" t="str">
            <v>cost3mo-lay-2023-p02-sable-brown-sn0300</v>
          </cell>
          <cell r="B4545" t="str">
            <v>Layala</v>
          </cell>
        </row>
        <row r="4546">
          <cell r="A4546" t="str">
            <v>clstdai-acu-dfna-p90-sn0300</v>
          </cell>
          <cell r="B4546" t="str">
            <v>Acuvue</v>
          </cell>
        </row>
        <row r="4547">
          <cell r="A4547" t="str">
            <v>sm40707-30s-000416-0707-54</v>
          </cell>
          <cell r="B4547" t="str">
            <v>30Sunday</v>
          </cell>
        </row>
        <row r="4548">
          <cell r="A4548" t="str">
            <v>fw72918-spc-000821-2918-49</v>
          </cell>
          <cell r="B4548" t="str">
            <v>Spectus</v>
          </cell>
        </row>
        <row r="4549">
          <cell r="A4549" t="str">
            <v>sm72904-30s-000255-2904-54</v>
          </cell>
          <cell r="B4549" t="str">
            <v>30Sunday</v>
          </cell>
        </row>
        <row r="4550">
          <cell r="A4550" t="str">
            <v>clstdai-acu-omax-p30-sp0250</v>
          </cell>
          <cell r="B4550" t="str">
            <v>Acuvue</v>
          </cell>
        </row>
        <row r="4551">
          <cell r="A4551" t="str">
            <v>fc50218-bab-000503-0200-46</v>
          </cell>
          <cell r="B4551" t="str">
            <v>Babamio</v>
          </cell>
        </row>
        <row r="4552">
          <cell r="A4552" t="str">
            <v>sc50107-bab-000527-0107-48</v>
          </cell>
          <cell r="B4552" t="str">
            <v>Babamio</v>
          </cell>
        </row>
        <row r="4553">
          <cell r="A4553" t="str">
            <v>sw50904-bla-000234-2404-51</v>
          </cell>
          <cell r="B4553" t="str">
            <v>BlackOut</v>
          </cell>
        </row>
        <row r="4554">
          <cell r="A4554" t="str">
            <v>clstdai-dai-tot1-p90-sn0050</v>
          </cell>
          <cell r="B4554" t="str">
            <v>Dailies</v>
          </cell>
        </row>
        <row r="4555">
          <cell r="A4555" t="str">
            <v>su100104-30s-00453-0104p-51</v>
          </cell>
          <cell r="B4555" t="str">
            <v>30Sunday</v>
          </cell>
        </row>
        <row r="4556">
          <cell r="A4556" t="str">
            <v>su100304-30s-000499-0304-54</v>
          </cell>
          <cell r="B4556" t="str">
            <v>30Sunday</v>
          </cell>
        </row>
        <row r="4557">
          <cell r="A4557" t="str">
            <v>sm100707-30s-000496-0707-49</v>
          </cell>
          <cell r="B4557" t="str">
            <v>30Sunday</v>
          </cell>
        </row>
        <row r="4558">
          <cell r="A4558" t="str">
            <v>sm52106-30s-000223-2106-54</v>
          </cell>
          <cell r="B4558" t="str">
            <v>30Sunday</v>
          </cell>
        </row>
        <row r="4559">
          <cell r="A4559" t="str">
            <v>sw101302-bla-000374-1302-50</v>
          </cell>
          <cell r="B4559" t="str">
            <v>BlackOut</v>
          </cell>
        </row>
        <row r="4560">
          <cell r="A4560" t="str">
            <v>sm40404-30s-000285-0404-53</v>
          </cell>
          <cell r="B4560" t="str">
            <v>30Sunday</v>
          </cell>
        </row>
        <row r="4561">
          <cell r="A4561" t="str">
            <v>su100107-bla-000334-0107-56</v>
          </cell>
          <cell r="B4561" t="str">
            <v>BlackOut</v>
          </cell>
        </row>
        <row r="4562">
          <cell r="A4562" t="str">
            <v>costmon-ama-2024-p02-barbie-brown-sn0300</v>
          </cell>
          <cell r="B4562" t="str">
            <v>Amara</v>
          </cell>
        </row>
        <row r="4563">
          <cell r="A4563" t="str">
            <v>fc50218-bab-000503-0218-46</v>
          </cell>
          <cell r="B4563" t="str">
            <v>Babamio</v>
          </cell>
        </row>
        <row r="4564">
          <cell r="A4564" t="str">
            <v>cltobiw-acu-oasy-p06-sn0125-cn0075-a090</v>
          </cell>
          <cell r="B4564" t="str">
            <v>Acuvue</v>
          </cell>
        </row>
        <row r="4565">
          <cell r="A4565" t="str">
            <v>clstdai-lay-cont-p90-dazzle-brown-sn0225</v>
          </cell>
          <cell r="B4565" t="str">
            <v>Layala</v>
          </cell>
        </row>
        <row r="4566">
          <cell r="A4566" t="str">
            <v>sm10107-30s-000256-0107-57</v>
          </cell>
          <cell r="B4566" t="str">
            <v>30Sunday</v>
          </cell>
        </row>
        <row r="4567">
          <cell r="A4567" t="str">
            <v>clstbiw-acu-cle-p06-sn0150</v>
          </cell>
          <cell r="B4567" t="str">
            <v>Acuvue</v>
          </cell>
        </row>
        <row r="4568">
          <cell r="A4568" t="str">
            <v>sw102404-30s-000290-2404-54</v>
          </cell>
          <cell r="B4568" t="str">
            <v>30Sunday</v>
          </cell>
        </row>
        <row r="4569">
          <cell r="A4569" t="str">
            <v>sw30107-30s-000262-0107-50</v>
          </cell>
          <cell r="B4569" t="str">
            <v>30Sunday</v>
          </cell>
        </row>
        <row r="4570">
          <cell r="A4570" t="str">
            <v>sm101804-30s-000304-1804-54</v>
          </cell>
          <cell r="B4570" t="str">
            <v>30Sunday</v>
          </cell>
        </row>
        <row r="4571">
          <cell r="A4571" t="str">
            <v>clstdai-acu-omax-p30-sn0575</v>
          </cell>
          <cell r="B4571" t="str">
            <v>Acuvue</v>
          </cell>
        </row>
        <row r="4572">
          <cell r="A4572" t="str">
            <v>costdai-acu-dffr-p30-hazel-sn0150</v>
          </cell>
          <cell r="B4572" t="str">
            <v>Acuvue</v>
          </cell>
        </row>
        <row r="4573">
          <cell r="A4573" t="str">
            <v>sw100504-bla-000321-0504-52</v>
          </cell>
          <cell r="B4573" t="str">
            <v>BlackOut</v>
          </cell>
        </row>
        <row r="4574">
          <cell r="A4574" t="str">
            <v>clstdai-acu-dfrb-p60-sp0000</v>
          </cell>
          <cell r="B4574" t="str">
            <v>Acuvue</v>
          </cell>
        </row>
        <row r="4575">
          <cell r="A4575" t="str">
            <v>costdai-ama-dail-p10-amber-sn0425</v>
          </cell>
          <cell r="B4575" t="str">
            <v>Amara</v>
          </cell>
        </row>
        <row r="4576">
          <cell r="A4576" t="str">
            <v>sacchan-30s-chain113-crm-kona-beige</v>
          </cell>
          <cell r="B4576" t="str">
            <v>30Sunday</v>
          </cell>
        </row>
        <row r="4577">
          <cell r="A4577" t="str">
            <v>sw30404-bla-000248-0404-52</v>
          </cell>
          <cell r="B4577" t="str">
            <v>BlackOut</v>
          </cell>
        </row>
        <row r="4578">
          <cell r="A4578" t="str">
            <v>saccase-30s-case102-pnk-bge-blush-pink</v>
          </cell>
          <cell r="B4578" t="str">
            <v>30Sunday</v>
          </cell>
        </row>
        <row r="4579">
          <cell r="A4579" t="str">
            <v>clstdai-acu-oasy-p30-sp0175</v>
          </cell>
          <cell r="B4579" t="str">
            <v>Acuvue</v>
          </cell>
        </row>
        <row r="4580">
          <cell r="A4580" t="str">
            <v>bc50218-bab-000506-2818-48</v>
          </cell>
          <cell r="B4580" t="str">
            <v>Babamio</v>
          </cell>
        </row>
        <row r="4581">
          <cell r="A4581" t="str">
            <v>costdai-acu-dffr-p10-hazel-sn0100</v>
          </cell>
          <cell r="B4581" t="str">
            <v>Acuvue</v>
          </cell>
        </row>
        <row r="4582">
          <cell r="A4582" t="str">
            <v>costmon-ama-lens-p02-mocca-sn0300</v>
          </cell>
          <cell r="B4582" t="str">
            <v>Amara</v>
          </cell>
        </row>
        <row r="4583">
          <cell r="A4583" t="str">
            <v>cost3mo-lay-2024-p02-moon-gray-sn0100</v>
          </cell>
          <cell r="B4583" t="str">
            <v>Layala</v>
          </cell>
        </row>
        <row r="4584">
          <cell r="A4584" t="str">
            <v>saccase-30s-blk-black</v>
          </cell>
          <cell r="B4584" t="str">
            <v>30Sunday</v>
          </cell>
        </row>
        <row r="4585">
          <cell r="A4585" t="str">
            <v>clstdai-acu-oasy-p30-sp0375</v>
          </cell>
          <cell r="B4585" t="str">
            <v>Acuvue</v>
          </cell>
        </row>
        <row r="4586">
          <cell r="A4586" t="str">
            <v>sw100101-30s-000301-0101-54</v>
          </cell>
          <cell r="B4586" t="str">
            <v>30Sunday</v>
          </cell>
        </row>
        <row r="4587">
          <cell r="A4587" t="str">
            <v>clstdai-acu-mois-p30-sn0650</v>
          </cell>
          <cell r="B4587" t="str">
            <v>Acuvue</v>
          </cell>
        </row>
        <row r="4588">
          <cell r="A4588" t="str">
            <v>clstdai-lay-cont-p60-dazzle-brown-sn0250</v>
          </cell>
          <cell r="B4588" t="str">
            <v>Layala</v>
          </cell>
        </row>
        <row r="4589">
          <cell r="A4589" t="str">
            <v>clstdai-acu-dfvi-p30-sn0325</v>
          </cell>
          <cell r="B4589" t="str">
            <v>Acuvue</v>
          </cell>
        </row>
        <row r="4590">
          <cell r="A4590" t="str">
            <v>sw30107-30s-000270-0101-53</v>
          </cell>
          <cell r="B4590" t="str">
            <v>30Sunday</v>
          </cell>
        </row>
        <row r="4591">
          <cell r="A4591" t="str">
            <v>clstdai-acu-mois-p120-sn0500</v>
          </cell>
          <cell r="B4591" t="str">
            <v>Acuvue</v>
          </cell>
        </row>
        <row r="4592">
          <cell r="A4592" t="str">
            <v>cost3mo-lay-2021-p02-sunkiss-brown-sn0050</v>
          </cell>
          <cell r="B4592" t="str">
            <v>Layala</v>
          </cell>
        </row>
        <row r="4593">
          <cell r="A4593" t="str">
            <v>cltodai-acu-mois-p30-sn0100-cn0075-a010</v>
          </cell>
          <cell r="B4593" t="str">
            <v>Acuvue</v>
          </cell>
        </row>
        <row r="4594">
          <cell r="A4594" t="str">
            <v>sw100107-bla-000352-0107-52</v>
          </cell>
          <cell r="B4594" t="str">
            <v>BlackOut</v>
          </cell>
        </row>
        <row r="4595">
          <cell r="A4595" t="str">
            <v>bc51318-bab-000504-1318-51</v>
          </cell>
          <cell r="B4595" t="str">
            <v>Babamio</v>
          </cell>
        </row>
        <row r="4596">
          <cell r="A4596" t="str">
            <v>cltodai-acu-mois-p30-sn0425-cn0075-a010</v>
          </cell>
          <cell r="B4596" t="str">
            <v>Acuvue</v>
          </cell>
        </row>
        <row r="4597">
          <cell r="A4597" t="str">
            <v>cost3mo-lay-lens-p02-chestnut-brown-sn0200</v>
          </cell>
          <cell r="B4597" t="str">
            <v>Layala</v>
          </cell>
        </row>
        <row r="4598">
          <cell r="A4598" t="str">
            <v>clstmon-pur-visi-p06-sp0275</v>
          </cell>
          <cell r="B4598" t="str">
            <v>PureVision</v>
          </cell>
        </row>
        <row r="4599">
          <cell r="A4599" t="str">
            <v>costmon-ama-lens-p02-mocca-sn0900</v>
          </cell>
          <cell r="B4599" t="str">
            <v>Amara</v>
          </cell>
        </row>
        <row r="4600">
          <cell r="A4600" t="str">
            <v>sw100107-bla-000277-0107-58</v>
          </cell>
          <cell r="B4600" t="str">
            <v>BlackOut</v>
          </cell>
        </row>
        <row r="4601">
          <cell r="A4601" t="str">
            <v>sw90107-bla-000211-0101-138</v>
          </cell>
          <cell r="B4601" t="str">
            <v>BlackOut</v>
          </cell>
        </row>
        <row r="4602">
          <cell r="A4602" t="str">
            <v>clstbiw-acu-cle-p06-sn0425</v>
          </cell>
          <cell r="B4602" t="str">
            <v>Acuvue</v>
          </cell>
        </row>
        <row r="4603">
          <cell r="A4603" t="str">
            <v>clstdai-eve-pure-p90-sn0475</v>
          </cell>
          <cell r="B4603" t="str">
            <v>Everva</v>
          </cell>
        </row>
        <row r="4604">
          <cell r="A4604" t="str">
            <v>clstdai-acu-omax-p30-sn1100</v>
          </cell>
          <cell r="B4604" t="str">
            <v>Acuvue</v>
          </cell>
        </row>
        <row r="4605">
          <cell r="A4605" t="str">
            <v>clstdai-acu-omax-p30-sp0175</v>
          </cell>
          <cell r="B4605" t="str">
            <v>Acuvue</v>
          </cell>
        </row>
        <row r="4606">
          <cell r="A4606" t="str">
            <v>clstdai-dai-aqua-p30-sp0425</v>
          </cell>
          <cell r="B4606" t="str">
            <v>Dailies</v>
          </cell>
        </row>
        <row r="4607">
          <cell r="A4607" t="str">
            <v>clstdai-acu-dfrb-p60-sn0650</v>
          </cell>
          <cell r="B4607" t="str">
            <v>Acuvue</v>
          </cell>
        </row>
        <row r="4608">
          <cell r="A4608" t="str">
            <v>sw32404-bla-000331-2404-51</v>
          </cell>
          <cell r="B4608" t="str">
            <v>BlackOut</v>
          </cell>
        </row>
        <row r="4609">
          <cell r="A4609" t="str">
            <v>cost3mo-lay-2023-p02-selene-green-sn0250</v>
          </cell>
          <cell r="B4609" t="str">
            <v>Layala</v>
          </cell>
        </row>
        <row r="4610">
          <cell r="A4610" t="str">
            <v>sw20102-30s-000232-0304-64</v>
          </cell>
          <cell r="B4610" t="str">
            <v>30Sunday</v>
          </cell>
        </row>
        <row r="4611">
          <cell r="A4611" t="str">
            <v>sm52106-30s-000234-2106-48</v>
          </cell>
          <cell r="B4611" t="str">
            <v>30Sunday</v>
          </cell>
        </row>
        <row r="4612">
          <cell r="A4612" t="str">
            <v>costdai-acu-dffr-p30-green-sn0600</v>
          </cell>
          <cell r="B4612" t="str">
            <v>Acuvue</v>
          </cell>
        </row>
        <row r="4613">
          <cell r="A4613" t="str">
            <v>cost3mo-lay-lens-p02-ocean-blue-sn0575</v>
          </cell>
          <cell r="B4613" t="str">
            <v>Layala</v>
          </cell>
        </row>
        <row r="4614">
          <cell r="A4614" t="str">
            <v>clstdai-sof-sdai-p30-sn0650</v>
          </cell>
          <cell r="B4614" t="str">
            <v>Soflens</v>
          </cell>
        </row>
        <row r="4615">
          <cell r="A4615" t="str">
            <v>clstdai-acu-dfrb-p60-sn0075</v>
          </cell>
          <cell r="B4615" t="str">
            <v>Acuvue</v>
          </cell>
        </row>
        <row r="4616">
          <cell r="A4616" t="str">
            <v>clstdai-acu-dfvi-p90-sn0600</v>
          </cell>
          <cell r="B4616" t="str">
            <v>Acuvue</v>
          </cell>
        </row>
        <row r="4617">
          <cell r="A4617" t="str">
            <v>sm51304-30s-000221-1304-52</v>
          </cell>
          <cell r="B4617" t="str">
            <v>30Sunday</v>
          </cell>
        </row>
        <row r="4618">
          <cell r="A4618" t="str">
            <v>su10108-bla-000270-0108-55</v>
          </cell>
          <cell r="B4618" t="str">
            <v>BlackOut</v>
          </cell>
        </row>
        <row r="4619">
          <cell r="A4619" t="str">
            <v>clstdai-acu-mois-p120-sn0175</v>
          </cell>
          <cell r="B4619" t="str">
            <v>Acuvue</v>
          </cell>
        </row>
        <row r="4620">
          <cell r="A4620" t="str">
            <v>sw70101-30s-000282-0101-54</v>
          </cell>
          <cell r="B4620" t="str">
            <v>30Sunday</v>
          </cell>
        </row>
        <row r="4621">
          <cell r="A4621" t="str">
            <v>su50506-bla-000103-2706-53</v>
          </cell>
          <cell r="B4621" t="str">
            <v>BlackOut</v>
          </cell>
        </row>
        <row r="4622">
          <cell r="A4622" t="str">
            <v>sw32604-30s-000257-2604-52</v>
          </cell>
          <cell r="B4622" t="str">
            <v>30Sunday</v>
          </cell>
        </row>
        <row r="4623">
          <cell r="A4623" t="str">
            <v>costmon-ama-2020-p02-pure-hazel-sn0425</v>
          </cell>
          <cell r="B4623" t="str">
            <v>Amara</v>
          </cell>
        </row>
        <row r="4624">
          <cell r="A4624" t="str">
            <v>cost3mo-lay-lens-p02-ocean-blue-sn0300</v>
          </cell>
          <cell r="B4624" t="str">
            <v>Layala</v>
          </cell>
        </row>
        <row r="4625">
          <cell r="A4625" t="str">
            <v>cost3mo-lay-2025-p02-emerald-glow-sn0525</v>
          </cell>
          <cell r="B4625" t="str">
            <v>Layala</v>
          </cell>
        </row>
        <row r="4626">
          <cell r="A4626" t="str">
            <v>clstdai-lay-cont-p30-dazzle-black-sn0400</v>
          </cell>
          <cell r="B4626" t="str">
            <v>Layala</v>
          </cell>
        </row>
        <row r="4627">
          <cell r="A4627" t="str">
            <v>clstdai-eve-elit-p30-sn1000</v>
          </cell>
          <cell r="B4627" t="str">
            <v>Everva</v>
          </cell>
        </row>
        <row r="4628">
          <cell r="A4628" t="str">
            <v>clstdai-lay-cont-p90-dazzle-brown-sn0900</v>
          </cell>
          <cell r="B4628" t="str">
            <v>Layala</v>
          </cell>
        </row>
        <row r="4629">
          <cell r="A4629" t="str">
            <v>costmon-ama-2024-p02-matcha-sn0575</v>
          </cell>
          <cell r="B4629" t="str">
            <v>Amara</v>
          </cell>
        </row>
        <row r="4630">
          <cell r="A4630" t="str">
            <v>costdai-acu-dffr-p10-grayzel-sn0600</v>
          </cell>
          <cell r="B4630" t="str">
            <v>Acuvue</v>
          </cell>
        </row>
        <row r="4631">
          <cell r="A4631" t="str">
            <v>clstdai-btr-oned-p30-sp0075</v>
          </cell>
          <cell r="B4631" t="str">
            <v>Biotrue</v>
          </cell>
        </row>
        <row r="4632">
          <cell r="A4632" t="str">
            <v>sw30101-bla-000250-0101-54</v>
          </cell>
          <cell r="B4632" t="str">
            <v>BlackOut</v>
          </cell>
        </row>
        <row r="4633">
          <cell r="A4633" t="str">
            <v>su100606-30s-000277-2102-52</v>
          </cell>
          <cell r="B4633" t="str">
            <v>30Sunday</v>
          </cell>
        </row>
        <row r="4634">
          <cell r="A4634" t="str">
            <v>fw41318-spc-000543-1300-55</v>
          </cell>
          <cell r="B4634" t="str">
            <v>Spectus</v>
          </cell>
        </row>
        <row r="4635">
          <cell r="A4635" t="str">
            <v>clstdai-eve-pure-p90-sn0250</v>
          </cell>
          <cell r="B4635" t="str">
            <v>Everva</v>
          </cell>
        </row>
        <row r="4636">
          <cell r="A4636" t="str">
            <v>sw32304-bla-000280-2304-56</v>
          </cell>
          <cell r="B4636" t="str">
            <v>BlackOut</v>
          </cell>
        </row>
        <row r="4637">
          <cell r="A4637" t="str">
            <v>clstbiw-acu-0002-p06-sn0200</v>
          </cell>
          <cell r="B4637" t="str">
            <v>Acuvue</v>
          </cell>
        </row>
        <row r="4638">
          <cell r="A4638" t="str">
            <v>sw30404-30s-000491-0404-53</v>
          </cell>
          <cell r="B4638" t="str">
            <v>30Sunday</v>
          </cell>
        </row>
        <row r="4639">
          <cell r="A4639" t="str">
            <v>cost3mo-lay-2021-p02-golden-gray-sn0075</v>
          </cell>
          <cell r="B4639" t="str">
            <v>Layala</v>
          </cell>
        </row>
        <row r="4640">
          <cell r="A4640" t="str">
            <v>sm10707-30s-00205-0707p-55</v>
          </cell>
          <cell r="B4640" t="str">
            <v>30Sunday</v>
          </cell>
        </row>
        <row r="4641">
          <cell r="A4641" t="str">
            <v>clstdai-btr-oned-p30-sn0075</v>
          </cell>
          <cell r="B4641" t="str">
            <v>Biotrue</v>
          </cell>
        </row>
        <row r="4642">
          <cell r="A4642" t="str">
            <v>clstdai-acu-oasy-p120-sn0200</v>
          </cell>
          <cell r="B4642" t="str">
            <v>Acuvue</v>
          </cell>
        </row>
        <row r="4643">
          <cell r="A4643" t="str">
            <v>clstdai-acu-oasy-p30-sn0175</v>
          </cell>
          <cell r="B4643" t="str">
            <v>Acuvue</v>
          </cell>
        </row>
        <row r="4644">
          <cell r="A4644" t="str">
            <v>cost3mo-lay-2021-p02-willow-green-sn0325</v>
          </cell>
          <cell r="B4644" t="str">
            <v>Layala</v>
          </cell>
        </row>
        <row r="4645">
          <cell r="A4645" t="str">
            <v>costmon-ama-2020-p02-charcoal-gray-sn0075</v>
          </cell>
          <cell r="B4645" t="str">
            <v>Amara</v>
          </cell>
        </row>
        <row r="4646">
          <cell r="A4646" t="str">
            <v>sacchan-30s-chain145-gld-astoria-crystal</v>
          </cell>
          <cell r="B4646" t="str">
            <v>30Sunday</v>
          </cell>
        </row>
        <row r="4647">
          <cell r="A4647" t="str">
            <v>sm40107-30s-000285-0107-53</v>
          </cell>
          <cell r="B4647" t="str">
            <v>30Sunday</v>
          </cell>
        </row>
        <row r="4648">
          <cell r="A4648" t="str">
            <v>sw30504-bla-000276-2904-54</v>
          </cell>
          <cell r="B4648" t="str">
            <v>BlackOut</v>
          </cell>
        </row>
        <row r="4649">
          <cell r="A4649" t="str">
            <v>clstdai-acu-oasy-p30-sn0850</v>
          </cell>
          <cell r="B4649" t="str">
            <v>Acuvue</v>
          </cell>
        </row>
        <row r="4650">
          <cell r="A4650" t="str">
            <v>clstdai-acu-dfna-p60-sn0900</v>
          </cell>
          <cell r="B4650" t="str">
            <v>Acuvue</v>
          </cell>
        </row>
        <row r="4651">
          <cell r="A4651" t="str">
            <v>cost3mo-lay-2020-p02-hazel-brown-sn0325</v>
          </cell>
          <cell r="B4651" t="str">
            <v>Layala</v>
          </cell>
        </row>
        <row r="4652">
          <cell r="A4652" t="str">
            <v>costdai-ama-dail-p10-shadow-sn0200</v>
          </cell>
          <cell r="B4652" t="str">
            <v>Amara</v>
          </cell>
        </row>
        <row r="4653">
          <cell r="A4653" t="str">
            <v>cost3mo-lay-lens-p02-crystal-brown-sp0000</v>
          </cell>
          <cell r="B4653" t="str">
            <v>Layala</v>
          </cell>
        </row>
        <row r="4654">
          <cell r="A4654" t="str">
            <v>cost3mo-lay-lens-p02-ocean-blue-sn0450</v>
          </cell>
          <cell r="B4654" t="str">
            <v>Layala</v>
          </cell>
        </row>
        <row r="4655">
          <cell r="A4655" t="str">
            <v>sw70202-30s-000260-0202-53</v>
          </cell>
          <cell r="B4655" t="str">
            <v>30Sunday</v>
          </cell>
        </row>
        <row r="4656">
          <cell r="A4656" t="str">
            <v>sw60404-bla-000300-0404-53</v>
          </cell>
          <cell r="B4656" t="str">
            <v>BlackOut</v>
          </cell>
        </row>
        <row r="4657">
          <cell r="A4657" t="str">
            <v>clstdai-acu-oasy-p90-sp0550</v>
          </cell>
          <cell r="B4657" t="str">
            <v>Acuvue</v>
          </cell>
        </row>
        <row r="4658">
          <cell r="A4658" t="str">
            <v>clstmon-eve-prom-p06-sn0250</v>
          </cell>
          <cell r="B4658" t="str">
            <v>Everva</v>
          </cell>
        </row>
        <row r="4659">
          <cell r="A4659" t="str">
            <v>cost3mo-lay-2022-p02-avena-brown-sn0500</v>
          </cell>
          <cell r="B4659" t="str">
            <v>Layala</v>
          </cell>
        </row>
        <row r="4660">
          <cell r="A4660" t="str">
            <v>costmon-ama-lens-p02-crocodile-green-sn0550</v>
          </cell>
          <cell r="B4660" t="str">
            <v>Amara</v>
          </cell>
        </row>
        <row r="4661">
          <cell r="A4661" t="str">
            <v>fu22318-spc-000302-2300-52</v>
          </cell>
          <cell r="B4661" t="str">
            <v>Spectus</v>
          </cell>
        </row>
        <row r="4662">
          <cell r="A4662" t="str">
            <v>clstdai-eve-elit-p30-sn0375</v>
          </cell>
          <cell r="B4662" t="str">
            <v>Everva</v>
          </cell>
        </row>
        <row r="4663">
          <cell r="A4663" t="str">
            <v>cost3mo-lay-2024-p02-moon-gray-sn0400</v>
          </cell>
          <cell r="B4663" t="str">
            <v>Layala</v>
          </cell>
        </row>
        <row r="4664">
          <cell r="A4664" t="str">
            <v>clstmon-sof-sl59-p06-sn0375</v>
          </cell>
          <cell r="B4664" t="str">
            <v>Soflens</v>
          </cell>
        </row>
        <row r="4665">
          <cell r="A4665" t="str">
            <v>su51206-bla-000249-1206-51</v>
          </cell>
          <cell r="B4665" t="str">
            <v>BlackOut</v>
          </cell>
        </row>
        <row r="4666">
          <cell r="A4666" t="str">
            <v>costdai-acu-dffr-p30-grayzel-sn0300</v>
          </cell>
          <cell r="B4666" t="str">
            <v>Acuvue</v>
          </cell>
        </row>
        <row r="4667">
          <cell r="A4667" t="str">
            <v>clstdai-acu-oasy-p90-sn0325</v>
          </cell>
          <cell r="B4667" t="str">
            <v>Acuvue</v>
          </cell>
        </row>
        <row r="4668">
          <cell r="A4668" t="str">
            <v>clstdai-acu-dfrb-p30-sn0275</v>
          </cell>
          <cell r="B4668" t="str">
            <v>Acuvue</v>
          </cell>
        </row>
        <row r="4669">
          <cell r="A4669" t="str">
            <v>clstdai-dai-aqua-p90-sn0500</v>
          </cell>
          <cell r="B4669" t="str">
            <v>Dailies</v>
          </cell>
        </row>
        <row r="4670">
          <cell r="A4670" t="str">
            <v>clstbiw-acu-oasy-p06-sn0325</v>
          </cell>
          <cell r="B4670" t="str">
            <v>Acuvue</v>
          </cell>
        </row>
        <row r="4671">
          <cell r="A4671" t="str">
            <v>costdai-acu-dffr-p10-green-sn0100</v>
          </cell>
          <cell r="B4671" t="str">
            <v>Acuvue</v>
          </cell>
        </row>
        <row r="4672">
          <cell r="A4672" t="str">
            <v>clstdai-acu-dfvi-p60-sn0175</v>
          </cell>
          <cell r="B4672" t="str">
            <v>Acuvue</v>
          </cell>
        </row>
        <row r="4673">
          <cell r="A4673" t="str">
            <v>clstdai-acu-mois-p90-sn0500</v>
          </cell>
          <cell r="B4673" t="str">
            <v>Acuvue</v>
          </cell>
        </row>
        <row r="4674">
          <cell r="A4674" t="str">
            <v>costdai-acu-dffr-p10-hazel-sn0075</v>
          </cell>
          <cell r="B4674" t="str">
            <v>Acuvue</v>
          </cell>
        </row>
        <row r="4675">
          <cell r="A4675" t="str">
            <v>fw31018-spc-000841-1018-53</v>
          </cell>
          <cell r="B4675" t="str">
            <v>Spectus</v>
          </cell>
        </row>
        <row r="4676">
          <cell r="A4676" t="str">
            <v>bc20218-bab-000509-0218d-46</v>
          </cell>
          <cell r="B4676" t="str">
            <v>Babamio</v>
          </cell>
        </row>
        <row r="4677">
          <cell r="A4677" t="str">
            <v>costdai-acu-dffr-p10-rose-sn0125</v>
          </cell>
          <cell r="B4677" t="str">
            <v>Acuvue</v>
          </cell>
        </row>
        <row r="4678">
          <cell r="A4678" t="str">
            <v>clstdai-lay-cont-p30-dazzle-brown-sn0050</v>
          </cell>
          <cell r="B4678" t="str">
            <v>Layala</v>
          </cell>
        </row>
        <row r="4679">
          <cell r="A4679" t="str">
            <v>cost3mo-lay-2025-p02-desert-topaz-sn0200</v>
          </cell>
          <cell r="B4679" t="str">
            <v>Layala</v>
          </cell>
        </row>
        <row r="4680">
          <cell r="A4680" t="str">
            <v>sw21304-30s-000129-1304-51</v>
          </cell>
          <cell r="B4680" t="str">
            <v>30Sunday</v>
          </cell>
        </row>
        <row r="4681">
          <cell r="A4681" t="str">
            <v>clstdai-eve-pure-p90-sn0075</v>
          </cell>
          <cell r="B4681" t="str">
            <v>Everva</v>
          </cell>
        </row>
        <row r="4682">
          <cell r="A4682" t="str">
            <v>costmon-ama-2024-p02-barbie-brown-sn0200</v>
          </cell>
          <cell r="B4682" t="str">
            <v>Amara</v>
          </cell>
        </row>
        <row r="4683">
          <cell r="A4683" t="str">
            <v>costdai-acu-dffr-p10-grayzel-sn0175</v>
          </cell>
          <cell r="B4683" t="str">
            <v>Acuvue</v>
          </cell>
        </row>
        <row r="4684">
          <cell r="A4684" t="str">
            <v>cost3mo-lay-2022-p02-avena-brown-sn0200</v>
          </cell>
          <cell r="B4684" t="str">
            <v>Layala</v>
          </cell>
        </row>
        <row r="4685">
          <cell r="A4685" t="str">
            <v>sm70506-30s-000246-2906-61</v>
          </cell>
          <cell r="B4685" t="str">
            <v>30Sunday</v>
          </cell>
        </row>
        <row r="4686">
          <cell r="A4686" t="str">
            <v>clstmon-eve-prom-p06-sp0550</v>
          </cell>
          <cell r="B4686" t="str">
            <v>Everva</v>
          </cell>
        </row>
        <row r="4687">
          <cell r="A4687" t="str">
            <v>clstdai-acu-omax-p90-sn1000</v>
          </cell>
          <cell r="B4687" t="str">
            <v>Acuvue</v>
          </cell>
        </row>
        <row r="4688">
          <cell r="A4688" t="str">
            <v>su51306-30s-000237-1306-51</v>
          </cell>
          <cell r="B4688" t="str">
            <v>30Sunday</v>
          </cell>
        </row>
        <row r="4689">
          <cell r="A4689" t="str">
            <v>sw52309-bla-000103-2310-53</v>
          </cell>
          <cell r="B4689" t="str">
            <v>BlackOut</v>
          </cell>
        </row>
        <row r="4690">
          <cell r="A4690" t="str">
            <v>costmon-ama-2024-p02-matcha-sn0150</v>
          </cell>
          <cell r="B4690" t="str">
            <v>Amara</v>
          </cell>
        </row>
        <row r="4691">
          <cell r="A4691" t="str">
            <v>costdai-ama-dail-p10-moon-stone-sn0175</v>
          </cell>
          <cell r="B4691" t="str">
            <v>Amara</v>
          </cell>
        </row>
        <row r="4692">
          <cell r="A4692" t="str">
            <v>clstdai-eve-pure-p90-sn0400</v>
          </cell>
          <cell r="B4692" t="str">
            <v>Everva</v>
          </cell>
        </row>
        <row r="4693">
          <cell r="A4693" t="str">
            <v>clstmon-pur-visi-p06-sp0300</v>
          </cell>
          <cell r="B4693" t="str">
            <v>PureVision</v>
          </cell>
        </row>
        <row r="4694">
          <cell r="A4694" t="str">
            <v>sm50606-30s-000283-2906-54</v>
          </cell>
          <cell r="B4694" t="str">
            <v>30Sunday</v>
          </cell>
        </row>
        <row r="4695">
          <cell r="A4695" t="str">
            <v>sw70107-30s-000260-0101-53</v>
          </cell>
          <cell r="B4695" t="str">
            <v>30Sunday</v>
          </cell>
        </row>
        <row r="4696">
          <cell r="A4696" t="str">
            <v>clstdai-dai-tot1-p90-sp0550</v>
          </cell>
          <cell r="B4696" t="str">
            <v>Dailies</v>
          </cell>
        </row>
        <row r="4697">
          <cell r="A4697" t="str">
            <v>sw50110-30s-000120-0110-59</v>
          </cell>
          <cell r="B4697" t="str">
            <v>30Sunday</v>
          </cell>
        </row>
        <row r="4698">
          <cell r="A4698" t="str">
            <v>sw30101-30s-000291-0101-51</v>
          </cell>
          <cell r="B4698" t="str">
            <v>30Sunday</v>
          </cell>
        </row>
        <row r="4699">
          <cell r="A4699" t="str">
            <v>clstbiw-acu-0002-p06-sn1150</v>
          </cell>
          <cell r="B4699" t="str">
            <v>Acuvue</v>
          </cell>
        </row>
        <row r="4700">
          <cell r="A4700" t="str">
            <v>clstdai-acu-oasy-p30-sp0700</v>
          </cell>
          <cell r="B4700" t="str">
            <v>Acuvue</v>
          </cell>
        </row>
        <row r="4701">
          <cell r="A4701" t="str">
            <v>su20106-30s-000206-0106p-52</v>
          </cell>
          <cell r="B4701" t="str">
            <v>30Sunday</v>
          </cell>
        </row>
        <row r="4702">
          <cell r="A4702" t="str">
            <v>sacchan-30s-gigi-gold</v>
          </cell>
          <cell r="B4702" t="str">
            <v>30Sunday</v>
          </cell>
        </row>
        <row r="4703">
          <cell r="A4703" t="str">
            <v>costdai-acu-dffr-p10-hazel-sn0300</v>
          </cell>
          <cell r="B4703" t="str">
            <v>Acuvue</v>
          </cell>
        </row>
        <row r="4704">
          <cell r="A4704" t="str">
            <v>fw30918-spc-000644-0918-53</v>
          </cell>
          <cell r="B4704" t="str">
            <v>Spectus</v>
          </cell>
        </row>
        <row r="4705">
          <cell r="A4705" t="str">
            <v>clstdai-sof-sdai-p90-sn0550</v>
          </cell>
          <cell r="B4705" t="str">
            <v>Soflens</v>
          </cell>
        </row>
        <row r="4706">
          <cell r="A4706" t="str">
            <v>fu52418-spc-000572-2400-53</v>
          </cell>
          <cell r="B4706" t="str">
            <v>Spectus</v>
          </cell>
        </row>
        <row r="4707">
          <cell r="A4707" t="str">
            <v>clstdai-dai-aqua-p90-sn1250</v>
          </cell>
          <cell r="B4707" t="str">
            <v>Dailies</v>
          </cell>
        </row>
        <row r="4708">
          <cell r="A4708" t="str">
            <v>clstdai-acu-mois-p30-sp0425</v>
          </cell>
          <cell r="B4708" t="str">
            <v>Acuvue</v>
          </cell>
        </row>
        <row r="4709">
          <cell r="A4709" t="str">
            <v>costmon-ama-2022-p02-tiger-eyes-sn0175</v>
          </cell>
          <cell r="B4709" t="str">
            <v>Amara</v>
          </cell>
        </row>
        <row r="4710">
          <cell r="A4710" t="str">
            <v>cost3mo-lay-2022-p02-sage-gray-sn0150</v>
          </cell>
          <cell r="B4710" t="str">
            <v>Layala</v>
          </cell>
        </row>
        <row r="4711">
          <cell r="A4711" t="str">
            <v>cost3mo-lay-2020-p02-ash-gray-sn0400</v>
          </cell>
          <cell r="B4711" t="str">
            <v>Layala</v>
          </cell>
        </row>
        <row r="4712">
          <cell r="A4712" t="str">
            <v>clstdai-acu-omax-p90-sn0450</v>
          </cell>
          <cell r="B4712" t="str">
            <v>Acuvue</v>
          </cell>
        </row>
        <row r="4713">
          <cell r="A4713" t="str">
            <v>clstbiw-acu-oasy-p06-sp0275</v>
          </cell>
          <cell r="B4713" t="str">
            <v>Acuvue</v>
          </cell>
        </row>
        <row r="4714">
          <cell r="A4714" t="str">
            <v>clstdai-lay-cont-p30-dazzle-brown-sn0150</v>
          </cell>
          <cell r="B4714" t="str">
            <v>Layala</v>
          </cell>
        </row>
        <row r="4715">
          <cell r="A4715" t="str">
            <v>clstdai-sof-sdai-p30-sn0625</v>
          </cell>
          <cell r="B4715" t="str">
            <v>Soflens</v>
          </cell>
        </row>
        <row r="4716">
          <cell r="A4716" t="str">
            <v>sm50404-30s-000223-0404-54</v>
          </cell>
          <cell r="B4716" t="str">
            <v>30Sunday</v>
          </cell>
        </row>
        <row r="4717">
          <cell r="A4717" t="str">
            <v>clstdai-btr-oned-p90-sn0025</v>
          </cell>
          <cell r="B4717" t="str">
            <v>Biotrue</v>
          </cell>
        </row>
        <row r="4718">
          <cell r="A4718" t="str">
            <v>clstbiw-acu-oasy-p06-sp0575</v>
          </cell>
          <cell r="B4718" t="str">
            <v>Acuvue</v>
          </cell>
        </row>
        <row r="4719">
          <cell r="A4719" t="str">
            <v>sw41207-bla-000275-1207-54</v>
          </cell>
          <cell r="B4719" t="str">
            <v>BlackOut</v>
          </cell>
        </row>
        <row r="4720">
          <cell r="A4720" t="str">
            <v>clstdai-acu-dfvi-p60-sn0375</v>
          </cell>
          <cell r="B4720" t="str">
            <v>Acuvue</v>
          </cell>
        </row>
        <row r="4721">
          <cell r="A4721" t="str">
            <v>clstdai-lay-cont-p90-dazzle-brown-sn0450</v>
          </cell>
          <cell r="B4721" t="str">
            <v>Layala</v>
          </cell>
        </row>
        <row r="4722">
          <cell r="A4722" t="str">
            <v>clstdai-acu-dfrb-p30-sn0100</v>
          </cell>
          <cell r="B4722" t="str">
            <v>Acuvue</v>
          </cell>
        </row>
        <row r="4723">
          <cell r="A4723" t="str">
            <v>sm40407-30s-000299-0407p-53</v>
          </cell>
          <cell r="B4723" t="str">
            <v>30Sunday</v>
          </cell>
        </row>
        <row r="4724">
          <cell r="A4724" t="str">
            <v>cost3mo-lay-2023-p02-selene-green-sn0400</v>
          </cell>
          <cell r="B4724" t="str">
            <v>Layala</v>
          </cell>
        </row>
        <row r="4725">
          <cell r="A4725" t="str">
            <v>costdai-acu-dffr-p10-honey-sn0600</v>
          </cell>
          <cell r="B4725" t="str">
            <v>Acuvue</v>
          </cell>
        </row>
        <row r="4726">
          <cell r="A4726" t="str">
            <v>sw51404-30s-000294-1404-52</v>
          </cell>
          <cell r="B4726" t="str">
            <v>30Sunday</v>
          </cell>
        </row>
        <row r="4727">
          <cell r="A4727" t="str">
            <v>clstdai-dai-tot1-p90-sp0525</v>
          </cell>
          <cell r="B4727" t="str">
            <v>Dailies</v>
          </cell>
        </row>
        <row r="4728">
          <cell r="A4728" t="str">
            <v>clstdai-lay-cont-p10-dazzle-brown-sn0175</v>
          </cell>
          <cell r="B4728" t="str">
            <v>Layala</v>
          </cell>
        </row>
        <row r="4729">
          <cell r="A4729" t="str">
            <v>su10404-bla-000270-0404-55</v>
          </cell>
          <cell r="B4729" t="str">
            <v>BlackOut</v>
          </cell>
        </row>
        <row r="4730">
          <cell r="A4730" t="str">
            <v>sw30404-30s-000257-0404-52</v>
          </cell>
          <cell r="B4730" t="str">
            <v>30Sunday</v>
          </cell>
        </row>
        <row r="4731">
          <cell r="A4731" t="str">
            <v>cltodai-acu-mois-p30-sn0525-cn0075-a020</v>
          </cell>
          <cell r="B4731" t="str">
            <v>Acuvue</v>
          </cell>
        </row>
        <row r="4732">
          <cell r="A4732" t="str">
            <v>cost3mo-lay-2022-p02-crescent-gray-sn0100</v>
          </cell>
          <cell r="B4732" t="str">
            <v>Layala</v>
          </cell>
        </row>
        <row r="4733">
          <cell r="A4733" t="str">
            <v>clstdai-acu-dfrb-p60-sn0175</v>
          </cell>
          <cell r="B4733" t="str">
            <v>Acuvue</v>
          </cell>
        </row>
        <row r="4734">
          <cell r="A4734" t="str">
            <v>costdai-acu-dffr-p10-green-sn0225</v>
          </cell>
          <cell r="B4734" t="str">
            <v>Acuvue</v>
          </cell>
        </row>
        <row r="4735">
          <cell r="A4735" t="str">
            <v>clstdai-acu-mois-p30-sn0375</v>
          </cell>
          <cell r="B4735" t="str">
            <v>Acuvue</v>
          </cell>
        </row>
        <row r="4736">
          <cell r="A4736" t="str">
            <v>costdai-acu-dffr-p30-hazel-sn0350</v>
          </cell>
          <cell r="B4736" t="str">
            <v>Acuvue</v>
          </cell>
        </row>
        <row r="4737">
          <cell r="A4737" t="str">
            <v>clstdai-btr-oned-p30-sn0125</v>
          </cell>
          <cell r="B4737" t="str">
            <v>Biotrue</v>
          </cell>
        </row>
        <row r="4738">
          <cell r="A4738" t="str">
            <v>cost3mo-lay-2021-p02-willow-green-sn0600</v>
          </cell>
          <cell r="B4738" t="str">
            <v>Layala</v>
          </cell>
        </row>
        <row r="4739">
          <cell r="A4739" t="str">
            <v>cost3mo-lay-2022-p02-avena-brown-sn0100</v>
          </cell>
          <cell r="B4739" t="str">
            <v>Layala</v>
          </cell>
        </row>
        <row r="4740">
          <cell r="A4740" t="str">
            <v>clstdai-acu-dfvi-p60-sp0000</v>
          </cell>
          <cell r="B4740" t="str">
            <v>Acuvue</v>
          </cell>
        </row>
        <row r="4741">
          <cell r="A4741" t="str">
            <v>fw30418-spc-000810-0418-58</v>
          </cell>
          <cell r="B4741" t="str">
            <v>Spectus</v>
          </cell>
        </row>
        <row r="4742">
          <cell r="A4742" t="str">
            <v>sacchan-30s-chain115-blu-kali-navy-blue</v>
          </cell>
          <cell r="B4742" t="str">
            <v>30Sunday</v>
          </cell>
        </row>
        <row r="4743">
          <cell r="A4743" t="str">
            <v>costmon-ama-2022-p02-tan-sn0050</v>
          </cell>
          <cell r="B4743" t="str">
            <v>Amara</v>
          </cell>
        </row>
        <row r="4744">
          <cell r="A4744" t="str">
            <v>clstdai-acu-oasy-p90-sn0250</v>
          </cell>
          <cell r="B4744" t="str">
            <v>Acuvue</v>
          </cell>
        </row>
        <row r="4745">
          <cell r="A4745" t="str">
            <v>sw32404-bla-000255-2404-52</v>
          </cell>
          <cell r="B4745" t="str">
            <v>BlackOut</v>
          </cell>
        </row>
        <row r="4746">
          <cell r="A4746" t="str">
            <v>cost3mo-lay-2020-p02-ash-gray-sn0600</v>
          </cell>
          <cell r="B4746" t="str">
            <v>Layala</v>
          </cell>
        </row>
        <row r="4747">
          <cell r="A4747" t="str">
            <v>clstmon-eve-prom-p06-sn1000</v>
          </cell>
          <cell r="B4747" t="str">
            <v>Everva</v>
          </cell>
        </row>
        <row r="4748">
          <cell r="A4748" t="str">
            <v>clstbiw-acu-0002-p06-sp0700</v>
          </cell>
          <cell r="B4748" t="str">
            <v>Acuvue</v>
          </cell>
        </row>
        <row r="4749">
          <cell r="A4749" t="str">
            <v>sw30107-30s-000239-0101-53</v>
          </cell>
          <cell r="B4749" t="str">
            <v>30Sunday</v>
          </cell>
        </row>
        <row r="4750">
          <cell r="A4750" t="str">
            <v>su41707-rov-8203-13-14-58</v>
          </cell>
          <cell r="B4750" t="str">
            <v>Roav</v>
          </cell>
        </row>
        <row r="4751">
          <cell r="A4751" t="str">
            <v>clstdai-acu-omax-p90-sn0800</v>
          </cell>
          <cell r="B4751" t="str">
            <v>Acuvue</v>
          </cell>
        </row>
        <row r="4752">
          <cell r="A4752" t="str">
            <v>clstdai-eve-pure-p30-sn0250</v>
          </cell>
          <cell r="B4752" t="str">
            <v>Everva</v>
          </cell>
        </row>
        <row r="4753">
          <cell r="A4753" t="str">
            <v>fw72318-spc-000506-2300-50</v>
          </cell>
          <cell r="B4753" t="str">
            <v>Spectus</v>
          </cell>
        </row>
        <row r="4754">
          <cell r="A4754" t="str">
            <v>su50504-bla-000103-2904-58</v>
          </cell>
          <cell r="B4754" t="str">
            <v>BlackOut</v>
          </cell>
        </row>
        <row r="4755">
          <cell r="A4755" t="str">
            <v>cost3mo-lay-lens-p02-crystal-brown-sn0225</v>
          </cell>
          <cell r="B4755" t="str">
            <v>Layala</v>
          </cell>
        </row>
        <row r="4756">
          <cell r="A4756" t="str">
            <v>costdai-ama-dail-p10-honey-sn0525</v>
          </cell>
          <cell r="B4756" t="str">
            <v>Amara</v>
          </cell>
        </row>
        <row r="4757">
          <cell r="A4757" t="str">
            <v>clstdai-acu-dfvi-p60-sn0650</v>
          </cell>
          <cell r="B4757" t="str">
            <v>Acuvue</v>
          </cell>
        </row>
        <row r="4758">
          <cell r="A4758" t="str">
            <v>clstdai-dai-tot1-p30-sn0525</v>
          </cell>
          <cell r="B4758" t="str">
            <v>Dailies</v>
          </cell>
        </row>
        <row r="4759">
          <cell r="A4759" t="str">
            <v>cost3mo-lay-lens-p02-ocean-blue-sn0500</v>
          </cell>
          <cell r="B4759" t="str">
            <v>Layala</v>
          </cell>
        </row>
        <row r="4760">
          <cell r="A4760" t="str">
            <v>costmon-ama-2024-p02-nmr-sn0200</v>
          </cell>
          <cell r="B4760" t="str">
            <v>Amara</v>
          </cell>
        </row>
        <row r="4761">
          <cell r="A4761" t="str">
            <v>cost3mo-lay-2024-p02-terra-brown-sn0300</v>
          </cell>
          <cell r="B4761" t="str">
            <v>Layala</v>
          </cell>
        </row>
        <row r="4762">
          <cell r="A4762" t="str">
            <v>clstdai-dai-aqua-p90-sn0750</v>
          </cell>
          <cell r="B4762" t="str">
            <v>Dailies</v>
          </cell>
        </row>
        <row r="4763">
          <cell r="A4763" t="str">
            <v>sw50707-bla-000100-0707-62</v>
          </cell>
          <cell r="B4763" t="str">
            <v>BlackOut</v>
          </cell>
        </row>
        <row r="4764">
          <cell r="A4764" t="str">
            <v>clstdai-acu-omax-p90-sn1150</v>
          </cell>
          <cell r="B4764" t="str">
            <v>Acuvue</v>
          </cell>
        </row>
        <row r="4765">
          <cell r="A4765" t="str">
            <v>costdai-ama-dail-p10-sugar-sn0225</v>
          </cell>
          <cell r="B4765" t="str">
            <v>Amara</v>
          </cell>
        </row>
        <row r="4766">
          <cell r="A4766" t="str">
            <v>clstdai-lay-cont-p30-dazzle-black-sn0075</v>
          </cell>
          <cell r="B4766" t="str">
            <v>Layala</v>
          </cell>
        </row>
        <row r="4767">
          <cell r="A4767" t="str">
            <v>clstmon-ava-avai-p06-sn0175</v>
          </cell>
          <cell r="B4767" t="str">
            <v>Avaira</v>
          </cell>
        </row>
        <row r="4768">
          <cell r="A4768" t="str">
            <v>clstdai-acu-omax-p90-sp0100</v>
          </cell>
          <cell r="B4768" t="str">
            <v>Acuvue</v>
          </cell>
        </row>
        <row r="4769">
          <cell r="A4769" t="str">
            <v>sw50107-30s-000276-0101-53</v>
          </cell>
          <cell r="B4769" t="str">
            <v>30Sunday</v>
          </cell>
        </row>
        <row r="4770">
          <cell r="A4770" t="str">
            <v>sm12906-30s-000256-2906-57</v>
          </cell>
          <cell r="B4770" t="str">
            <v>30Sunday</v>
          </cell>
        </row>
        <row r="4771">
          <cell r="A4771" t="str">
            <v>sw30202-30s-000270-0202-53</v>
          </cell>
          <cell r="B4771" t="str">
            <v>30Sunday</v>
          </cell>
        </row>
        <row r="4772">
          <cell r="A4772" t="str">
            <v>sm21406-30s-000293-1406p-52</v>
          </cell>
          <cell r="B4772" t="str">
            <v>30Sunday</v>
          </cell>
        </row>
        <row r="4773">
          <cell r="A4773" t="str">
            <v>clstbiw-acu-0002-p12-sn0450</v>
          </cell>
          <cell r="B4773" t="str">
            <v>Acuvue</v>
          </cell>
        </row>
        <row r="4774">
          <cell r="A4774" t="str">
            <v>clstdai-eve-elit-p30-sp0450</v>
          </cell>
          <cell r="B4774" t="str">
            <v>Everva</v>
          </cell>
        </row>
        <row r="4775">
          <cell r="A4775" t="str">
            <v>clstdai-lay-cont-p30-dazzle-black-sn0850</v>
          </cell>
          <cell r="B4775" t="str">
            <v>Layala</v>
          </cell>
        </row>
        <row r="4776">
          <cell r="A4776" t="str">
            <v>cost3mo-lay-2022-p02-crescent-gray-sn0125</v>
          </cell>
          <cell r="B4776" t="str">
            <v>Layala</v>
          </cell>
        </row>
        <row r="4777">
          <cell r="A4777" t="str">
            <v>sm50104-30s-000278-0104-54</v>
          </cell>
          <cell r="B4777" t="str">
            <v>30Sunday</v>
          </cell>
        </row>
        <row r="4778">
          <cell r="A4778" t="str">
            <v>su40707-rov-8203-12-41-58</v>
          </cell>
          <cell r="B4778" t="str">
            <v>Roav</v>
          </cell>
        </row>
        <row r="4779">
          <cell r="A4779" t="str">
            <v>clstdai-eve-elit-p90-sn0575</v>
          </cell>
          <cell r="B4779" t="str">
            <v>Everva</v>
          </cell>
        </row>
        <row r="4780">
          <cell r="A4780" t="str">
            <v>clstmon-eve-prom-p06-sn0550</v>
          </cell>
          <cell r="B4780" t="str">
            <v>Everva</v>
          </cell>
        </row>
        <row r="4781">
          <cell r="A4781" t="str">
            <v>clstmon-eve-prom-p06-sn0300</v>
          </cell>
          <cell r="B4781" t="str">
            <v>Everva</v>
          </cell>
        </row>
        <row r="4782">
          <cell r="A4782" t="str">
            <v>cost3mo-lay-lens-p02-golden-brown-sn0100</v>
          </cell>
          <cell r="B4782" t="str">
            <v>Layala</v>
          </cell>
        </row>
        <row r="4783">
          <cell r="A4783" t="str">
            <v>clstdai-acu-dfrb-p30-sn0700</v>
          </cell>
          <cell r="B4783" t="str">
            <v>Acuvue</v>
          </cell>
        </row>
        <row r="4784">
          <cell r="A4784" t="str">
            <v>clstdai-sof-sdai-p90-sp0300</v>
          </cell>
          <cell r="B4784" t="str">
            <v>Soflens</v>
          </cell>
        </row>
        <row r="4785">
          <cell r="A4785" t="str">
            <v>cost3mo-cel-natu-p01-light-grey-sp0300</v>
          </cell>
          <cell r="B4785" t="str">
            <v>Celena</v>
          </cell>
        </row>
        <row r="4786">
          <cell r="A4786" t="str">
            <v>cost3mo-lay-lens-p02-ocean-blue-sn0225</v>
          </cell>
          <cell r="B4786" t="str">
            <v>Layala</v>
          </cell>
        </row>
        <row r="4787">
          <cell r="A4787" t="str">
            <v>cost3mo-lay-2022-p02-sage-gray-sn0250</v>
          </cell>
          <cell r="B4787" t="str">
            <v>Layala</v>
          </cell>
        </row>
        <row r="4788">
          <cell r="A4788" t="str">
            <v>clstdai-eve-elit-p90-sn0600</v>
          </cell>
          <cell r="B4788" t="str">
            <v>Everva</v>
          </cell>
        </row>
        <row r="4789">
          <cell r="A4789" t="str">
            <v>clstdai-acu-omax-p30-sp0100</v>
          </cell>
          <cell r="B4789" t="str">
            <v>Acuvue</v>
          </cell>
        </row>
        <row r="4790">
          <cell r="A4790" t="str">
            <v>sm12906-30s-000254-2906-54</v>
          </cell>
          <cell r="B4790" t="str">
            <v>30Sunday</v>
          </cell>
        </row>
        <row r="4791">
          <cell r="A4791" t="str">
            <v>clstbiw-acu-oasy-p18-sn0600</v>
          </cell>
          <cell r="B4791" t="str">
            <v>Acuvue</v>
          </cell>
        </row>
        <row r="4792">
          <cell r="A4792" t="str">
            <v>cltobiw-acu-oasy-p06-sn0250-cn0075-a060</v>
          </cell>
          <cell r="B4792" t="str">
            <v>Acuvue</v>
          </cell>
        </row>
        <row r="4793">
          <cell r="A4793" t="str">
            <v>bc51418-bab-000503-1418-46</v>
          </cell>
          <cell r="B4793" t="str">
            <v>Babamio</v>
          </cell>
        </row>
        <row r="4794">
          <cell r="A4794" t="str">
            <v>costdai-ama-dail-p10-shadow-sn0175</v>
          </cell>
          <cell r="B4794" t="str">
            <v>Amara</v>
          </cell>
        </row>
        <row r="4795">
          <cell r="A4795" t="str">
            <v>clstdai-sof-sdai-p30-sn0225</v>
          </cell>
          <cell r="B4795" t="str">
            <v>Soflens</v>
          </cell>
        </row>
        <row r="4796">
          <cell r="A4796" t="str">
            <v>clstdai-eve-pure-p90-Sn0550</v>
          </cell>
          <cell r="B4796" t="str">
            <v>Everva</v>
          </cell>
        </row>
        <row r="4797">
          <cell r="A4797" t="str">
            <v>cost3mo-lay-2021-p02-skye-blue-sn0275</v>
          </cell>
          <cell r="B4797" t="str">
            <v>Layala</v>
          </cell>
        </row>
        <row r="4798">
          <cell r="A4798" t="str">
            <v>cltobiw-acu-oasy-p06-sn0700-cn0075-a020</v>
          </cell>
          <cell r="B4798" t="str">
            <v>Acuvue</v>
          </cell>
        </row>
        <row r="4799">
          <cell r="A4799" t="str">
            <v>cost3mo-lay-lens-p02-forest-green-sn0400</v>
          </cell>
          <cell r="B4799" t="str">
            <v>Layala</v>
          </cell>
        </row>
        <row r="4800">
          <cell r="A4800" t="str">
            <v>sw30202-30s-000122-0202-54</v>
          </cell>
          <cell r="B4800" t="str">
            <v>30Sunday</v>
          </cell>
        </row>
        <row r="4801">
          <cell r="A4801" t="str">
            <v>sw50102-30s-000244-0102-57</v>
          </cell>
          <cell r="B4801" t="str">
            <v>30Sunday</v>
          </cell>
        </row>
        <row r="4802">
          <cell r="A4802" t="str">
            <v>fu60518-spc-000528-0500-51</v>
          </cell>
          <cell r="B4802" t="str">
            <v>Spectus</v>
          </cell>
        </row>
        <row r="4803">
          <cell r="A4803" t="str">
            <v>cost3mo-lay-2023-p02-sable-brown-sn0125</v>
          </cell>
          <cell r="B4803" t="str">
            <v>Layala</v>
          </cell>
        </row>
        <row r="4804">
          <cell r="A4804" t="str">
            <v>sw102904-30s-000454-2904-54</v>
          </cell>
          <cell r="B4804" t="str">
            <v>30Sunday</v>
          </cell>
        </row>
        <row r="4805">
          <cell r="A4805" t="str">
            <v>sw51304-bla-000234-1304-51</v>
          </cell>
          <cell r="B4805" t="str">
            <v>BlackOut</v>
          </cell>
        </row>
        <row r="4806">
          <cell r="A4806" t="str">
            <v>costdai-ama-dail-p10-honey-sn0225</v>
          </cell>
          <cell r="B4806" t="str">
            <v>Amara</v>
          </cell>
        </row>
        <row r="4807">
          <cell r="A4807" t="str">
            <v>sunglasses-30Sundays-30s-000451-0202</v>
          </cell>
          <cell r="B4807" t="str">
            <v>30Sunday</v>
          </cell>
        </row>
        <row r="4808">
          <cell r="A4808" t="str">
            <v>cost3mo-lay-2022-p02-royal-green-sn0175</v>
          </cell>
          <cell r="B4808" t="str">
            <v>Layala</v>
          </cell>
        </row>
        <row r="4809">
          <cell r="A4809" t="str">
            <v>fm100718-spc-000859-0718-52</v>
          </cell>
          <cell r="B4809" t="str">
            <v>Spectus</v>
          </cell>
        </row>
        <row r="4810">
          <cell r="A4810" t="str">
            <v>clstmon-eve-prom-p06-sn0150</v>
          </cell>
          <cell r="B4810" t="str">
            <v>Everva</v>
          </cell>
        </row>
        <row r="4811">
          <cell r="A4811" t="str">
            <v>costmon-ama-lens-p02-dark-sepia-sn0275</v>
          </cell>
          <cell r="B4811" t="str">
            <v>Amara</v>
          </cell>
        </row>
        <row r="4812">
          <cell r="A4812" t="str">
            <v>cost3mo-lay-lens-p02-chestnut-brown-sn0350</v>
          </cell>
          <cell r="B4812" t="str">
            <v>Layala</v>
          </cell>
        </row>
        <row r="4813">
          <cell r="A4813" t="str">
            <v>sw70107-bla-000240-0101-42</v>
          </cell>
          <cell r="B4813" t="str">
            <v>BlackOut</v>
          </cell>
        </row>
        <row r="4814">
          <cell r="A4814" t="str">
            <v>clstdai-eve-elit-p30-sp0025</v>
          </cell>
          <cell r="B4814" t="str">
            <v>Everva</v>
          </cell>
        </row>
        <row r="4815">
          <cell r="A4815" t="str">
            <v>clstdai-dai-tot1-p30-sn0950</v>
          </cell>
          <cell r="B4815" t="str">
            <v>Dailies</v>
          </cell>
        </row>
        <row r="4816">
          <cell r="A4816" t="str">
            <v>sw30506-bla-000230-2906-54</v>
          </cell>
          <cell r="B4816" t="str">
            <v>BlackOut</v>
          </cell>
        </row>
        <row r="4817">
          <cell r="A4817" t="str">
            <v>clstmon-eve-prom-p06-sn0400</v>
          </cell>
          <cell r="B4817" t="str">
            <v>Everva</v>
          </cell>
        </row>
        <row r="4818">
          <cell r="A4818" t="str">
            <v>sm50107-30s-000217-0107-54</v>
          </cell>
          <cell r="B4818" t="str">
            <v>30Sunday</v>
          </cell>
        </row>
        <row r="4819">
          <cell r="A4819" t="str">
            <v>cost3mo-lay-2021-p02-golden-gray-sn0250</v>
          </cell>
          <cell r="B4819" t="str">
            <v>Layala</v>
          </cell>
        </row>
        <row r="4820">
          <cell r="A4820" t="str">
            <v>clstmon-eve-prom-p06-sn0425</v>
          </cell>
          <cell r="B4820" t="str">
            <v>Everva</v>
          </cell>
        </row>
        <row r="4821">
          <cell r="A4821" t="str">
            <v>sw32302-bla-000227-2302-57</v>
          </cell>
          <cell r="B4821" t="str">
            <v>BlackOut</v>
          </cell>
        </row>
        <row r="4822">
          <cell r="A4822" t="str">
            <v>sw41504-bla-000271-1504-49</v>
          </cell>
          <cell r="B4822" t="str">
            <v>BlackOut</v>
          </cell>
        </row>
        <row r="4823">
          <cell r="A4823" t="str">
            <v>sw30404-30s-000258-0404-54</v>
          </cell>
          <cell r="B4823" t="str">
            <v>30Sunday</v>
          </cell>
        </row>
        <row r="4824">
          <cell r="A4824" t="str">
            <v>clstdai-acu-dfna-p30-sn0525</v>
          </cell>
          <cell r="B4824" t="str">
            <v>Acuvue</v>
          </cell>
        </row>
        <row r="4825">
          <cell r="A4825" t="str">
            <v>costdai-ama-dail-p10-shadow-sn0500</v>
          </cell>
          <cell r="B4825" t="str">
            <v>Amara</v>
          </cell>
        </row>
        <row r="4826">
          <cell r="A4826" t="str">
            <v>sw102307-bla-000325-2307-56</v>
          </cell>
          <cell r="B4826" t="str">
            <v>BlackOut</v>
          </cell>
        </row>
        <row r="4827">
          <cell r="A4827" t="str">
            <v>sw100707-bla-000274-0701-55</v>
          </cell>
          <cell r="B4827" t="str">
            <v>BlackOut</v>
          </cell>
        </row>
        <row r="4828">
          <cell r="A4828" t="str">
            <v>sw30106-30s-000272-0106-49</v>
          </cell>
          <cell r="B4828" t="str">
            <v>30Sunday</v>
          </cell>
        </row>
        <row r="4829">
          <cell r="A4829" t="str">
            <v>sm10702-30s-000460-0702-58</v>
          </cell>
          <cell r="B4829" t="str">
            <v>30Sunday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58"/>
  <sheetViews>
    <sheetView tabSelected="1" workbookViewId="0">
      <pane ySplit="1" topLeftCell="A4841" activePane="bottomLeft" state="frozen"/>
      <selection pane="bottomLeft" activeCell="J4842" sqref="J4842"/>
    </sheetView>
  </sheetViews>
  <sheetFormatPr baseColWidth="8" defaultRowHeight="14.5"/>
  <cols>
    <col width="13.6328125" bestFit="1" customWidth="1" min="1" max="1"/>
    <col width="42.90625" bestFit="1" customWidth="1" min="2" max="2"/>
    <col width="19.54296875" bestFit="1" customWidth="1" min="3" max="4"/>
    <col width="13.90625" bestFit="1" customWidth="1" min="6" max="6"/>
    <col width="8.7265625" customWidth="1" style="8" min="8" max="8"/>
    <col width="8.7265625" customWidth="1" style="15" min="9" max="9"/>
  </cols>
  <sheetData>
    <row r="1" ht="13" customFormat="1" customHeight="1" s="1">
      <c r="A1" s="5" t="inlineStr">
        <is>
          <t>id_partner</t>
        </is>
      </c>
      <c r="B1" s="5" t="inlineStr">
        <is>
          <t>partner_sku</t>
        </is>
      </c>
      <c r="C1" s="5" t="inlineStr">
        <is>
          <t>noon_warehouse_code</t>
        </is>
      </c>
      <c r="D1" s="5" t="inlineStr">
        <is>
          <t>stock_gross</t>
        </is>
      </c>
      <c r="F1" s="3" t="inlineStr">
        <is>
          <t>Current Stock</t>
        </is>
      </c>
      <c r="H1" s="13" t="n"/>
      <c r="I1" s="14" t="n"/>
    </row>
    <row r="2">
      <c r="A2" s="4" t="n">
        <v>33834</v>
      </c>
      <c r="B2" s="4" t="inlineStr">
        <is>
          <t>clstmon-eve-prom-p01-sn1000</t>
        </is>
      </c>
      <c r="C2" s="4" t="inlineStr">
        <is>
          <t>W00031886A</t>
        </is>
      </c>
      <c r="D2" s="6">
        <f>IF(F2&gt;=5, F2-5, IF(F2&lt;5, 0, F2))</f>
        <v/>
      </c>
      <c r="E2">
        <f>VLOOKUP(B2,[1]Namshi!$A:$B,2,0)</f>
        <v/>
      </c>
      <c r="F2" s="4">
        <f>SUMIFS('Dubai Stock'!I:I,'Dubai Stock'!H:H,Final_UAE!B:B)</f>
        <v/>
      </c>
      <c r="G2" s="1" t="n"/>
      <c r="H2" s="8" t="e">
        <v>#N/A</v>
      </c>
    </row>
    <row r="3">
      <c r="A3" s="4" t="n">
        <v>33834</v>
      </c>
      <c r="B3" s="4" t="inlineStr">
        <is>
          <t>sw100107-30s-000401-0107-55</t>
        </is>
      </c>
      <c r="C3" s="4" t="inlineStr">
        <is>
          <t>W00031886A</t>
        </is>
      </c>
      <c r="D3" s="6">
        <f>IF(F3&gt;=5, F3-5, IF(F3&lt;5, 0, F3))</f>
        <v/>
      </c>
      <c r="E3">
        <f>VLOOKUP(B3,[1]Namshi!$A:$B,2,0)</f>
        <v/>
      </c>
      <c r="F3" s="4">
        <f>SUMIFS('Dubai Stock'!I:I,'Dubai Stock'!H:H,Final_UAE!B:B)</f>
        <v/>
      </c>
      <c r="H3" s="8" t="e">
        <v>#N/A</v>
      </c>
    </row>
    <row r="4">
      <c r="A4" s="4" t="n">
        <v>33834</v>
      </c>
      <c r="B4" s="4" t="inlineStr">
        <is>
          <t>sc50207-bab-000542-0207-45</t>
        </is>
      </c>
      <c r="C4" s="4" t="inlineStr">
        <is>
          <t>W00031886A</t>
        </is>
      </c>
      <c r="D4" s="6">
        <f>IF(F4&gt;=5, F4-5, IF(F4&lt;5, 0, F4))</f>
        <v/>
      </c>
      <c r="E4">
        <f>VLOOKUP(B4,[1]Namshi!$A:$B,2,0)</f>
        <v/>
      </c>
      <c r="F4" s="4">
        <f>SUMIFS('Dubai Stock'!I:I,'Dubai Stock'!H:H,Final_UAE!B:B)</f>
        <v/>
      </c>
      <c r="H4" s="8" t="e">
        <v>#N/A</v>
      </c>
    </row>
    <row r="5">
      <c r="A5" s="4" t="n">
        <v>33834</v>
      </c>
      <c r="B5" s="4" t="inlineStr">
        <is>
          <t>sw100404-30s-000415-0404-54</t>
        </is>
      </c>
      <c r="C5" s="4" t="inlineStr">
        <is>
          <t>W00031886A</t>
        </is>
      </c>
      <c r="D5" s="6">
        <f>IF(F5&gt;=5, F5-5, IF(F5&lt;5, 0, F5))</f>
        <v/>
      </c>
      <c r="E5">
        <f>VLOOKUP(B5,[1]Namshi!$A:$B,2,0)</f>
        <v/>
      </c>
      <c r="F5" s="4">
        <f>SUMIFS('Dubai Stock'!I:I,'Dubai Stock'!H:H,Final_UAE!B:B)</f>
        <v/>
      </c>
      <c r="H5" s="8" t="e">
        <v>#N/A</v>
      </c>
    </row>
    <row r="6">
      <c r="A6" s="4" t="n">
        <v>33834</v>
      </c>
      <c r="B6" s="4" t="inlineStr">
        <is>
          <t>su42907-30s-000463-2907-53</t>
        </is>
      </c>
      <c r="C6" s="4" t="inlineStr">
        <is>
          <t>W00031886A</t>
        </is>
      </c>
      <c r="D6" s="6">
        <f>IF(F6&gt;=5, F6-5, IF(F6&lt;5, 0, F6))</f>
        <v/>
      </c>
      <c r="E6">
        <f>VLOOKUP(B6,[1]Namshi!$A:$B,2,0)</f>
        <v/>
      </c>
      <c r="F6" s="4">
        <f>SUMIFS('Dubai Stock'!I:I,'Dubai Stock'!H:H,Final_UAE!B:B)</f>
        <v/>
      </c>
      <c r="H6" s="8" t="e">
        <v>#N/A</v>
      </c>
    </row>
    <row r="7">
      <c r="A7" s="4" t="n">
        <v>33834</v>
      </c>
      <c r="B7" s="4" t="inlineStr">
        <is>
          <t>sc50202-bab-000524-0202d-46</t>
        </is>
      </c>
      <c r="C7" s="4" t="inlineStr">
        <is>
          <t>W00031886A</t>
        </is>
      </c>
      <c r="D7" s="6">
        <f>IF(F7&gt;=5, F7-5, IF(F7&lt;5, 0, F7))</f>
        <v/>
      </c>
      <c r="E7">
        <f>VLOOKUP(B7,[1]Namshi!$A:$B,2,0)</f>
        <v/>
      </c>
      <c r="F7" s="4">
        <f>SUMIFS('Dubai Stock'!I:I,'Dubai Stock'!H:H,Final_UAE!B:B)</f>
        <v/>
      </c>
      <c r="H7" s="8" t="e">
        <v>#N/A</v>
      </c>
    </row>
    <row r="8">
      <c r="A8" s="4" t="n">
        <v>33834</v>
      </c>
      <c r="B8" s="4" t="inlineStr">
        <is>
          <t>sm52502-30s-000205-0202-55</t>
        </is>
      </c>
      <c r="C8" s="4" t="inlineStr">
        <is>
          <t>W00031886A</t>
        </is>
      </c>
      <c r="D8" s="6">
        <f>IF(F8&gt;=5, F8-5, IF(F8&lt;5, 0, F8))</f>
        <v/>
      </c>
      <c r="E8">
        <f>VLOOKUP(B8,[1]Namshi!$A:$B,2,0)</f>
        <v/>
      </c>
      <c r="F8" s="4">
        <f>SUMIFS('Dubai Stock'!I:I,'Dubai Stock'!H:H,Final_UAE!B:B)</f>
        <v/>
      </c>
      <c r="H8" s="8" t="e">
        <v>#N/A</v>
      </c>
    </row>
    <row r="9">
      <c r="A9" s="4" t="n">
        <v>33834</v>
      </c>
      <c r="B9" s="4" t="inlineStr">
        <is>
          <t>sm102906-30s-000464-2906-53</t>
        </is>
      </c>
      <c r="C9" s="4" t="inlineStr">
        <is>
          <t>W00031886A</t>
        </is>
      </c>
      <c r="D9" s="6">
        <f>IF(F9&gt;=5, F9-5, IF(F9&lt;5, 0, F9))</f>
        <v/>
      </c>
      <c r="E9">
        <f>VLOOKUP(B9,[1]Namshi!$A:$B,2,0)</f>
        <v/>
      </c>
      <c r="F9" s="4">
        <f>SUMIFS('Dubai Stock'!I:I,'Dubai Stock'!H:H,Final_UAE!B:B)</f>
        <v/>
      </c>
      <c r="H9" s="8" t="e">
        <v>#N/A</v>
      </c>
    </row>
    <row r="10">
      <c r="A10" s="4" t="n">
        <v>33834</v>
      </c>
      <c r="B10" s="4" t="inlineStr">
        <is>
          <t>sc40202-bab-000519-0202d-51</t>
        </is>
      </c>
      <c r="C10" s="4" t="inlineStr">
        <is>
          <t>W00031886A</t>
        </is>
      </c>
      <c r="D10" s="6">
        <f>IF(F10&gt;=5, F10-5, IF(F10&lt;5, 0, F10))</f>
        <v/>
      </c>
      <c r="E10">
        <f>VLOOKUP(B10,[1]Namshi!$A:$B,2,0)</f>
        <v/>
      </c>
      <c r="F10" s="4">
        <f>SUMIFS('Dubai Stock'!I:I,'Dubai Stock'!H:H,Final_UAE!B:B)</f>
        <v/>
      </c>
      <c r="H10" s="8" t="e">
        <v>#N/A</v>
      </c>
    </row>
    <row r="11">
      <c r="A11" s="4" t="n">
        <v>33834</v>
      </c>
      <c r="B11" s="4" t="inlineStr">
        <is>
          <t>clstdai-eve-pure-p05-sn0400</t>
        </is>
      </c>
      <c r="C11" s="4" t="inlineStr">
        <is>
          <t>W00031886A</t>
        </is>
      </c>
      <c r="D11" s="6">
        <f>IF(F11&gt;=5, F11-5, IF(F11&lt;5, 0, F11))</f>
        <v/>
      </c>
      <c r="E11">
        <f>VLOOKUP(B11,[1]Namshi!$A:$B,2,0)</f>
        <v/>
      </c>
      <c r="F11" s="4">
        <f>SUMIFS('Dubai Stock'!I:I,'Dubai Stock'!H:H,Final_UAE!B:B)</f>
        <v/>
      </c>
      <c r="H11" s="8" t="e">
        <v>#N/A</v>
      </c>
      <c r="I11" s="8" t="n"/>
    </row>
    <row r="12">
      <c r="A12" s="4" t="n">
        <v>33834</v>
      </c>
      <c r="B12" s="4" t="inlineStr">
        <is>
          <t>fc40118-bab-000546-0118-47</t>
        </is>
      </c>
      <c r="C12" s="4" t="inlineStr">
        <is>
          <t>W00031886A</t>
        </is>
      </c>
      <c r="D12" s="6">
        <f>IF(F12&gt;=5, F12-5, IF(F12&lt;5, 0, F12))</f>
        <v/>
      </c>
      <c r="E12">
        <f>VLOOKUP(B12,[1]Namshi!$A:$B,2,0)</f>
        <v/>
      </c>
      <c r="F12" s="4">
        <f>SUMIFS('Dubai Stock'!I:I,'Dubai Stock'!H:H,Final_UAE!B:B)</f>
        <v/>
      </c>
      <c r="H12" s="8" t="e">
        <v>#N/A</v>
      </c>
      <c r="I12" s="8" t="n"/>
    </row>
    <row r="13">
      <c r="A13" s="4" t="n">
        <v>33834</v>
      </c>
      <c r="B13" s="4" t="inlineStr">
        <is>
          <t>clstmon-eve-prom-p01-sn0850</t>
        </is>
      </c>
      <c r="C13" s="4" t="inlineStr">
        <is>
          <t>W00031886A</t>
        </is>
      </c>
      <c r="D13" s="6">
        <f>IF(F13&gt;=5, F13-5, IF(F13&lt;5, 0, F13))</f>
        <v/>
      </c>
      <c r="E13">
        <f>VLOOKUP(B13,[1]Namshi!$A:$B,2,0)</f>
        <v/>
      </c>
      <c r="F13" s="4">
        <f>SUMIFS('Dubai Stock'!I:I,'Dubai Stock'!H:H,Final_UAE!B:B)</f>
        <v/>
      </c>
      <c r="H13" s="8" t="e">
        <v>#N/A</v>
      </c>
      <c r="I13" s="8" t="n"/>
    </row>
    <row r="14">
      <c r="A14" s="4" t="n">
        <v>33834</v>
      </c>
      <c r="B14" s="4" t="inlineStr">
        <is>
          <t>clstdai-eve-pure-p30-sp0400</t>
        </is>
      </c>
      <c r="C14" s="4" t="inlineStr">
        <is>
          <t>W00031886A</t>
        </is>
      </c>
      <c r="D14" s="6">
        <f>IF(F14&gt;=5, F14-5, IF(F14&lt;5, 0, F14))</f>
        <v/>
      </c>
      <c r="E14">
        <f>VLOOKUP(B14,[1]Namshi!$A:$B,2,0)</f>
        <v/>
      </c>
      <c r="F14" s="4">
        <f>SUMIFS('Dubai Stock'!I:I,'Dubai Stock'!H:H,Final_UAE!B:B)</f>
        <v/>
      </c>
      <c r="H14" s="8" t="n">
        <v>186</v>
      </c>
      <c r="I14" s="8" t="n">
        <v>104.3</v>
      </c>
    </row>
    <row r="15">
      <c r="A15" s="4" t="n">
        <v>33834</v>
      </c>
      <c r="B15" s="4" t="inlineStr">
        <is>
          <t>sc40606-bab-000504-0606-51</t>
        </is>
      </c>
      <c r="C15" s="4" t="inlineStr">
        <is>
          <t>W00031886A</t>
        </is>
      </c>
      <c r="D15" s="6">
        <f>IF(F15&gt;=5, F15-5, IF(F15&lt;5, 0, F15))</f>
        <v/>
      </c>
      <c r="E15">
        <f>VLOOKUP(B15,[1]Namshi!$A:$B,2,0)</f>
        <v/>
      </c>
      <c r="F15" s="4">
        <f>SUMIFS('Dubai Stock'!I:I,'Dubai Stock'!H:H,Final_UAE!B:B)</f>
        <v/>
      </c>
      <c r="H15" s="8" t="e">
        <v>#N/A</v>
      </c>
    </row>
    <row r="16">
      <c r="A16" s="4" t="n">
        <v>33834</v>
      </c>
      <c r="B16" s="4" t="inlineStr">
        <is>
          <t>sc20907-bab-000517-0907d-43</t>
        </is>
      </c>
      <c r="C16" s="4" t="inlineStr">
        <is>
          <t>W00031886A</t>
        </is>
      </c>
      <c r="D16" s="6">
        <f>IF(F16&gt;=5, F16-5, IF(F16&lt;5, 0, F16))</f>
        <v/>
      </c>
      <c r="E16">
        <f>VLOOKUP(B16,[1]Namshi!$A:$B,2,0)</f>
        <v/>
      </c>
      <c r="F16" s="4">
        <f>SUMIFS('Dubai Stock'!I:I,'Dubai Stock'!H:H,Final_UAE!B:B)</f>
        <v/>
      </c>
      <c r="H16" s="8" t="e">
        <v>#N/A</v>
      </c>
    </row>
    <row r="17">
      <c r="A17" s="4" t="n">
        <v>33834</v>
      </c>
      <c r="B17" s="4" t="inlineStr">
        <is>
          <t>clstdai-lay-cont-p90-dazzle-black-sp0000</t>
        </is>
      </c>
      <c r="C17" s="4" t="inlineStr">
        <is>
          <t>W00031886A</t>
        </is>
      </c>
      <c r="D17" s="6">
        <f>IF(F17&gt;=5, F17-5, IF(F17&lt;5, 0, F17))</f>
        <v/>
      </c>
      <c r="E17">
        <f>VLOOKUP(B17,[1]Namshi!$A:$B,2,0)</f>
        <v/>
      </c>
      <c r="F17" s="4">
        <f>SUMIFS('Dubai Stock'!I:I,'Dubai Stock'!H:H,Final_UAE!B:B)</f>
        <v/>
      </c>
      <c r="H17" s="8" t="e">
        <v>#N/A</v>
      </c>
      <c r="I17" s="8" t="n"/>
    </row>
    <row r="18">
      <c r="A18" s="4" t="n">
        <v>33834</v>
      </c>
      <c r="B18" s="4" t="inlineStr">
        <is>
          <t>sw102304-30s-000415-2304-54</t>
        </is>
      </c>
      <c r="C18" s="4" t="inlineStr">
        <is>
          <t>W00031886A</t>
        </is>
      </c>
      <c r="D18" s="6">
        <f>IF(F18&gt;=5, F18-5, IF(F18&lt;5, 0, F18))</f>
        <v/>
      </c>
      <c r="E18">
        <f>VLOOKUP(B18,[1]Namshi!$A:$B,2,0)</f>
        <v/>
      </c>
      <c r="F18" s="4">
        <f>SUMIFS('Dubai Stock'!I:I,'Dubai Stock'!H:H,Final_UAE!B:B)</f>
        <v/>
      </c>
      <c r="H18" s="8" t="e">
        <v>#N/A</v>
      </c>
    </row>
    <row r="19">
      <c r="A19" s="4" t="n">
        <v>33834</v>
      </c>
      <c r="B19" s="4" t="inlineStr">
        <is>
          <t>sm51406-30s-000466-1406-52</t>
        </is>
      </c>
      <c r="C19" s="4" t="inlineStr">
        <is>
          <t>W00031886A</t>
        </is>
      </c>
      <c r="D19" s="6">
        <f>IF(F19&gt;=5, F19-5, IF(F19&lt;5, 0, F19))</f>
        <v/>
      </c>
      <c r="E19">
        <f>VLOOKUP(B19,[1]Namshi!$A:$B,2,0)</f>
        <v/>
      </c>
      <c r="F19" s="4">
        <f>SUMIFS('Dubai Stock'!I:I,'Dubai Stock'!H:H,Final_UAE!B:B)</f>
        <v/>
      </c>
      <c r="H19" s="8" t="e">
        <v>#N/A</v>
      </c>
    </row>
    <row r="20">
      <c r="A20" s="4" t="n">
        <v>33834</v>
      </c>
      <c r="B20" s="4" t="inlineStr">
        <is>
          <t>clstmon-eve-prom-p01-sn0125</t>
        </is>
      </c>
      <c r="C20" s="4" t="inlineStr">
        <is>
          <t>W00031886A</t>
        </is>
      </c>
      <c r="D20" s="6">
        <f>IF(F20&gt;=5, F20-5, IF(F20&lt;5, 0, F20))</f>
        <v/>
      </c>
      <c r="E20">
        <f>VLOOKUP(B20,[1]Namshi!$A:$B,2,0)</f>
        <v/>
      </c>
      <c r="F20" s="4">
        <f>SUMIFS('Dubai Stock'!I:I,'Dubai Stock'!H:H,Final_UAE!B:B)</f>
        <v/>
      </c>
      <c r="H20" s="8" t="e">
        <v>#N/A</v>
      </c>
      <c r="I20" s="8" t="n"/>
    </row>
    <row r="21">
      <c r="A21" s="4" t="n">
        <v>33834</v>
      </c>
      <c r="B21" s="4" t="inlineStr">
        <is>
          <t>su20107-30s-000461-0107-54</t>
        </is>
      </c>
      <c r="C21" s="4" t="inlineStr">
        <is>
          <t>W00031886A</t>
        </is>
      </c>
      <c r="D21" s="6">
        <f>IF(F21&gt;=5, F21-5, IF(F21&lt;5, 0, F21))</f>
        <v/>
      </c>
      <c r="E21">
        <f>VLOOKUP(B21,[1]Namshi!$A:$B,2,0)</f>
        <v/>
      </c>
      <c r="F21" s="4">
        <f>SUMIFS('Dubai Stock'!I:I,'Dubai Stock'!H:H,Final_UAE!B:B)</f>
        <v/>
      </c>
      <c r="H21" s="8" t="e">
        <v>#N/A</v>
      </c>
    </row>
    <row r="22">
      <c r="A22" s="4" t="n">
        <v>33834</v>
      </c>
      <c r="B22" s="4" t="inlineStr">
        <is>
          <t>sc20607-bab-000526-0607-43</t>
        </is>
      </c>
      <c r="C22" s="4" t="inlineStr">
        <is>
          <t>W00031886A</t>
        </is>
      </c>
      <c r="D22" s="6">
        <f>IF(F22&gt;=5, F22-5, IF(F22&lt;5, 0, F22))</f>
        <v/>
      </c>
      <c r="E22">
        <f>VLOOKUP(B22,[1]Namshi!$A:$B,2,0)</f>
        <v/>
      </c>
      <c r="F22" s="4">
        <f>SUMIFS('Dubai Stock'!I:I,'Dubai Stock'!H:H,Final_UAE!B:B)</f>
        <v/>
      </c>
      <c r="H22" s="8" t="e">
        <v>#N/A</v>
      </c>
    </row>
    <row r="23">
      <c r="A23" s="4" t="n">
        <v>33834</v>
      </c>
      <c r="B23" s="4" t="inlineStr">
        <is>
          <t>sc30804-bab-00536-0804d-45</t>
        </is>
      </c>
      <c r="C23" s="4" t="inlineStr">
        <is>
          <t>W00031886A</t>
        </is>
      </c>
      <c r="D23" s="6">
        <f>IF(F23&gt;=5, F23-5, IF(F23&lt;5, 0, F23))</f>
        <v/>
      </c>
      <c r="E23">
        <f>VLOOKUP(B23,[1]Namshi!$A:$B,2,0)</f>
        <v/>
      </c>
      <c r="F23" s="4">
        <f>SUMIFS('Dubai Stock'!I:I,'Dubai Stock'!H:H,Final_UAE!B:B)</f>
        <v/>
      </c>
      <c r="H23" s="8" t="e">
        <v>#N/A</v>
      </c>
    </row>
    <row r="24">
      <c r="A24" s="4" t="n">
        <v>33834</v>
      </c>
      <c r="B24" s="4" t="inlineStr">
        <is>
          <t>sw30107-30s-000418-0107-52</t>
        </is>
      </c>
      <c r="C24" s="4" t="inlineStr">
        <is>
          <t>W00031886A</t>
        </is>
      </c>
      <c r="D24" s="6">
        <f>IF(F24&gt;=5, F24-5, IF(F24&lt;5, 0, F24))</f>
        <v/>
      </c>
      <c r="E24">
        <f>VLOOKUP(B24,[1]Namshi!$A:$B,2,0)</f>
        <v/>
      </c>
      <c r="F24" s="4">
        <f>SUMIFS('Dubai Stock'!I:I,'Dubai Stock'!H:H,Final_UAE!B:B)</f>
        <v/>
      </c>
      <c r="H24" s="8" t="e">
        <v>#N/A</v>
      </c>
    </row>
    <row r="25">
      <c r="A25" s="4" t="n">
        <v>33834</v>
      </c>
      <c r="B25" s="4" t="inlineStr">
        <is>
          <t>sm110107-30s-000451-0107-49</t>
        </is>
      </c>
      <c r="C25" s="4" t="inlineStr">
        <is>
          <t>W00031886A</t>
        </is>
      </c>
      <c r="D25" s="6">
        <f>IF(F25&gt;=5, F25-5, IF(F25&lt;5, 0, F25))</f>
        <v/>
      </c>
      <c r="E25">
        <f>VLOOKUP(B25,[1]Namshi!$A:$B,2,0)</f>
        <v/>
      </c>
      <c r="F25" s="4">
        <f>SUMIFS('Dubai Stock'!I:I,'Dubai Stock'!H:H,Final_UAE!B:B)</f>
        <v/>
      </c>
      <c r="H25" s="8" t="e">
        <v>#N/A</v>
      </c>
    </row>
    <row r="26">
      <c r="A26" s="4" t="n">
        <v>33834</v>
      </c>
      <c r="B26" s="4" t="inlineStr">
        <is>
          <t>sc51407-bab-00537-1407d-46</t>
        </is>
      </c>
      <c r="C26" s="4" t="inlineStr">
        <is>
          <t>W00031886A</t>
        </is>
      </c>
      <c r="D26" s="6">
        <f>IF(F26&gt;=5, F26-5, IF(F26&lt;5, 0, F26))</f>
        <v/>
      </c>
      <c r="E26">
        <f>VLOOKUP(B26,[1]Namshi!$A:$B,2,0)</f>
        <v/>
      </c>
      <c r="F26" s="4">
        <f>SUMIFS('Dubai Stock'!I:I,'Dubai Stock'!H:H,Final_UAE!B:B)</f>
        <v/>
      </c>
      <c r="H26" s="8" t="e">
        <v>#N/A</v>
      </c>
    </row>
    <row r="27">
      <c r="A27" s="4" t="n">
        <v>33834</v>
      </c>
      <c r="B27" s="4" t="inlineStr">
        <is>
          <t>sm40106-30s-000409-0106p-56</t>
        </is>
      </c>
      <c r="C27" s="4" t="inlineStr">
        <is>
          <t>W00031886A</t>
        </is>
      </c>
      <c r="D27" s="6">
        <f>IF(F27&gt;=5, F27-5, IF(F27&lt;5, 0, F27))</f>
        <v/>
      </c>
      <c r="E27">
        <f>VLOOKUP(B27,[1]Namshi!$A:$B,2,0)</f>
        <v/>
      </c>
      <c r="F27" s="4">
        <f>SUMIFS('Dubai Stock'!I:I,'Dubai Stock'!H:H,Final_UAE!B:B)</f>
        <v/>
      </c>
      <c r="H27" s="8" t="e">
        <v>#N/A</v>
      </c>
    </row>
    <row r="28">
      <c r="A28" s="4" t="n">
        <v>33834</v>
      </c>
      <c r="B28" s="4" t="inlineStr">
        <is>
          <t>sm100106-30s-000407-0106-52</t>
        </is>
      </c>
      <c r="C28" s="4" t="inlineStr">
        <is>
          <t>W00031886A</t>
        </is>
      </c>
      <c r="D28" s="6">
        <f>IF(F28&gt;=5, F28-5, IF(F28&lt;5, 0, F28))</f>
        <v/>
      </c>
      <c r="E28">
        <f>VLOOKUP(B28,[1]Namshi!$A:$B,2,0)</f>
        <v/>
      </c>
      <c r="F28" s="4">
        <f>SUMIFS('Dubai Stock'!I:I,'Dubai Stock'!H:H,Final_UAE!B:B)</f>
        <v/>
      </c>
      <c r="H28" s="8" t="e">
        <v>#N/A</v>
      </c>
    </row>
    <row r="29">
      <c r="A29" s="4" t="n">
        <v>33834</v>
      </c>
      <c r="B29" s="4" t="inlineStr">
        <is>
          <t>clstdai-eve-pure-p30-sp0050</t>
        </is>
      </c>
      <c r="C29" s="4" t="inlineStr">
        <is>
          <t>W00031886A</t>
        </is>
      </c>
      <c r="D29" s="6">
        <f>IF(F29&gt;=5, F29-5, IF(F29&lt;5, 0, F29))</f>
        <v/>
      </c>
      <c r="E29">
        <f>VLOOKUP(B29,[1]Namshi!$A:$B,2,0)</f>
        <v/>
      </c>
      <c r="F29" s="4">
        <f>SUMIFS('Dubai Stock'!I:I,'Dubai Stock'!H:H,Final_UAE!B:B)</f>
        <v/>
      </c>
      <c r="H29" s="8" t="n">
        <v>186</v>
      </c>
      <c r="I29" s="8" t="n">
        <v>104.3</v>
      </c>
    </row>
    <row r="30">
      <c r="A30" s="4" t="n">
        <v>33834</v>
      </c>
      <c r="B30" s="4" t="inlineStr">
        <is>
          <t>sc21007-bab-000526-1007-43</t>
        </is>
      </c>
      <c r="C30" s="4" t="inlineStr">
        <is>
          <t>W00031886A</t>
        </is>
      </c>
      <c r="D30" s="6">
        <f>IF(F30&gt;=5, F30-5, IF(F30&lt;5, 0, F30))</f>
        <v/>
      </c>
      <c r="E30">
        <f>VLOOKUP(B30,[1]Namshi!$A:$B,2,0)</f>
        <v/>
      </c>
      <c r="F30" s="4">
        <f>SUMIFS('Dubai Stock'!I:I,'Dubai Stock'!H:H,Final_UAE!B:B)</f>
        <v/>
      </c>
      <c r="H30" s="8" t="e">
        <v>#N/A</v>
      </c>
    </row>
    <row r="31">
      <c r="A31" s="4" t="n">
        <v>33834</v>
      </c>
      <c r="B31" s="4" t="inlineStr">
        <is>
          <t>sc21007-bab-000544-1007-44</t>
        </is>
      </c>
      <c r="C31" s="4" t="inlineStr">
        <is>
          <t>W00031886A</t>
        </is>
      </c>
      <c r="D31" s="6">
        <f>IF(F31&gt;=5, F31-5, IF(F31&lt;5, 0, F31))</f>
        <v/>
      </c>
      <c r="E31">
        <f>VLOOKUP(B31,[1]Namshi!$A:$B,2,0)</f>
        <v/>
      </c>
      <c r="F31" s="4">
        <f>SUMIFS('Dubai Stock'!I:I,'Dubai Stock'!H:H,Final_UAE!B:B)</f>
        <v/>
      </c>
      <c r="H31" s="8" t="e">
        <v>#N/A</v>
      </c>
    </row>
    <row r="32">
      <c r="A32" s="4" t="n">
        <v>33834</v>
      </c>
      <c r="B32" s="4" t="inlineStr">
        <is>
          <t>sc50107-bab-00538-0107d-51</t>
        </is>
      </c>
      <c r="C32" s="4" t="inlineStr">
        <is>
          <t>W00031886A</t>
        </is>
      </c>
      <c r="D32" s="6">
        <f>IF(F32&gt;=5, F32-5, IF(F32&lt;5, 0, F32))</f>
        <v/>
      </c>
      <c r="E32">
        <f>VLOOKUP(B32,[1]Namshi!$A:$B,2,0)</f>
        <v/>
      </c>
      <c r="F32" s="4">
        <f>SUMIFS('Dubai Stock'!I:I,'Dubai Stock'!H:H,Final_UAE!B:B)</f>
        <v/>
      </c>
      <c r="H32" s="8" t="e">
        <v>#N/A</v>
      </c>
    </row>
    <row r="33">
      <c r="A33" s="4" t="n">
        <v>33834</v>
      </c>
      <c r="B33" s="4" t="inlineStr">
        <is>
          <t>sc21407-bab-000547-1407-47</t>
        </is>
      </c>
      <c r="C33" s="4" t="inlineStr">
        <is>
          <t>W00031886A</t>
        </is>
      </c>
      <c r="D33" s="6">
        <f>IF(F33&gt;=5, F33-5, IF(F33&lt;5, 0, F33))</f>
        <v/>
      </c>
      <c r="E33">
        <f>VLOOKUP(B33,[1]Namshi!$A:$B,2,0)</f>
        <v/>
      </c>
      <c r="F33" s="4">
        <f>SUMIFS('Dubai Stock'!I:I,'Dubai Stock'!H:H,Final_UAE!B:B)</f>
        <v/>
      </c>
      <c r="H33" s="8" t="e">
        <v>#N/A</v>
      </c>
    </row>
    <row r="34">
      <c r="A34" s="4" t="n">
        <v>33834</v>
      </c>
      <c r="B34" s="4" t="inlineStr">
        <is>
          <t>sm100702-30s-000410-0702-55</t>
        </is>
      </c>
      <c r="C34" s="4" t="inlineStr">
        <is>
          <t>W00031886A</t>
        </is>
      </c>
      <c r="D34" s="6">
        <f>IF(F34&gt;=5, F34-5, IF(F34&lt;5, 0, F34))</f>
        <v/>
      </c>
      <c r="E34">
        <f>VLOOKUP(B34,[1]Namshi!$A:$B,2,0)</f>
        <v/>
      </c>
      <c r="F34" s="4">
        <f>SUMIFS('Dubai Stock'!I:I,'Dubai Stock'!H:H,Final_UAE!B:B)</f>
        <v/>
      </c>
      <c r="H34" s="8" t="e">
        <v>#N/A</v>
      </c>
      <c r="I34" s="8" t="n"/>
    </row>
    <row r="35">
      <c r="A35" s="4" t="n">
        <v>33834</v>
      </c>
      <c r="B35" s="4" t="inlineStr">
        <is>
          <t>sw40106-30s-000400-0106-53</t>
        </is>
      </c>
      <c r="C35" s="4" t="inlineStr">
        <is>
          <t>W00031886A</t>
        </is>
      </c>
      <c r="D35" s="6">
        <f>IF(F35&gt;=5, F35-5, IF(F35&lt;5, 0, F35))</f>
        <v/>
      </c>
      <c r="E35">
        <f>VLOOKUP(B35,[1]Namshi!$A:$B,2,0)</f>
        <v/>
      </c>
      <c r="F35" s="4">
        <f>SUMIFS('Dubai Stock'!I:I,'Dubai Stock'!H:H,Final_UAE!B:B)</f>
        <v/>
      </c>
      <c r="H35" s="8" t="e">
        <v>#N/A</v>
      </c>
    </row>
    <row r="36">
      <c r="A36" s="4" t="n">
        <v>33834</v>
      </c>
      <c r="B36" s="4" t="inlineStr">
        <is>
          <t>clstmon-eve-prom-p01-sn0400</t>
        </is>
      </c>
      <c r="C36" s="4" t="inlineStr">
        <is>
          <t>W00031886A</t>
        </is>
      </c>
      <c r="D36" s="6">
        <f>IF(F36&gt;=5, F36-5, IF(F36&lt;5, 0, F36))</f>
        <v/>
      </c>
      <c r="E36">
        <f>VLOOKUP(B36,[1]Namshi!$A:$B,2,0)</f>
        <v/>
      </c>
      <c r="F36" s="4">
        <f>SUMIFS('Dubai Stock'!I:I,'Dubai Stock'!H:H,Final_UAE!B:B)</f>
        <v/>
      </c>
      <c r="H36" s="8" t="e">
        <v>#N/A</v>
      </c>
      <c r="I36" s="8" t="n"/>
    </row>
    <row r="37">
      <c r="A37" s="4" t="n">
        <v>33834</v>
      </c>
      <c r="B37" s="4" t="inlineStr">
        <is>
          <t>sw32607-30s-000412-2607-50</t>
        </is>
      </c>
      <c r="C37" s="4" t="inlineStr">
        <is>
          <t>W00031886A</t>
        </is>
      </c>
      <c r="D37" s="6">
        <f>IF(F37&gt;=5, F37-5, IF(F37&lt;5, 0, F37))</f>
        <v/>
      </c>
      <c r="E37">
        <f>VLOOKUP(B37,[1]Namshi!$A:$B,2,0)</f>
        <v/>
      </c>
      <c r="F37" s="4">
        <f>SUMIFS('Dubai Stock'!I:I,'Dubai Stock'!H:H,Final_UAE!B:B)</f>
        <v/>
      </c>
      <c r="H37" s="8" t="e">
        <v>#N/A</v>
      </c>
    </row>
    <row r="38">
      <c r="A38" s="4" t="n">
        <v>33834</v>
      </c>
      <c r="B38" s="4" t="inlineStr">
        <is>
          <t>clstdai-eve-pure-p05-sn0100</t>
        </is>
      </c>
      <c r="C38" s="4" t="inlineStr">
        <is>
          <t>W00031886A</t>
        </is>
      </c>
      <c r="D38" s="6">
        <f>IF(F38&gt;=5, F38-5, IF(F38&lt;5, 0, F38))</f>
        <v/>
      </c>
      <c r="E38">
        <f>VLOOKUP(B38,[1]Namshi!$A:$B,2,0)</f>
        <v/>
      </c>
      <c r="F38" s="4">
        <f>SUMIFS('Dubai Stock'!I:I,'Dubai Stock'!H:H,Final_UAE!B:B)</f>
        <v/>
      </c>
      <c r="H38" s="8" t="e">
        <v>#N/A</v>
      </c>
      <c r="I38" s="8" t="n"/>
    </row>
    <row r="39">
      <c r="A39" s="4" t="n">
        <v>33834</v>
      </c>
      <c r="B39" s="4" t="inlineStr">
        <is>
          <t>clstdai-eve-pure-p05-sn0375</t>
        </is>
      </c>
      <c r="C39" s="4" t="inlineStr">
        <is>
          <t>W00031886A</t>
        </is>
      </c>
      <c r="D39" s="6">
        <f>IF(F39&gt;=5, F39-5, IF(F39&lt;5, 0, F39))</f>
        <v/>
      </c>
      <c r="E39">
        <f>VLOOKUP(B39,[1]Namshi!$A:$B,2,0)</f>
        <v/>
      </c>
      <c r="F39" s="4">
        <f>SUMIFS('Dubai Stock'!I:I,'Dubai Stock'!H:H,Final_UAE!B:B)</f>
        <v/>
      </c>
      <c r="H39" s="8" t="e">
        <v>#N/A</v>
      </c>
      <c r="I39" s="8" t="n"/>
    </row>
    <row r="40">
      <c r="A40" s="4" t="n">
        <v>33834</v>
      </c>
      <c r="B40" s="4" t="inlineStr">
        <is>
          <t>sm50107-30s-000466-0107-52</t>
        </is>
      </c>
      <c r="C40" s="4" t="inlineStr">
        <is>
          <t>W00031886A</t>
        </is>
      </c>
      <c r="D40" s="6">
        <f>IF(F40&gt;=5, F40-5, IF(F40&lt;5, 0, F40))</f>
        <v/>
      </c>
      <c r="E40">
        <f>VLOOKUP(B40,[1]Namshi!$A:$B,2,0)</f>
        <v/>
      </c>
      <c r="F40" s="4">
        <f>SUMIFS('Dubai Stock'!I:I,'Dubai Stock'!H:H,Final_UAE!B:B)</f>
        <v/>
      </c>
      <c r="H40" s="8" t="e">
        <v>#N/A</v>
      </c>
    </row>
    <row r="41">
      <c r="A41" s="4" t="n">
        <v>33834</v>
      </c>
      <c r="B41" s="4" t="inlineStr">
        <is>
          <t>sw32404-30s-000458-2404-56</t>
        </is>
      </c>
      <c r="C41" s="4" t="inlineStr">
        <is>
          <t>W00031886A</t>
        </is>
      </c>
      <c r="D41" s="6">
        <f>IF(F41&gt;=5, F41-5, IF(F41&lt;5, 0, F41))</f>
        <v/>
      </c>
      <c r="E41">
        <f>VLOOKUP(B41,[1]Namshi!$A:$B,2,0)</f>
        <v/>
      </c>
      <c r="F41" s="4">
        <f>SUMIFS('Dubai Stock'!I:I,'Dubai Stock'!H:H,Final_UAE!B:B)</f>
        <v/>
      </c>
      <c r="H41" s="8" t="e">
        <v>#N/A</v>
      </c>
    </row>
    <row r="42">
      <c r="A42" s="4" t="n">
        <v>33834</v>
      </c>
      <c r="B42" s="4" t="inlineStr">
        <is>
          <t>clstdai-lay-cont-p60-dazzle-brown-sn0050</t>
        </is>
      </c>
      <c r="C42" s="4" t="inlineStr">
        <is>
          <t>W00031886A</t>
        </is>
      </c>
      <c r="D42" s="6">
        <f>IF(F42&gt;=5, F42-5, IF(F42&lt;5, 0, F42))</f>
        <v/>
      </c>
      <c r="E42">
        <f>VLOOKUP(B42,[1]Namshi!$A:$B,2,0)</f>
        <v/>
      </c>
      <c r="F42" s="4">
        <f>SUMIFS('Dubai Stock'!I:I,'Dubai Stock'!H:H,Final_UAE!B:B)</f>
        <v/>
      </c>
      <c r="H42" s="8" t="e">
        <v>#N/A</v>
      </c>
      <c r="I42" s="8" t="n"/>
    </row>
    <row r="43">
      <c r="A43" s="4" t="n">
        <v>33834</v>
      </c>
      <c r="B43" s="4" t="inlineStr">
        <is>
          <t>sc20707-bab-000539-0707-38</t>
        </is>
      </c>
      <c r="C43" s="4" t="inlineStr">
        <is>
          <t>W00031886A</t>
        </is>
      </c>
      <c r="D43" s="6">
        <f>IF(F43&gt;=5, F43-5, IF(F43&lt;5, 0, F43))</f>
        <v/>
      </c>
      <c r="E43">
        <f>VLOOKUP(B43,[1]Namshi!$A:$B,2,0)</f>
        <v/>
      </c>
      <c r="F43" s="4">
        <f>SUMIFS('Dubai Stock'!I:I,'Dubai Stock'!H:H,Final_UAE!B:B)</f>
        <v/>
      </c>
      <c r="H43" s="8" t="e">
        <v>#N/A</v>
      </c>
    </row>
    <row r="44">
      <c r="A44" s="4" t="n">
        <v>33834</v>
      </c>
      <c r="B44" s="4" t="inlineStr">
        <is>
          <t>fc51418-bab-000549-1418-50</t>
        </is>
      </c>
      <c r="C44" s="4" t="inlineStr">
        <is>
          <t>W00031886A</t>
        </is>
      </c>
      <c r="D44" s="6">
        <f>IF(F44&gt;=5, F44-5, IF(F44&lt;5, 0, F44))</f>
        <v/>
      </c>
      <c r="E44">
        <f>VLOOKUP(B44,[1]Namshi!$A:$B,2,0)</f>
        <v/>
      </c>
      <c r="F44" s="4">
        <f>SUMIFS('Dubai Stock'!I:I,'Dubai Stock'!H:H,Final_UAE!B:B)</f>
        <v/>
      </c>
      <c r="H44" s="8" t="e">
        <v>#N/A</v>
      </c>
      <c r="I44" s="8" t="n"/>
    </row>
    <row r="45">
      <c r="A45" s="4" t="n">
        <v>33834</v>
      </c>
      <c r="B45" s="4" t="inlineStr">
        <is>
          <t>sc50107-bab-000506-0107-48</t>
        </is>
      </c>
      <c r="C45" s="4" t="inlineStr">
        <is>
          <t>W00031886A</t>
        </is>
      </c>
      <c r="D45" s="6">
        <f>IF(F45&gt;=5, F45-5, IF(F45&lt;5, 0, F45))</f>
        <v/>
      </c>
      <c r="E45">
        <f>VLOOKUP(B45,[1]Namshi!$A:$B,2,0)</f>
        <v/>
      </c>
      <c r="F45" s="4">
        <f>SUMIFS('Dubai Stock'!I:I,'Dubai Stock'!H:H,Final_UAE!B:B)</f>
        <v/>
      </c>
      <c r="H45" s="8" t="e">
        <v>#N/A</v>
      </c>
    </row>
    <row r="46">
      <c r="A46" s="4" t="n">
        <v>33834</v>
      </c>
      <c r="B46" s="4" t="inlineStr">
        <is>
          <t>sc21010-bab-000517-1010d-43</t>
        </is>
      </c>
      <c r="C46" s="4" t="inlineStr">
        <is>
          <t>W00031886A</t>
        </is>
      </c>
      <c r="D46" s="6">
        <f>IF(F46&gt;=5, F46-5, IF(F46&lt;5, 0, F46))</f>
        <v/>
      </c>
      <c r="E46">
        <f>VLOOKUP(B46,[1]Namshi!$A:$B,2,0)</f>
        <v/>
      </c>
      <c r="F46" s="4">
        <f>SUMIFS('Dubai Stock'!I:I,'Dubai Stock'!H:H,Final_UAE!B:B)</f>
        <v/>
      </c>
      <c r="H46" s="8" t="e">
        <v>#N/A</v>
      </c>
    </row>
    <row r="47">
      <c r="A47" s="4" t="n">
        <v>33834</v>
      </c>
      <c r="B47" s="4" t="inlineStr">
        <is>
          <t>sc21007-bab-000527-1007-48</t>
        </is>
      </c>
      <c r="C47" s="4" t="inlineStr">
        <is>
          <t>W00031886A</t>
        </is>
      </c>
      <c r="D47" s="6">
        <f>IF(F47&gt;=5, F47-5, IF(F47&lt;5, 0, F47))</f>
        <v/>
      </c>
      <c r="E47">
        <f>VLOOKUP(B47,[1]Namshi!$A:$B,2,0)</f>
        <v/>
      </c>
      <c r="F47" s="4">
        <f>SUMIFS('Dubai Stock'!I:I,'Dubai Stock'!H:H,Final_UAE!B:B)</f>
        <v/>
      </c>
      <c r="H47" s="8" t="e">
        <v>#N/A</v>
      </c>
    </row>
    <row r="48">
      <c r="A48" s="4" t="n">
        <v>33834</v>
      </c>
      <c r="B48" s="4" t="inlineStr">
        <is>
          <t>sw102907-30s-000424-2907-55</t>
        </is>
      </c>
      <c r="C48" s="4" t="inlineStr">
        <is>
          <t>W00031886A</t>
        </is>
      </c>
      <c r="D48" s="6">
        <f>IF(F48&gt;=5, F48-5, IF(F48&lt;5, 0, F48))</f>
        <v/>
      </c>
      <c r="E48">
        <f>VLOOKUP(B48,[1]Namshi!$A:$B,2,0)</f>
        <v/>
      </c>
      <c r="F48" s="4">
        <f>SUMIFS('Dubai Stock'!I:I,'Dubai Stock'!H:H,Final_UAE!B:B)</f>
        <v/>
      </c>
      <c r="H48" s="8" t="e">
        <v>#N/A</v>
      </c>
    </row>
    <row r="49">
      <c r="A49" s="4" t="n">
        <v>33834</v>
      </c>
      <c r="B49" s="4" t="inlineStr">
        <is>
          <t>clstdai-eve-pure-p30-sp0375</t>
        </is>
      </c>
      <c r="C49" s="4" t="inlineStr">
        <is>
          <t>W00031886A</t>
        </is>
      </c>
      <c r="D49" s="6">
        <f>IF(F49&gt;=5, F49-5, IF(F49&lt;5, 0, F49))</f>
        <v/>
      </c>
      <c r="E49">
        <f>VLOOKUP(B49,[1]Namshi!$A:$B,2,0)</f>
        <v/>
      </c>
      <c r="F49" s="4">
        <f>SUMIFS('Dubai Stock'!I:I,'Dubai Stock'!H:H,Final_UAE!B:B)</f>
        <v/>
      </c>
      <c r="H49" s="8" t="n">
        <v>186</v>
      </c>
      <c r="I49" s="8" t="n">
        <v>104.3</v>
      </c>
    </row>
    <row r="50">
      <c r="A50" s="4" t="n">
        <v>33834</v>
      </c>
      <c r="B50" s="4" t="inlineStr">
        <is>
          <t>sm40504-30s-000409-2904p-56</t>
        </is>
      </c>
      <c r="C50" s="4" t="inlineStr">
        <is>
          <t>W00031886A</t>
        </is>
      </c>
      <c r="D50" s="6">
        <f>IF(F50&gt;=5, F50-5, IF(F50&lt;5, 0, F50))</f>
        <v/>
      </c>
      <c r="E50">
        <f>VLOOKUP(B50,[1]Namshi!$A:$B,2,0)</f>
        <v/>
      </c>
      <c r="F50" s="4">
        <f>SUMIFS('Dubai Stock'!I:I,'Dubai Stock'!H:H,Final_UAE!B:B)</f>
        <v/>
      </c>
      <c r="H50" s="8" t="e">
        <v>#N/A</v>
      </c>
    </row>
    <row r="51">
      <c r="A51" s="4" t="n">
        <v>33834</v>
      </c>
      <c r="B51" s="4" t="inlineStr">
        <is>
          <t>sc40107-bab-000521-1101d-46</t>
        </is>
      </c>
      <c r="C51" s="4" t="inlineStr">
        <is>
          <t>W00031886A</t>
        </is>
      </c>
      <c r="D51" s="6">
        <f>IF(F51&gt;=5, F51-5, IF(F51&lt;5, 0, F51))</f>
        <v/>
      </c>
      <c r="E51">
        <f>VLOOKUP(B51,[1]Namshi!$A:$B,2,0)</f>
        <v/>
      </c>
      <c r="F51" s="4">
        <f>SUMIFS('Dubai Stock'!I:I,'Dubai Stock'!H:H,Final_UAE!B:B)</f>
        <v/>
      </c>
      <c r="H51" s="8" t="e">
        <v>#N/A</v>
      </c>
    </row>
    <row r="52">
      <c r="A52" s="4" t="n">
        <v>33834</v>
      </c>
      <c r="B52" s="4" t="inlineStr">
        <is>
          <t>sc41406-bab-000521-1406d-46</t>
        </is>
      </c>
      <c r="C52" s="4" t="inlineStr">
        <is>
          <t>W00031886A</t>
        </is>
      </c>
      <c r="D52" s="6">
        <f>IF(F52&gt;=5, F52-5, IF(F52&lt;5, 0, F52))</f>
        <v/>
      </c>
      <c r="E52">
        <f>VLOOKUP(B52,[1]Namshi!$A:$B,2,0)</f>
        <v/>
      </c>
      <c r="F52" s="4">
        <f>SUMIFS('Dubai Stock'!I:I,'Dubai Stock'!H:H,Final_UAE!B:B)</f>
        <v/>
      </c>
      <c r="H52" s="8" t="e">
        <v>#N/A</v>
      </c>
    </row>
    <row r="53">
      <c r="A53" s="4" t="n">
        <v>33834</v>
      </c>
      <c r="B53" s="4" t="inlineStr">
        <is>
          <t>sm40506-30s-000419-0506-52</t>
        </is>
      </c>
      <c r="C53" s="4" t="inlineStr">
        <is>
          <t>W00031886A</t>
        </is>
      </c>
      <c r="D53" s="6">
        <f>IF(F53&gt;=5, F53-5, IF(F53&lt;5, 0, F53))</f>
        <v/>
      </c>
      <c r="E53">
        <f>VLOOKUP(B53,[1]Namshi!$A:$B,2,0)</f>
        <v/>
      </c>
      <c r="F53" s="4">
        <f>SUMIFS('Dubai Stock'!I:I,'Dubai Stock'!H:H,Final_UAE!B:B)</f>
        <v/>
      </c>
      <c r="H53" s="8" t="e">
        <v>#N/A</v>
      </c>
    </row>
    <row r="54">
      <c r="A54" s="4" t="n">
        <v>33834</v>
      </c>
      <c r="B54" s="4" t="inlineStr">
        <is>
          <t>sw40607-30s-000400-0607-53</t>
        </is>
      </c>
      <c r="C54" s="4" t="inlineStr">
        <is>
          <t>W00031886A</t>
        </is>
      </c>
      <c r="D54" s="6">
        <f>IF(F54&gt;=5, F54-5, IF(F54&lt;5, 0, F54))</f>
        <v/>
      </c>
      <c r="E54">
        <f>VLOOKUP(B54,[1]Namshi!$A:$B,2,0)</f>
        <v/>
      </c>
      <c r="F54" s="4">
        <f>SUMIFS('Dubai Stock'!I:I,'Dubai Stock'!H:H,Final_UAE!B:B)</f>
        <v/>
      </c>
      <c r="H54" s="8" t="e">
        <v>#N/A</v>
      </c>
    </row>
    <row r="55">
      <c r="A55" s="4" t="n">
        <v>33834</v>
      </c>
      <c r="B55" s="4" t="inlineStr">
        <is>
          <t>clstdai-eve-pure-p30-sp0100</t>
        </is>
      </c>
      <c r="C55" s="4" t="inlineStr">
        <is>
          <t>W00031886A</t>
        </is>
      </c>
      <c r="D55" s="6">
        <f>IF(F55&gt;=5, F55-5, IF(F55&lt;5, 0, F55))</f>
        <v/>
      </c>
      <c r="E55">
        <f>VLOOKUP(B55,[1]Namshi!$A:$B,2,0)</f>
        <v/>
      </c>
      <c r="F55" s="4">
        <f>SUMIFS('Dubai Stock'!I:I,'Dubai Stock'!H:H,Final_UAE!B:B)</f>
        <v/>
      </c>
      <c r="H55" s="8" t="n">
        <v>186</v>
      </c>
      <c r="I55" s="8" t="n">
        <v>104.3</v>
      </c>
    </row>
    <row r="56">
      <c r="A56" s="4" t="n">
        <v>33834</v>
      </c>
      <c r="B56" s="4" t="inlineStr">
        <is>
          <t>sm100607-30s-000421-0607-49</t>
        </is>
      </c>
      <c r="C56" s="4" t="inlineStr">
        <is>
          <t>W00031886A</t>
        </is>
      </c>
      <c r="D56" s="6">
        <f>IF(F56&gt;=5, F56-5, IF(F56&lt;5, 0, F56))</f>
        <v/>
      </c>
      <c r="E56">
        <f>VLOOKUP(B56,[1]Namshi!$A:$B,2,0)</f>
        <v/>
      </c>
      <c r="F56" s="4">
        <f>SUMIFS('Dubai Stock'!I:I,'Dubai Stock'!H:H,Final_UAE!B:B)</f>
        <v/>
      </c>
      <c r="H56" s="8" t="e">
        <v>#N/A</v>
      </c>
    </row>
    <row r="57">
      <c r="A57" s="4" t="n">
        <v>33834</v>
      </c>
      <c r="B57" s="4" t="inlineStr">
        <is>
          <t>clstdai-eve-pure-p30-sp0500</t>
        </is>
      </c>
      <c r="C57" s="4" t="inlineStr">
        <is>
          <t>W00031886A</t>
        </is>
      </c>
      <c r="D57" s="6">
        <f>IF(F57&gt;=5, F57-5, IF(F57&lt;5, 0, F57))</f>
        <v/>
      </c>
      <c r="E57">
        <f>VLOOKUP(B57,[1]Namshi!$A:$B,2,0)</f>
        <v/>
      </c>
      <c r="F57" s="4">
        <f>SUMIFS('Dubai Stock'!I:I,'Dubai Stock'!H:H,Final_UAE!B:B)</f>
        <v/>
      </c>
      <c r="H57" s="8" t="n">
        <v>186</v>
      </c>
      <c r="I57" s="8" t="n">
        <v>104.3</v>
      </c>
    </row>
    <row r="58">
      <c r="A58" s="4" t="n">
        <v>33834</v>
      </c>
      <c r="B58" s="4" t="inlineStr">
        <is>
          <t>sc22007-bab-000541-2007-35</t>
        </is>
      </c>
      <c r="C58" s="4" t="inlineStr">
        <is>
          <t>W00031886A</t>
        </is>
      </c>
      <c r="D58" s="6">
        <f>IF(F58&gt;=5, F58-5, IF(F58&lt;5, 0, F58))</f>
        <v/>
      </c>
      <c r="E58">
        <f>VLOOKUP(B58,[1]Namshi!$A:$B,2,0)</f>
        <v/>
      </c>
      <c r="F58" s="4">
        <f>SUMIFS('Dubai Stock'!I:I,'Dubai Stock'!H:H,Final_UAE!B:B)</f>
        <v/>
      </c>
      <c r="H58" s="8" t="e">
        <v>#N/A</v>
      </c>
    </row>
    <row r="59">
      <c r="A59" s="4" t="n">
        <v>33834</v>
      </c>
      <c r="B59" s="4" t="inlineStr">
        <is>
          <t>sc30607-bab-000543-0607-43</t>
        </is>
      </c>
      <c r="C59" s="4" t="inlineStr">
        <is>
          <t>W00031886A</t>
        </is>
      </c>
      <c r="D59" s="6">
        <f>IF(F59&gt;=5, F59-5, IF(F59&lt;5, 0, F59))</f>
        <v/>
      </c>
      <c r="E59">
        <f>VLOOKUP(B59,[1]Namshi!$A:$B,2,0)</f>
        <v/>
      </c>
      <c r="F59" s="4">
        <f>SUMIFS('Dubai Stock'!I:I,'Dubai Stock'!H:H,Final_UAE!B:B)</f>
        <v/>
      </c>
      <c r="H59" s="8" t="e">
        <v>#N/A</v>
      </c>
    </row>
    <row r="60">
      <c r="A60" s="4" t="n">
        <v>33834</v>
      </c>
      <c r="B60" s="4" t="inlineStr">
        <is>
          <t>sc20707-bab-000540-0707-37</t>
        </is>
      </c>
      <c r="C60" s="4" t="inlineStr">
        <is>
          <t>W00031886A</t>
        </is>
      </c>
      <c r="D60" s="6">
        <f>IF(F60&gt;=5, F60-5, IF(F60&lt;5, 0, F60))</f>
        <v/>
      </c>
      <c r="E60">
        <f>VLOOKUP(B60,[1]Namshi!$A:$B,2,0)</f>
        <v/>
      </c>
      <c r="F60" s="4">
        <f>SUMIFS('Dubai Stock'!I:I,'Dubai Stock'!H:H,Final_UAE!B:B)</f>
        <v/>
      </c>
      <c r="H60" s="8" t="e">
        <v>#N/A</v>
      </c>
    </row>
    <row r="61">
      <c r="A61" s="4" t="n">
        <v>33834</v>
      </c>
      <c r="B61" s="4" t="inlineStr">
        <is>
          <t>sc50207-bab-000505-0207-43</t>
        </is>
      </c>
      <c r="C61" s="4" t="inlineStr">
        <is>
          <t>W00031886A</t>
        </is>
      </c>
      <c r="D61" s="6">
        <f>IF(F61&gt;=5, F61-5, IF(F61&lt;5, 0, F61))</f>
        <v/>
      </c>
      <c r="E61">
        <f>VLOOKUP(B61,[1]Namshi!$A:$B,2,0)</f>
        <v/>
      </c>
      <c r="F61" s="4">
        <f>SUMIFS('Dubai Stock'!I:I,'Dubai Stock'!H:H,Final_UAE!B:B)</f>
        <v/>
      </c>
      <c r="H61" s="8" t="e">
        <v>#N/A</v>
      </c>
    </row>
    <row r="62">
      <c r="A62" s="4" t="n">
        <v>33834</v>
      </c>
      <c r="B62" s="4" t="inlineStr">
        <is>
          <t>sc50107-bab-00537-0107d-46</t>
        </is>
      </c>
      <c r="C62" s="4" t="inlineStr">
        <is>
          <t>W00031886A</t>
        </is>
      </c>
      <c r="D62" s="6">
        <f>IF(F62&gt;=5, F62-5, IF(F62&lt;5, 0, F62))</f>
        <v/>
      </c>
      <c r="E62">
        <f>VLOOKUP(B62,[1]Namshi!$A:$B,2,0)</f>
        <v/>
      </c>
      <c r="F62" s="4">
        <f>SUMIFS('Dubai Stock'!I:I,'Dubai Stock'!H:H,Final_UAE!B:B)</f>
        <v/>
      </c>
      <c r="H62" s="8" t="e">
        <v>#N/A</v>
      </c>
    </row>
    <row r="63">
      <c r="A63" s="4" t="n">
        <v>33834</v>
      </c>
      <c r="B63" s="4" t="inlineStr">
        <is>
          <t>sm100706-bla-000354-0706-54</t>
        </is>
      </c>
      <c r="C63" s="4" t="inlineStr">
        <is>
          <t>W00031886A</t>
        </is>
      </c>
      <c r="D63" s="6">
        <f>IF(F63&gt;=5, F63-5, IF(F63&lt;5, 0, F63))</f>
        <v/>
      </c>
      <c r="E63">
        <f>VLOOKUP(B63,[1]Namshi!$A:$B,2,0)</f>
        <v/>
      </c>
      <c r="F63" s="4">
        <f>SUMIFS('Dubai Stock'!I:I,'Dubai Stock'!H:H,Final_UAE!B:B)</f>
        <v/>
      </c>
      <c r="H63" s="8" t="e">
        <v>#N/A</v>
      </c>
    </row>
    <row r="64">
      <c r="A64" s="4" t="n">
        <v>33834</v>
      </c>
      <c r="B64" s="4" t="inlineStr">
        <is>
          <t>sc41007-bab-000504-1007-51</t>
        </is>
      </c>
      <c r="C64" s="4" t="inlineStr">
        <is>
          <t>W00031886A</t>
        </is>
      </c>
      <c r="D64" s="6">
        <f>IF(F64&gt;=5, F64-5, IF(F64&lt;5, 0, F64))</f>
        <v/>
      </c>
      <c r="E64">
        <f>VLOOKUP(B64,[1]Namshi!$A:$B,2,0)</f>
        <v/>
      </c>
      <c r="F64" s="4">
        <f>SUMIFS('Dubai Stock'!I:I,'Dubai Stock'!H:H,Final_UAE!B:B)</f>
        <v/>
      </c>
      <c r="H64" s="8" t="e">
        <v>#N/A</v>
      </c>
      <c r="I64" s="8" t="n"/>
    </row>
    <row r="65">
      <c r="A65" s="4" t="n">
        <v>33834</v>
      </c>
      <c r="B65" s="4" t="inlineStr">
        <is>
          <t>sm50207-30s-000428-0207-48</t>
        </is>
      </c>
      <c r="C65" s="4" t="inlineStr">
        <is>
          <t>W00031886A</t>
        </is>
      </c>
      <c r="D65" s="6">
        <f>IF(F65&gt;=5, F65-5, IF(F65&lt;5, 0, F65))</f>
        <v/>
      </c>
      <c r="E65">
        <f>VLOOKUP(B65,[1]Namshi!$A:$B,2,0)</f>
        <v/>
      </c>
      <c r="F65" s="4">
        <f>SUMIFS('Dubai Stock'!I:I,'Dubai Stock'!H:H,Final_UAE!B:B)</f>
        <v/>
      </c>
      <c r="H65" s="8" t="e">
        <v>#N/A</v>
      </c>
    </row>
    <row r="66">
      <c r="A66" s="4" t="n">
        <v>33834</v>
      </c>
      <c r="B66" s="4" t="inlineStr">
        <is>
          <t>sc21007-bab-000500-1007-40</t>
        </is>
      </c>
      <c r="C66" s="4" t="inlineStr">
        <is>
          <t>W00031886A</t>
        </is>
      </c>
      <c r="D66" s="6">
        <f>IF(F66&gt;=5, F66-5, IF(F66&lt;5, 0, F66))</f>
        <v/>
      </c>
      <c r="E66">
        <f>VLOOKUP(B66,[1]Namshi!$A:$B,2,0)</f>
        <v/>
      </c>
      <c r="F66" s="4">
        <f>SUMIFS('Dubai Stock'!I:I,'Dubai Stock'!H:H,Final_UAE!B:B)</f>
        <v/>
      </c>
      <c r="H66" s="8" t="e">
        <v>#N/A</v>
      </c>
    </row>
    <row r="67">
      <c r="A67" s="4" t="n">
        <v>33834</v>
      </c>
      <c r="B67" s="4" t="inlineStr">
        <is>
          <t>sm40107-bla-000363-0107-50</t>
        </is>
      </c>
      <c r="C67" s="4" t="inlineStr">
        <is>
          <t>W00031886A</t>
        </is>
      </c>
      <c r="D67" s="6">
        <f>IF(F67&gt;=5, F67-5, IF(F67&lt;5, 0, F67))</f>
        <v/>
      </c>
      <c r="E67">
        <f>VLOOKUP(B67,[1]Namshi!$A:$B,2,0)</f>
        <v/>
      </c>
      <c r="F67" s="4">
        <f>SUMIFS('Dubai Stock'!I:I,'Dubai Stock'!H:H,Final_UAE!B:B)</f>
        <v/>
      </c>
      <c r="H67" s="8" t="e">
        <v>#N/A</v>
      </c>
      <c r="I67" s="8" t="n"/>
    </row>
    <row r="68">
      <c r="A68" s="4" t="n">
        <v>33834</v>
      </c>
      <c r="B68" s="4" t="inlineStr">
        <is>
          <t>cost3mo-lay-2025-p02-emerald-glow-sn0050</t>
        </is>
      </c>
      <c r="C68" s="4" t="inlineStr">
        <is>
          <t>W00031886A</t>
        </is>
      </c>
      <c r="D68" s="6">
        <f>IF(F68&gt;=5, F68-5, IF(F68&lt;5, 0, F68))</f>
        <v/>
      </c>
      <c r="E68">
        <f>VLOOKUP(B68,[1]Namshi!$A:$B,2,0)</f>
        <v/>
      </c>
      <c r="F68" s="4">
        <f>SUMIFS('Dubai Stock'!I:I,'Dubai Stock'!H:H,Final_UAE!B:B)</f>
        <v/>
      </c>
      <c r="H68" s="8" t="e">
        <v>#N/A</v>
      </c>
      <c r="I68" s="8" t="n"/>
    </row>
    <row r="69">
      <c r="A69" s="4" t="n">
        <v>33834</v>
      </c>
      <c r="B69" s="4" t="inlineStr">
        <is>
          <t>sw42604-30s-000300-2604-50</t>
        </is>
      </c>
      <c r="C69" s="4" t="inlineStr">
        <is>
          <t>W00031886A</t>
        </is>
      </c>
      <c r="D69" s="6">
        <f>IF(F69&gt;=5, F69-5, IF(F69&lt;5, 0, F69))</f>
        <v/>
      </c>
      <c r="E69">
        <f>VLOOKUP(B69,[1]Namshi!$A:$B,2,0)</f>
        <v/>
      </c>
      <c r="F69" s="4">
        <f>SUMIFS('Dubai Stock'!I:I,'Dubai Stock'!H:H,Final_UAE!B:B)</f>
        <v/>
      </c>
      <c r="H69" s="8" t="e">
        <v>#N/A</v>
      </c>
    </row>
    <row r="70">
      <c r="A70" s="4" t="n">
        <v>33834</v>
      </c>
      <c r="B70" s="4" t="inlineStr">
        <is>
          <t>cost3mo-lay-lens-p02-chestnut-brown-sn0025</t>
        </is>
      </c>
      <c r="C70" s="4" t="inlineStr">
        <is>
          <t>W00031886A</t>
        </is>
      </c>
      <c r="D70" s="6">
        <f>IF(F70&gt;=5, F70-5, IF(F70&lt;5, 0, F70))</f>
        <v/>
      </c>
      <c r="E70">
        <f>VLOOKUP(B70,[1]Namshi!$A:$B,2,0)</f>
        <v/>
      </c>
      <c r="F70" s="4">
        <f>SUMIFS('Dubai Stock'!I:I,'Dubai Stock'!H:H,Final_UAE!B:B)</f>
        <v/>
      </c>
      <c r="H70" s="8" t="e">
        <v>#N/A</v>
      </c>
      <c r="I70" s="8" t="n"/>
    </row>
    <row r="71">
      <c r="A71" s="4" t="n">
        <v>33834</v>
      </c>
      <c r="B71" s="4" t="inlineStr">
        <is>
          <t>clstmon-eve-prom-p01-sn0500</t>
        </is>
      </c>
      <c r="C71" s="4" t="inlineStr">
        <is>
          <t>W00031886A</t>
        </is>
      </c>
      <c r="D71" s="6">
        <f>IF(F71&gt;=5, F71-5, IF(F71&lt;5, 0, F71))</f>
        <v/>
      </c>
      <c r="E71">
        <f>VLOOKUP(B71,[1]Namshi!$A:$B,2,0)</f>
        <v/>
      </c>
      <c r="F71" s="4">
        <f>SUMIFS('Dubai Stock'!I:I,'Dubai Stock'!H:H,Final_UAE!B:B)</f>
        <v/>
      </c>
      <c r="H71" s="8" t="e">
        <v>#N/A</v>
      </c>
      <c r="I71" s="8" t="n"/>
    </row>
    <row r="72">
      <c r="A72" s="4" t="n">
        <v>33834</v>
      </c>
      <c r="B72" s="4" t="inlineStr">
        <is>
          <t>sm40404-30s-000423-0404-55</t>
        </is>
      </c>
      <c r="C72" s="4" t="inlineStr">
        <is>
          <t>W00031886A</t>
        </is>
      </c>
      <c r="D72" s="6">
        <f>IF(F72&gt;=5, F72-5, IF(F72&lt;5, 0, F72))</f>
        <v/>
      </c>
      <c r="E72">
        <f>VLOOKUP(B72,[1]Namshi!$A:$B,2,0)</f>
        <v/>
      </c>
      <c r="F72" s="4">
        <f>SUMIFS('Dubai Stock'!I:I,'Dubai Stock'!H:H,Final_UAE!B:B)</f>
        <v/>
      </c>
      <c r="H72" s="8" t="e">
        <v>#N/A</v>
      </c>
    </row>
    <row r="73">
      <c r="A73" s="4" t="n">
        <v>33834</v>
      </c>
      <c r="B73" s="4" t="inlineStr">
        <is>
          <t>sc20907-bab-000547-0907-47</t>
        </is>
      </c>
      <c r="C73" s="4" t="inlineStr">
        <is>
          <t>W00031886A</t>
        </is>
      </c>
      <c r="D73" s="6">
        <f>IF(F73&gt;=5, F73-5, IF(F73&lt;5, 0, F73))</f>
        <v/>
      </c>
      <c r="E73">
        <f>VLOOKUP(B73,[1]Namshi!$A:$B,2,0)</f>
        <v/>
      </c>
      <c r="F73" s="4">
        <f>SUMIFS('Dubai Stock'!I:I,'Dubai Stock'!H:H,Final_UAE!B:B)</f>
        <v/>
      </c>
      <c r="H73" s="8" t="e">
        <v>#N/A</v>
      </c>
    </row>
    <row r="74">
      <c r="A74" s="4" t="n">
        <v>33834</v>
      </c>
      <c r="B74" s="4" t="inlineStr">
        <is>
          <t>sm100701-30s-000407-0701-52</t>
        </is>
      </c>
      <c r="C74" s="4" t="inlineStr">
        <is>
          <t>W00031886A</t>
        </is>
      </c>
      <c r="D74" s="6">
        <f>IF(F74&gt;=5, F74-5, IF(F74&lt;5, 0, F74))</f>
        <v/>
      </c>
      <c r="E74">
        <f>VLOOKUP(B74,[1]Namshi!$A:$B,2,0)</f>
        <v/>
      </c>
      <c r="F74" s="4">
        <f>SUMIFS('Dubai Stock'!I:I,'Dubai Stock'!H:H,Final_UAE!B:B)</f>
        <v/>
      </c>
      <c r="H74" s="8" t="e">
        <v>#N/A</v>
      </c>
    </row>
    <row r="75">
      <c r="A75" s="4" t="n">
        <v>33834</v>
      </c>
      <c r="B75" s="4" t="inlineStr">
        <is>
          <t>sc20907-bab-000500-0907-40</t>
        </is>
      </c>
      <c r="C75" s="4" t="inlineStr">
        <is>
          <t>W00031886A</t>
        </is>
      </c>
      <c r="D75" s="6">
        <f>IF(F75&gt;=5, F75-5, IF(F75&lt;5, 0, F75))</f>
        <v/>
      </c>
      <c r="E75">
        <f>VLOOKUP(B75,[1]Namshi!$A:$B,2,0)</f>
        <v/>
      </c>
      <c r="F75" s="4">
        <f>SUMIFS('Dubai Stock'!I:I,'Dubai Stock'!H:H,Final_UAE!B:B)</f>
        <v/>
      </c>
      <c r="H75" s="8" t="e">
        <v>#N/A</v>
      </c>
    </row>
    <row r="76">
      <c r="A76" s="4" t="n">
        <v>33834</v>
      </c>
      <c r="B76" s="4" t="inlineStr">
        <is>
          <t>sm21207-30s-000426-1207-53</t>
        </is>
      </c>
      <c r="C76" s="4" t="inlineStr">
        <is>
          <t>W00031886A</t>
        </is>
      </c>
      <c r="D76" s="6">
        <f>IF(F76&gt;=5, F76-5, IF(F76&lt;5, 0, F76))</f>
        <v/>
      </c>
      <c r="E76">
        <f>VLOOKUP(B76,[1]Namshi!$A:$B,2,0)</f>
        <v/>
      </c>
      <c r="F76" s="4">
        <f>SUMIFS('Dubai Stock'!I:I,'Dubai Stock'!H:H,Final_UAE!B:B)</f>
        <v/>
      </c>
      <c r="H76" s="8" t="e">
        <v>#N/A</v>
      </c>
    </row>
    <row r="77">
      <c r="A77" s="4" t="n">
        <v>33834</v>
      </c>
      <c r="B77" s="4" t="inlineStr">
        <is>
          <t>sw40404-30s-000427-0404-50</t>
        </is>
      </c>
      <c r="C77" s="4" t="inlineStr">
        <is>
          <t>W00031886A</t>
        </is>
      </c>
      <c r="D77" s="6">
        <f>IF(F77&gt;=5, F77-5, IF(F77&lt;5, 0, F77))</f>
        <v/>
      </c>
      <c r="E77">
        <f>VLOOKUP(B77,[1]Namshi!$A:$B,2,0)</f>
        <v/>
      </c>
      <c r="F77" s="4">
        <f>SUMIFS('Dubai Stock'!I:I,'Dubai Stock'!H:H,Final_UAE!B:B)</f>
        <v/>
      </c>
      <c r="H77" s="8" t="e">
        <v>#N/A</v>
      </c>
    </row>
    <row r="78">
      <c r="A78" s="4" t="n">
        <v>33834</v>
      </c>
      <c r="B78" s="4" t="inlineStr">
        <is>
          <t>su101204-bla-000355-1204-51</t>
        </is>
      </c>
      <c r="C78" s="4" t="inlineStr">
        <is>
          <t>W00031886A</t>
        </is>
      </c>
      <c r="D78" s="6">
        <f>IF(F78&gt;=5, F78-5, IF(F78&lt;5, 0, F78))</f>
        <v/>
      </c>
      <c r="E78">
        <f>VLOOKUP(B78,[1]Namshi!$A:$B,2,0)</f>
        <v/>
      </c>
      <c r="F78" s="4">
        <f>SUMIFS('Dubai Stock'!I:I,'Dubai Stock'!H:H,Final_UAE!B:B)</f>
        <v/>
      </c>
      <c r="H78" s="8" t="e">
        <v>#N/A</v>
      </c>
    </row>
    <row r="79">
      <c r="A79" s="4" t="n">
        <v>33834</v>
      </c>
      <c r="B79" s="4" t="inlineStr">
        <is>
          <t>fc21418-bab-000547-1418-47</t>
        </is>
      </c>
      <c r="C79" s="4" t="inlineStr">
        <is>
          <t>W00031886A</t>
        </is>
      </c>
      <c r="D79" s="6">
        <f>IF(F79&gt;=5, F79-5, IF(F79&lt;5, 0, F79))</f>
        <v/>
      </c>
      <c r="E79">
        <f>VLOOKUP(B79,[1]Namshi!$A:$B,2,0)</f>
        <v/>
      </c>
      <c r="F79" s="4">
        <f>SUMIFS('Dubai Stock'!I:I,'Dubai Stock'!H:H,Final_UAE!B:B)</f>
        <v/>
      </c>
      <c r="H79" s="8" t="e">
        <v>#N/A</v>
      </c>
      <c r="I79" s="8" t="n"/>
    </row>
    <row r="80">
      <c r="A80" s="4" t="n">
        <v>33834</v>
      </c>
      <c r="B80" s="4" t="inlineStr">
        <is>
          <t>sm40104-30s-000462-0104-54</t>
        </is>
      </c>
      <c r="C80" s="4" t="inlineStr">
        <is>
          <t>W00031886A</t>
        </is>
      </c>
      <c r="D80" s="6">
        <f>IF(F80&gt;=5, F80-5, IF(F80&lt;5, 0, F80))</f>
        <v/>
      </c>
      <c r="E80">
        <f>VLOOKUP(B80,[1]Namshi!$A:$B,2,0)</f>
        <v/>
      </c>
      <c r="F80" s="4">
        <f>SUMIFS('Dubai Stock'!I:I,'Dubai Stock'!H:H,Final_UAE!B:B)</f>
        <v/>
      </c>
      <c r="H80" s="8" t="e">
        <v>#N/A</v>
      </c>
    </row>
    <row r="81">
      <c r="A81" s="4" t="n">
        <v>33834</v>
      </c>
      <c r="B81" s="4" t="inlineStr">
        <is>
          <t>sc50907-bab-000505-0907-43</t>
        </is>
      </c>
      <c r="C81" s="4" t="inlineStr">
        <is>
          <t>W00031886A</t>
        </is>
      </c>
      <c r="D81" s="6">
        <f>IF(F81&gt;=5, F81-5, IF(F81&lt;5, 0, F81))</f>
        <v/>
      </c>
      <c r="E81">
        <f>VLOOKUP(B81,[1]Namshi!$A:$B,2,0)</f>
        <v/>
      </c>
      <c r="F81" s="4">
        <f>SUMIFS('Dubai Stock'!I:I,'Dubai Stock'!H:H,Final_UAE!B:B)</f>
        <v/>
      </c>
      <c r="H81" s="8" t="e">
        <v>#N/A</v>
      </c>
    </row>
    <row r="82">
      <c r="A82" s="4" t="n">
        <v>33834</v>
      </c>
      <c r="B82" s="4" t="inlineStr">
        <is>
          <t>sw50506-30s-000406-2906p-56</t>
        </is>
      </c>
      <c r="C82" s="4" t="inlineStr">
        <is>
          <t>W00031886A</t>
        </is>
      </c>
      <c r="D82" s="6">
        <f>IF(F82&gt;=5, F82-5, IF(F82&lt;5, 0, F82))</f>
        <v/>
      </c>
      <c r="E82">
        <f>VLOOKUP(B82,[1]Namshi!$A:$B,2,0)</f>
        <v/>
      </c>
      <c r="F82" s="4">
        <f>SUMIFS('Dubai Stock'!I:I,'Dubai Stock'!H:H,Final_UAE!B:B)</f>
        <v/>
      </c>
      <c r="H82" s="8" t="e">
        <v>#N/A</v>
      </c>
    </row>
    <row r="83">
      <c r="A83" s="4" t="n">
        <v>33834</v>
      </c>
      <c r="B83" s="4" t="inlineStr">
        <is>
          <t>sw30107-30s-000458-0107-56</t>
        </is>
      </c>
      <c r="C83" s="4" t="inlineStr">
        <is>
          <t>W00031886A</t>
        </is>
      </c>
      <c r="D83" s="6">
        <f>IF(F83&gt;=5, F83-5, IF(F83&lt;5, 0, F83))</f>
        <v/>
      </c>
      <c r="E83">
        <f>VLOOKUP(B83,[1]Namshi!$A:$B,2,0)</f>
        <v/>
      </c>
      <c r="F83" s="4">
        <f>SUMIFS('Dubai Stock'!I:I,'Dubai Stock'!H:H,Final_UAE!B:B)</f>
        <v/>
      </c>
      <c r="H83" s="8" t="e">
        <v>#N/A</v>
      </c>
    </row>
    <row r="84">
      <c r="A84" s="4" t="n">
        <v>33834</v>
      </c>
      <c r="B84" s="4" t="inlineStr">
        <is>
          <t>sm100107-30s-000403-0107-49</t>
        </is>
      </c>
      <c r="C84" s="4" t="inlineStr">
        <is>
          <t>W00031886A</t>
        </is>
      </c>
      <c r="D84" s="6">
        <f>IF(F84&gt;=5, F84-5, IF(F84&lt;5, 0, F84))</f>
        <v/>
      </c>
      <c r="E84">
        <f>VLOOKUP(B84,[1]Namshi!$A:$B,2,0)</f>
        <v/>
      </c>
      <c r="F84" s="4">
        <f>SUMIFS('Dubai Stock'!I:I,'Dubai Stock'!H:H,Final_UAE!B:B)</f>
        <v/>
      </c>
      <c r="H84" s="8" t="e">
        <v>#N/A</v>
      </c>
    </row>
    <row r="85">
      <c r="A85" s="4" t="n">
        <v>33834</v>
      </c>
      <c r="B85" s="4" t="inlineStr">
        <is>
          <t>sc50907-bab-000506-0907-48</t>
        </is>
      </c>
      <c r="C85" s="4" t="inlineStr">
        <is>
          <t>W00031886A</t>
        </is>
      </c>
      <c r="D85" s="6">
        <f>IF(F85&gt;=5, F85-5, IF(F85&lt;5, 0, F85))</f>
        <v/>
      </c>
      <c r="E85">
        <f>VLOOKUP(B85,[1]Namshi!$A:$B,2,0)</f>
        <v/>
      </c>
      <c r="F85" s="4">
        <f>SUMIFS('Dubai Stock'!I:I,'Dubai Stock'!H:H,Final_UAE!B:B)</f>
        <v/>
      </c>
      <c r="H85" s="8" t="e">
        <v>#N/A</v>
      </c>
    </row>
    <row r="86">
      <c r="A86" s="4" t="n">
        <v>33834</v>
      </c>
      <c r="B86" s="4" t="inlineStr">
        <is>
          <t>sm20106-30s-000426-0106-53</t>
        </is>
      </c>
      <c r="C86" s="4" t="inlineStr">
        <is>
          <t>W00031886A</t>
        </is>
      </c>
      <c r="D86" s="6">
        <f>IF(F86&gt;=5, F86-5, IF(F86&lt;5, 0, F86))</f>
        <v/>
      </c>
      <c r="E86">
        <f>VLOOKUP(B86,[1]Namshi!$A:$B,2,0)</f>
        <v/>
      </c>
      <c r="F86" s="4">
        <f>SUMIFS('Dubai Stock'!I:I,'Dubai Stock'!H:H,Final_UAE!B:B)</f>
        <v/>
      </c>
      <c r="H86" s="8" t="e">
        <v>#N/A</v>
      </c>
    </row>
    <row r="87">
      <c r="A87" s="4" t="n">
        <v>33834</v>
      </c>
      <c r="B87" s="4" t="inlineStr">
        <is>
          <t>sm40107-30s-000423-0107-55</t>
        </is>
      </c>
      <c r="C87" s="4" t="inlineStr">
        <is>
          <t>W00031886A</t>
        </is>
      </c>
      <c r="D87" s="6">
        <f>IF(F87&gt;=5, F87-5, IF(F87&lt;5, 0, F87))</f>
        <v/>
      </c>
      <c r="E87">
        <f>VLOOKUP(B87,[1]Namshi!$A:$B,2,0)</f>
        <v/>
      </c>
      <c r="F87" s="4">
        <f>SUMIFS('Dubai Stock'!I:I,'Dubai Stock'!H:H,Final_UAE!B:B)</f>
        <v/>
      </c>
      <c r="H87" s="8" t="e">
        <v>#N/A</v>
      </c>
    </row>
    <row r="88">
      <c r="A88" s="4" t="n">
        <v>33834</v>
      </c>
      <c r="B88" s="4" t="inlineStr">
        <is>
          <t>clstmon-eve-prom-p01-sn0225</t>
        </is>
      </c>
      <c r="C88" s="4" t="inlineStr">
        <is>
          <t>W00031886A</t>
        </is>
      </c>
      <c r="D88" s="6">
        <f>IF(F88&gt;=5, F88-5, IF(F88&lt;5, 0, F88))</f>
        <v/>
      </c>
      <c r="E88">
        <f>VLOOKUP(B88,[1]Namshi!$A:$B,2,0)</f>
        <v/>
      </c>
      <c r="F88" s="4">
        <f>SUMIFS('Dubai Stock'!I:I,'Dubai Stock'!H:H,Final_UAE!B:B)</f>
        <v/>
      </c>
      <c r="H88" s="8" t="e">
        <v>#N/A</v>
      </c>
      <c r="I88" s="8" t="n"/>
    </row>
    <row r="89">
      <c r="A89" s="4" t="n">
        <v>33834</v>
      </c>
      <c r="B89" s="4" t="inlineStr">
        <is>
          <t>sc50207-bab-000506-0207-48</t>
        </is>
      </c>
      <c r="C89" s="4" t="inlineStr">
        <is>
          <t>W00031886A</t>
        </is>
      </c>
      <c r="D89" s="6">
        <f>IF(F89&gt;=5, F89-5, IF(F89&lt;5, 0, F89))</f>
        <v/>
      </c>
      <c r="E89">
        <f>VLOOKUP(B89,[1]Namshi!$A:$B,2,0)</f>
        <v/>
      </c>
      <c r="F89" s="4">
        <f>SUMIFS('Dubai Stock'!I:I,'Dubai Stock'!H:H,Final_UAE!B:B)</f>
        <v/>
      </c>
      <c r="H89" s="8" t="e">
        <v>#N/A</v>
      </c>
    </row>
    <row r="90">
      <c r="A90" s="4" t="n">
        <v>33834</v>
      </c>
      <c r="B90" s="4" t="inlineStr">
        <is>
          <t>sw100904-30s-000413-0904-53</t>
        </is>
      </c>
      <c r="C90" s="4" t="inlineStr">
        <is>
          <t>W00031886A</t>
        </is>
      </c>
      <c r="D90" s="6">
        <f>IF(F90&gt;=5, F90-5, IF(F90&lt;5, 0, F90))</f>
        <v/>
      </c>
      <c r="E90">
        <f>VLOOKUP(B90,[1]Namshi!$A:$B,2,0)</f>
        <v/>
      </c>
      <c r="F90" s="4">
        <f>SUMIFS('Dubai Stock'!I:I,'Dubai Stock'!H:H,Final_UAE!B:B)</f>
        <v/>
      </c>
      <c r="H90" s="8" t="e">
        <v>#N/A</v>
      </c>
    </row>
    <row r="91">
      <c r="A91" s="4" t="n">
        <v>33834</v>
      </c>
      <c r="B91" s="4" t="inlineStr">
        <is>
          <t>clstdai-eve-pure-p05-sn0300</t>
        </is>
      </c>
      <c r="C91" s="4" t="inlineStr">
        <is>
          <t>W00031886A</t>
        </is>
      </c>
      <c r="D91" s="6">
        <f>IF(F91&gt;=5, F91-5, IF(F91&lt;5, 0, F91))</f>
        <v/>
      </c>
      <c r="E91">
        <f>VLOOKUP(B91,[1]Namshi!$A:$B,2,0)</f>
        <v/>
      </c>
      <c r="F91" s="4">
        <f>SUMIFS('Dubai Stock'!I:I,'Dubai Stock'!H:H,Final_UAE!B:B)</f>
        <v/>
      </c>
      <c r="H91" s="8" t="e">
        <v>#N/A</v>
      </c>
      <c r="I91" s="8" t="n"/>
    </row>
    <row r="92">
      <c r="A92" s="4" t="n">
        <v>33834</v>
      </c>
      <c r="B92" s="4" t="inlineStr">
        <is>
          <t>sm100906-30s-000403-0906-49</t>
        </is>
      </c>
      <c r="C92" s="4" t="inlineStr">
        <is>
          <t>W00031886A</t>
        </is>
      </c>
      <c r="D92" s="6">
        <f>IF(F92&gt;=5, F92-5, IF(F92&lt;5, 0, F92))</f>
        <v/>
      </c>
      <c r="E92">
        <f>VLOOKUP(B92,[1]Namshi!$A:$B,2,0)</f>
        <v/>
      </c>
      <c r="F92" s="4">
        <f>SUMIFS('Dubai Stock'!I:I,'Dubai Stock'!H:H,Final_UAE!B:B)</f>
        <v/>
      </c>
      <c r="H92" s="8" t="e">
        <v>#N/A</v>
      </c>
    </row>
    <row r="93">
      <c r="A93" s="4" t="n">
        <v>33834</v>
      </c>
      <c r="B93" s="4" t="inlineStr">
        <is>
          <t>sm100107-30s-000421-0107-49</t>
        </is>
      </c>
      <c r="C93" s="4" t="inlineStr">
        <is>
          <t>W00031886A</t>
        </is>
      </c>
      <c r="D93" s="6">
        <f>IF(F93&gt;=5, F93-5, IF(F93&lt;5, 0, F93))</f>
        <v/>
      </c>
      <c r="E93">
        <f>VLOOKUP(B93,[1]Namshi!$A:$B,2,0)</f>
        <v/>
      </c>
      <c r="F93" s="4">
        <f>SUMIFS('Dubai Stock'!I:I,'Dubai Stock'!H:H,Final_UAE!B:B)</f>
        <v/>
      </c>
      <c r="H93" s="8" t="e">
        <v>#N/A</v>
      </c>
    </row>
    <row r="94">
      <c r="A94" s="4" t="n">
        <v>33834</v>
      </c>
      <c r="B94" s="4" t="inlineStr">
        <is>
          <t>sc20901-bab-000500-0901-40</t>
        </is>
      </c>
      <c r="C94" s="4" t="inlineStr">
        <is>
          <t>W00031886A</t>
        </is>
      </c>
      <c r="D94" s="6">
        <f>IF(F94&gt;=5, F94-5, IF(F94&lt;5, 0, F94))</f>
        <v/>
      </c>
      <c r="E94">
        <f>VLOOKUP(B94,[1]Namshi!$A:$B,2,0)</f>
        <v/>
      </c>
      <c r="F94" s="4">
        <f>SUMIFS('Dubai Stock'!I:I,'Dubai Stock'!H:H,Final_UAE!B:B)</f>
        <v/>
      </c>
      <c r="H94" s="8" t="e">
        <v>#N/A</v>
      </c>
    </row>
    <row r="95">
      <c r="A95" s="4" t="n">
        <v>33834</v>
      </c>
      <c r="B95" s="4" t="inlineStr">
        <is>
          <t>clstdai-eve-pure-p30-sp0250</t>
        </is>
      </c>
      <c r="C95" s="4" t="inlineStr">
        <is>
          <t>W00031886A</t>
        </is>
      </c>
      <c r="D95" s="6">
        <f>IF(F95&gt;=5, F95-5, IF(F95&lt;5, 0, F95))</f>
        <v/>
      </c>
      <c r="E95">
        <f>VLOOKUP(B95,[1]Namshi!$A:$B,2,0)</f>
        <v/>
      </c>
      <c r="F95" s="4">
        <f>SUMIFS('Dubai Stock'!I:I,'Dubai Stock'!H:H,Final_UAE!B:B)</f>
        <v/>
      </c>
      <c r="H95" s="8" t="n">
        <v>186</v>
      </c>
      <c r="I95" s="8" t="n">
        <v>104.3</v>
      </c>
    </row>
    <row r="96">
      <c r="A96" s="4" t="n">
        <v>33834</v>
      </c>
      <c r="B96" s="4" t="inlineStr">
        <is>
          <t>sm40404-30s-000404-0404-54</t>
        </is>
      </c>
      <c r="C96" s="4" t="inlineStr">
        <is>
          <t>W00031886A</t>
        </is>
      </c>
      <c r="D96" s="6">
        <f>IF(F96&gt;=5, F96-5, IF(F96&lt;5, 0, F96))</f>
        <v/>
      </c>
      <c r="E96">
        <f>VLOOKUP(B96,[1]Namshi!$A:$B,2,0)</f>
        <v/>
      </c>
      <c r="F96" s="4">
        <f>SUMIFS('Dubai Stock'!I:I,'Dubai Stock'!H:H,Final_UAE!B:B)</f>
        <v/>
      </c>
      <c r="H96" s="8" t="e">
        <v>#N/A</v>
      </c>
    </row>
    <row r="97">
      <c r="A97" s="4" t="n">
        <v>33834</v>
      </c>
      <c r="B97" s="4" t="inlineStr">
        <is>
          <t>clstdai-eve-pure-p30-sp0300</t>
        </is>
      </c>
      <c r="C97" s="4" t="inlineStr">
        <is>
          <t>W00031886A</t>
        </is>
      </c>
      <c r="D97" s="6">
        <f>IF(F97&gt;=5, F97-5, IF(F97&lt;5, 0, F97))</f>
        <v/>
      </c>
      <c r="E97">
        <f>VLOOKUP(B97,[1]Namshi!$A:$B,2,0)</f>
        <v/>
      </c>
      <c r="F97" s="4">
        <f>SUMIFS('Dubai Stock'!I:I,'Dubai Stock'!H:H,Final_UAE!B:B)</f>
        <v/>
      </c>
      <c r="H97" s="8" t="n">
        <v>186</v>
      </c>
      <c r="I97" s="8" t="n">
        <v>104.3</v>
      </c>
    </row>
    <row r="98">
      <c r="A98" s="4" t="n">
        <v>33834</v>
      </c>
      <c r="B98" s="4" t="inlineStr">
        <is>
          <t>su100107-30s-000457-0107-49</t>
        </is>
      </c>
      <c r="C98" s="4" t="inlineStr">
        <is>
          <t>W00031886A</t>
        </is>
      </c>
      <c r="D98" s="6">
        <f>IF(F98&gt;=5, F98-5, IF(F98&lt;5, 0, F98))</f>
        <v/>
      </c>
      <c r="E98">
        <f>VLOOKUP(B98,[1]Namshi!$A:$B,2,0)</f>
        <v/>
      </c>
      <c r="F98" s="4">
        <f>SUMIFS('Dubai Stock'!I:I,'Dubai Stock'!H:H,Final_UAE!B:B)</f>
        <v/>
      </c>
      <c r="H98" s="8" t="e">
        <v>#N/A</v>
      </c>
    </row>
    <row r="99">
      <c r="A99" s="4" t="n">
        <v>33834</v>
      </c>
      <c r="B99" s="4" t="inlineStr">
        <is>
          <t>sc40606-bab-000503-0606-46</t>
        </is>
      </c>
      <c r="C99" s="4" t="inlineStr">
        <is>
          <t>W00031886A</t>
        </is>
      </c>
      <c r="D99" s="6">
        <f>IF(F99&gt;=5, F99-5, IF(F99&lt;5, 0, F99))</f>
        <v/>
      </c>
      <c r="E99">
        <f>VLOOKUP(B99,[1]Namshi!$A:$B,2,0)</f>
        <v/>
      </c>
      <c r="F99" s="4">
        <f>SUMIFS('Dubai Stock'!I:I,'Dubai Stock'!H:H,Final_UAE!B:B)</f>
        <v/>
      </c>
      <c r="H99" s="8" t="e">
        <v>#N/A</v>
      </c>
    </row>
    <row r="100">
      <c r="A100" s="4" t="n">
        <v>33834</v>
      </c>
      <c r="B100" s="4" t="inlineStr">
        <is>
          <t>sc20607-bab-000527-0607-48</t>
        </is>
      </c>
      <c r="C100" s="4" t="inlineStr">
        <is>
          <t>W00031886A</t>
        </is>
      </c>
      <c r="D100" s="6">
        <f>IF(F100&gt;=5, F100-5, IF(F100&lt;5, 0, F100))</f>
        <v/>
      </c>
      <c r="E100">
        <f>VLOOKUP(B100,[1]Namshi!$A:$B,2,0)</f>
        <v/>
      </c>
      <c r="F100" s="4">
        <f>SUMIFS('Dubai Stock'!I:I,'Dubai Stock'!H:H,Final_UAE!B:B)</f>
        <v/>
      </c>
      <c r="H100" s="8" t="e">
        <v>#N/A</v>
      </c>
    </row>
    <row r="101">
      <c r="A101" s="4" t="n">
        <v>33834</v>
      </c>
      <c r="B101" s="4" t="inlineStr">
        <is>
          <t>sw30404-30s-000418-0404-52</t>
        </is>
      </c>
      <c r="C101" s="4" t="inlineStr">
        <is>
          <t>W00031886A</t>
        </is>
      </c>
      <c r="D101" s="6">
        <f>IF(F101&gt;=5, F101-5, IF(F101&lt;5, 0, F101))</f>
        <v/>
      </c>
      <c r="E101">
        <f>VLOOKUP(B101,[1]Namshi!$A:$B,2,0)</f>
        <v/>
      </c>
      <c r="F101" s="4">
        <f>SUMIFS('Dubai Stock'!I:I,'Dubai Stock'!H:H,Final_UAE!B:B)</f>
        <v/>
      </c>
      <c r="H101" s="8" t="e">
        <v>#N/A</v>
      </c>
    </row>
    <row r="102">
      <c r="A102" s="4" t="n">
        <v>33834</v>
      </c>
      <c r="B102" s="4" t="inlineStr">
        <is>
          <t>cost3mo-lay-2025-p02-desert-topaz-sp0000</t>
        </is>
      </c>
      <c r="C102" s="4" t="inlineStr">
        <is>
          <t>W00031886A</t>
        </is>
      </c>
      <c r="D102" s="6">
        <f>IF(F102&gt;=5, F102-5, IF(F102&lt;5, 0, F102))</f>
        <v/>
      </c>
      <c r="E102">
        <f>VLOOKUP(B102,[1]Namshi!$A:$B,2,0)</f>
        <v/>
      </c>
      <c r="F102" s="4">
        <f>SUMIFS('Dubai Stock'!I:I,'Dubai Stock'!H:H,Final_UAE!B:B)</f>
        <v/>
      </c>
      <c r="H102" s="8" t="e">
        <v>#N/A</v>
      </c>
      <c r="I102" s="8" t="n"/>
    </row>
    <row r="103">
      <c r="A103" s="4" t="n">
        <v>33834</v>
      </c>
      <c r="B103" s="4" t="inlineStr">
        <is>
          <t>clstdai-eve-pure-p05-sn0425</t>
        </is>
      </c>
      <c r="C103" s="4" t="inlineStr">
        <is>
          <t>W00031886A</t>
        </is>
      </c>
      <c r="D103" s="6">
        <f>IF(F103&gt;=5, F103-5, IF(F103&lt;5, 0, F103))</f>
        <v/>
      </c>
      <c r="E103">
        <f>VLOOKUP(B103,[1]Namshi!$A:$B,2,0)</f>
        <v/>
      </c>
      <c r="F103" s="4">
        <f>SUMIFS('Dubai Stock'!I:I,'Dubai Stock'!H:H,Final_UAE!B:B)</f>
        <v/>
      </c>
      <c r="H103" s="8" t="e">
        <v>#N/A</v>
      </c>
      <c r="I103" s="8" t="n"/>
    </row>
    <row r="104">
      <c r="A104" s="4" t="n">
        <v>33834</v>
      </c>
      <c r="B104" s="4" t="inlineStr">
        <is>
          <t>clstdai-eve-pure-p05-sn0125</t>
        </is>
      </c>
      <c r="C104" s="4" t="inlineStr">
        <is>
          <t>W00031886A</t>
        </is>
      </c>
      <c r="D104" s="6">
        <f>IF(F104&gt;=5, F104-5, IF(F104&lt;5, 0, F104))</f>
        <v/>
      </c>
      <c r="E104">
        <f>VLOOKUP(B104,[1]Namshi!$A:$B,2,0)</f>
        <v/>
      </c>
      <c r="F104" s="4">
        <f>SUMIFS('Dubai Stock'!I:I,'Dubai Stock'!H:H,Final_UAE!B:B)</f>
        <v/>
      </c>
      <c r="H104" s="8" t="e">
        <v>#N/A</v>
      </c>
      <c r="I104" s="8" t="n"/>
    </row>
    <row r="105">
      <c r="A105" s="4" t="n">
        <v>33834</v>
      </c>
      <c r="B105" s="4" t="inlineStr">
        <is>
          <t>costdai-ama-dail-p10-shadow-sn0125</t>
        </is>
      </c>
      <c r="C105" s="4" t="inlineStr">
        <is>
          <t>W00031886A</t>
        </is>
      </c>
      <c r="D105" s="6">
        <f>IF(F105&gt;=5, F105-5, IF(F105&lt;5, 0, F105))</f>
        <v/>
      </c>
      <c r="E105">
        <f>VLOOKUP(B105,[1]Namshi!$A:$B,2,0)</f>
        <v/>
      </c>
      <c r="F105" s="4">
        <f>SUMIFS('Dubai Stock'!I:I,'Dubai Stock'!H:H,Final_UAE!B:B)</f>
        <v/>
      </c>
      <c r="H105" s="8" t="e">
        <v>#N/A</v>
      </c>
      <c r="I105" s="8" t="n"/>
    </row>
    <row r="106">
      <c r="A106" s="4" t="n">
        <v>33834</v>
      </c>
      <c r="B106" s="4" t="inlineStr">
        <is>
          <t>cost3mo-lay-2025-p02-emerald-glow-sn0225</t>
        </is>
      </c>
      <c r="C106" s="4" t="inlineStr">
        <is>
          <t>W00031886A</t>
        </is>
      </c>
      <c r="D106" s="6">
        <f>IF(F106&gt;=5, F106-5, IF(F106&lt;5, 0, F106))</f>
        <v/>
      </c>
      <c r="E106">
        <f>VLOOKUP(B106,[1]Namshi!$A:$B,2,0)</f>
        <v/>
      </c>
      <c r="F106" s="4">
        <f>SUMIFS('Dubai Stock'!I:I,'Dubai Stock'!H:H,Final_UAE!B:B)</f>
        <v/>
      </c>
      <c r="H106" s="8" t="e">
        <v>#N/A</v>
      </c>
      <c r="I106" s="8" t="n"/>
    </row>
    <row r="107">
      <c r="A107" s="4" t="n">
        <v>33834</v>
      </c>
      <c r="B107" s="4" t="inlineStr">
        <is>
          <t>clstdai-lay-cont-p10-dazzle-bkack-sn0050</t>
        </is>
      </c>
      <c r="C107" s="4" t="inlineStr">
        <is>
          <t>W00031886A</t>
        </is>
      </c>
      <c r="D107" s="6">
        <f>IF(F107&gt;=5, F107-5, IF(F107&lt;5, 0, F107))</f>
        <v/>
      </c>
      <c r="E107">
        <f>VLOOKUP(B107,[1]Namshi!$A:$B,2,0)</f>
        <v/>
      </c>
      <c r="F107" s="4">
        <f>SUMIFS('Dubai Stock'!I:I,'Dubai Stock'!H:H,Final_UAE!B:B)</f>
        <v/>
      </c>
      <c r="H107" s="8" t="e">
        <v>#N/A</v>
      </c>
      <c r="I107" s="8" t="n"/>
    </row>
    <row r="108">
      <c r="A108" s="4" t="n">
        <v>33834</v>
      </c>
      <c r="B108" s="4" t="inlineStr">
        <is>
          <t>sm50107-opc-130020-0107-49</t>
        </is>
      </c>
      <c r="C108" s="4" t="inlineStr">
        <is>
          <t>W00031886A</t>
        </is>
      </c>
      <c r="D108" s="6">
        <f>IF(F108&gt;=5, F108-5, IF(F108&lt;5, 0, F108))</f>
        <v/>
      </c>
      <c r="E108">
        <f>VLOOKUP(B108,[1]Namshi!$A:$B,2,0)</f>
        <v/>
      </c>
      <c r="F108" s="4">
        <f>SUMIFS('Dubai Stock'!I:I,'Dubai Stock'!H:H,Final_UAE!B:B)</f>
        <v/>
      </c>
      <c r="H108" s="8" t="e">
        <v>#N/A</v>
      </c>
      <c r="I108" s="8" t="n"/>
    </row>
    <row r="109">
      <c r="A109" s="4" t="n">
        <v>33834</v>
      </c>
      <c r="B109" s="4" t="inlineStr">
        <is>
          <t>sc50207-bab-000230-0207-45</t>
        </is>
      </c>
      <c r="C109" s="4" t="inlineStr">
        <is>
          <t>W00031886A</t>
        </is>
      </c>
      <c r="D109" s="6">
        <f>IF(F109&gt;=5, F109-5, IF(F109&lt;5, 0, F109))</f>
        <v/>
      </c>
      <c r="E109">
        <f>VLOOKUP(B109,[1]Namshi!$A:$B,2,0)</f>
        <v/>
      </c>
      <c r="F109" s="4">
        <f>SUMIFS('Dubai Stock'!I:I,'Dubai Stock'!H:H,Final_UAE!B:B)</f>
        <v/>
      </c>
      <c r="H109" s="8" t="e">
        <v>#N/A</v>
      </c>
    </row>
    <row r="110">
      <c r="A110" s="4" t="n">
        <v>33834</v>
      </c>
      <c r="B110" s="4" t="inlineStr">
        <is>
          <t>sc40606-bab-000518-0606d-46</t>
        </is>
      </c>
      <c r="C110" s="4" t="inlineStr">
        <is>
          <t>W00031886A</t>
        </is>
      </c>
      <c r="D110" s="6">
        <f>IF(F110&gt;=5, F110-5, IF(F110&lt;5, 0, F110))</f>
        <v/>
      </c>
      <c r="E110">
        <f>VLOOKUP(B110,[1]Namshi!$A:$B,2,0)</f>
        <v/>
      </c>
      <c r="F110" s="4">
        <f>SUMIFS('Dubai Stock'!I:I,'Dubai Stock'!H:H,Final_UAE!B:B)</f>
        <v/>
      </c>
      <c r="H110" s="8" t="e">
        <v>#N/A</v>
      </c>
    </row>
    <row r="111">
      <c r="A111" s="4" t="n">
        <v>33834</v>
      </c>
      <c r="B111" s="4" t="inlineStr">
        <is>
          <t>sc40606-bab-000515-2106d-46</t>
        </is>
      </c>
      <c r="C111" s="4" t="inlineStr">
        <is>
          <t>W00031886A</t>
        </is>
      </c>
      <c r="D111" s="6">
        <f>IF(F111&gt;=5, F111-5, IF(F111&lt;5, 0, F111))</f>
        <v/>
      </c>
      <c r="E111">
        <f>VLOOKUP(B111,[1]Namshi!$A:$B,2,0)</f>
        <v/>
      </c>
      <c r="F111" s="4">
        <f>SUMIFS('Dubai Stock'!I:I,'Dubai Stock'!H:H,Final_UAE!B:B)</f>
        <v/>
      </c>
      <c r="H111" s="8" t="e">
        <v>#N/A</v>
      </c>
    </row>
    <row r="112">
      <c r="A112" s="4" t="n">
        <v>33834</v>
      </c>
      <c r="B112" s="4" t="inlineStr">
        <is>
          <t>sm40107-30s-000417-1707-49</t>
        </is>
      </c>
      <c r="C112" s="4" t="inlineStr">
        <is>
          <t>W00031886A</t>
        </is>
      </c>
      <c r="D112" s="6">
        <f>IF(F112&gt;=5, F112-5, IF(F112&lt;5, 0, F112))</f>
        <v/>
      </c>
      <c r="E112">
        <f>VLOOKUP(B112,[1]Namshi!$A:$B,2,0)</f>
        <v/>
      </c>
      <c r="F112" s="4">
        <f>SUMIFS('Dubai Stock'!I:I,'Dubai Stock'!H:H,Final_UAE!B:B)</f>
        <v/>
      </c>
      <c r="H112" s="8" t="e">
        <v>#N/A</v>
      </c>
    </row>
    <row r="113">
      <c r="A113" s="4" t="n">
        <v>33834</v>
      </c>
      <c r="B113" s="4" t="inlineStr">
        <is>
          <t>sw100507-30s-000401-2907-55</t>
        </is>
      </c>
      <c r="C113" s="4" t="inlineStr">
        <is>
          <t>W00031886A</t>
        </is>
      </c>
      <c r="D113" s="6">
        <f>IF(F113&gt;=5, F113-5, IF(F113&lt;5, 0, F113))</f>
        <v/>
      </c>
      <c r="E113">
        <f>VLOOKUP(B113,[1]Namshi!$A:$B,2,0)</f>
        <v/>
      </c>
      <c r="F113" s="4">
        <f>SUMIFS('Dubai Stock'!I:I,'Dubai Stock'!H:H,Final_UAE!B:B)</f>
        <v/>
      </c>
      <c r="H113" s="8" t="e">
        <v>#N/A</v>
      </c>
    </row>
    <row r="114">
      <c r="A114" s="4" t="n">
        <v>33834</v>
      </c>
      <c r="B114" s="4" t="inlineStr">
        <is>
          <t>sc50607-bab-000503-0607-46</t>
        </is>
      </c>
      <c r="C114" s="4" t="inlineStr">
        <is>
          <t>W00031886A</t>
        </is>
      </c>
      <c r="D114" s="6">
        <f>IF(F114&gt;=5, F114-5, IF(F114&lt;5, 0, F114))</f>
        <v/>
      </c>
      <c r="E114">
        <f>VLOOKUP(B114,[1]Namshi!$A:$B,2,0)</f>
        <v/>
      </c>
      <c r="F114" s="4">
        <f>SUMIFS('Dubai Stock'!I:I,'Dubai Stock'!H:H,Final_UAE!B:B)</f>
        <v/>
      </c>
      <c r="H114" s="8" t="e">
        <v>#N/A</v>
      </c>
    </row>
    <row r="115">
      <c r="A115" s="4" t="n">
        <v>33834</v>
      </c>
      <c r="B115" s="4" t="inlineStr">
        <is>
          <t>sc20904-bab-000514-0904d-43</t>
        </is>
      </c>
      <c r="C115" s="4" t="inlineStr">
        <is>
          <t>W00031886A</t>
        </is>
      </c>
      <c r="D115" s="6">
        <f>IF(F115&gt;=5, F115-5, IF(F115&lt;5, 0, F115))</f>
        <v/>
      </c>
      <c r="E115">
        <f>VLOOKUP(B115,[1]Namshi!$A:$B,2,0)</f>
        <v/>
      </c>
      <c r="F115" s="4">
        <f>SUMIFS('Dubai Stock'!I:I,'Dubai Stock'!H:H,Final_UAE!B:B)</f>
        <v/>
      </c>
      <c r="H115" s="8" t="e">
        <v>#N/A</v>
      </c>
    </row>
    <row r="116">
      <c r="A116" s="4" t="n">
        <v>33834</v>
      </c>
      <c r="B116" s="4" t="inlineStr">
        <is>
          <t>sc40107-bab-000507-0107d-46</t>
        </is>
      </c>
      <c r="C116" s="4" t="inlineStr">
        <is>
          <t>W00031886A</t>
        </is>
      </c>
      <c r="D116" s="6">
        <f>IF(F116&gt;=5, F116-5, IF(F116&lt;5, 0, F116))</f>
        <v/>
      </c>
      <c r="E116">
        <f>VLOOKUP(B116,[1]Namshi!$A:$B,2,0)</f>
        <v/>
      </c>
      <c r="F116" s="4">
        <f>SUMIFS('Dubai Stock'!I:I,'Dubai Stock'!H:H,Final_UAE!B:B)</f>
        <v/>
      </c>
      <c r="H116" s="8" t="e">
        <v>#N/A</v>
      </c>
    </row>
    <row r="117">
      <c r="A117" s="4" t="n">
        <v>33834</v>
      </c>
      <c r="B117" s="4" t="inlineStr">
        <is>
          <t>sc22007-opc-190007-2007-39</t>
        </is>
      </c>
      <c r="C117" s="4" t="inlineStr">
        <is>
          <t>W00031886A</t>
        </is>
      </c>
      <c r="D117" s="6">
        <f>IF(F117&gt;=5, F117-5, IF(F117&lt;5, 0, F117))</f>
        <v/>
      </c>
      <c r="E117">
        <f>VLOOKUP(B117,[1]Namshi!$A:$B,2,0)</f>
        <v/>
      </c>
      <c r="F117" s="4">
        <f>SUMIFS('Dubai Stock'!I:I,'Dubai Stock'!H:H,Final_UAE!B:B)</f>
        <v/>
      </c>
      <c r="H117" s="8" t="e">
        <v>#N/A</v>
      </c>
      <c r="I117" s="8" t="n"/>
    </row>
    <row r="118">
      <c r="A118" s="4" t="n">
        <v>33834</v>
      </c>
      <c r="B118" s="4" t="inlineStr">
        <is>
          <t>su20101-opc-110094-0101-53</t>
        </is>
      </c>
      <c r="C118" s="4" t="inlineStr">
        <is>
          <t>W00031886A</t>
        </is>
      </c>
      <c r="D118" s="6">
        <f>IF(F118&gt;=5, F118-5, IF(F118&lt;5, 0, F118))</f>
        <v/>
      </c>
      <c r="E118">
        <f>VLOOKUP(B118,[1]Namshi!$A:$B,2,0)</f>
        <v/>
      </c>
      <c r="F118" s="4">
        <f>SUMIFS('Dubai Stock'!I:I,'Dubai Stock'!H:H,Final_UAE!B:B)</f>
        <v/>
      </c>
      <c r="H118" s="8" t="e">
        <v>#N/A</v>
      </c>
      <c r="I118" s="8" t="n"/>
    </row>
    <row r="119">
      <c r="A119" s="4" t="n">
        <v>33834</v>
      </c>
      <c r="B119" s="4" t="inlineStr">
        <is>
          <t>sc50202-bab-000505-0202-43</t>
        </is>
      </c>
      <c r="C119" s="4" t="inlineStr">
        <is>
          <t>W00031886A</t>
        </is>
      </c>
      <c r="D119" s="6">
        <f>IF(F119&gt;=5, F119-5, IF(F119&lt;5, 0, F119))</f>
        <v/>
      </c>
      <c r="E119">
        <f>VLOOKUP(B119,[1]Namshi!$A:$B,2,0)</f>
        <v/>
      </c>
      <c r="F119" s="4">
        <f>SUMIFS('Dubai Stock'!I:I,'Dubai Stock'!H:H,Final_UAE!B:B)</f>
        <v/>
      </c>
      <c r="H119" s="8" t="e">
        <v>#N/A</v>
      </c>
    </row>
    <row r="120">
      <c r="A120" s="4" t="n">
        <v>33834</v>
      </c>
      <c r="B120" s="4" t="inlineStr">
        <is>
          <t>sm40701-30s-000409-0701p-56</t>
        </is>
      </c>
      <c r="C120" s="4" t="inlineStr">
        <is>
          <t>W00031886A</t>
        </is>
      </c>
      <c r="D120" s="6">
        <f>IF(F120&gt;=5, F120-5, IF(F120&lt;5, 0, F120))</f>
        <v/>
      </c>
      <c r="E120">
        <f>VLOOKUP(B120,[1]Namshi!$A:$B,2,0)</f>
        <v/>
      </c>
      <c r="F120" s="4">
        <f>SUMIFS('Dubai Stock'!I:I,'Dubai Stock'!H:H,Final_UAE!B:B)</f>
        <v/>
      </c>
      <c r="H120" s="8" t="e">
        <v>#N/A</v>
      </c>
    </row>
    <row r="121">
      <c r="A121" s="4" t="n">
        <v>33834</v>
      </c>
      <c r="B121" s="4" t="inlineStr">
        <is>
          <t>sc40202-bab-000518-0202d-46</t>
        </is>
      </c>
      <c r="C121" s="4" t="inlineStr">
        <is>
          <t>W00031886A</t>
        </is>
      </c>
      <c r="D121" s="6">
        <f>IF(F121&gt;=5, F121-5, IF(F121&lt;5, 0, F121))</f>
        <v/>
      </c>
      <c r="E121">
        <f>VLOOKUP(B121,[1]Namshi!$A:$B,2,0)</f>
        <v/>
      </c>
      <c r="F121" s="4">
        <f>SUMIFS('Dubai Stock'!I:I,'Dubai Stock'!H:H,Final_UAE!B:B)</f>
        <v/>
      </c>
      <c r="H121" s="8" t="e">
        <v>#N/A</v>
      </c>
    </row>
    <row r="122">
      <c r="A122" s="4" t="n">
        <v>33834</v>
      </c>
      <c r="B122" s="4" t="inlineStr">
        <is>
          <t>sm22704-30s-000207-2704p-53</t>
        </is>
      </c>
      <c r="C122" s="4" t="inlineStr">
        <is>
          <t>W00031886A</t>
        </is>
      </c>
      <c r="D122" s="6">
        <f>IF(F122&gt;=5, F122-5, IF(F122&lt;5, 0, F122))</f>
        <v/>
      </c>
      <c r="E122">
        <f>VLOOKUP(B122,[1]Namshi!$A:$B,2,0)</f>
        <v/>
      </c>
      <c r="F122" s="4">
        <f>SUMIFS('Dubai Stock'!I:I,'Dubai Stock'!H:H,Final_UAE!B:B)</f>
        <v/>
      </c>
      <c r="H122" s="8" t="e">
        <v>#N/A</v>
      </c>
    </row>
    <row r="123">
      <c r="A123" s="4" t="n">
        <v>33834</v>
      </c>
      <c r="B123" s="4" t="inlineStr">
        <is>
          <t>sc50202-bab-000506-0202-48</t>
        </is>
      </c>
      <c r="C123" s="4" t="inlineStr">
        <is>
          <t>W00031886A</t>
        </is>
      </c>
      <c r="D123" s="6">
        <f>IF(F123&gt;=5, F123-5, IF(F123&lt;5, 0, F123))</f>
        <v/>
      </c>
      <c r="E123">
        <f>VLOOKUP(B123,[1]Namshi!$A:$B,2,0)</f>
        <v/>
      </c>
      <c r="F123" s="4">
        <f>SUMIFS('Dubai Stock'!I:I,'Dubai Stock'!H:H,Final_UAE!B:B)</f>
        <v/>
      </c>
      <c r="H123" s="8" t="e">
        <v>#N/A</v>
      </c>
    </row>
    <row r="124">
      <c r="A124" s="4" t="n">
        <v>33834</v>
      </c>
      <c r="B124" s="4" t="inlineStr">
        <is>
          <t>sc50107-opc-190006-0107-43</t>
        </is>
      </c>
      <c r="C124" s="4" t="inlineStr">
        <is>
          <t>W00031886A</t>
        </is>
      </c>
      <c r="D124" s="6">
        <f>IF(F124&gt;=5, F124-5, IF(F124&lt;5, 0, F124))</f>
        <v/>
      </c>
      <c r="E124">
        <f>VLOOKUP(B124,[1]Namshi!$A:$B,2,0)</f>
        <v/>
      </c>
      <c r="F124" s="4">
        <f>SUMIFS('Dubai Stock'!I:I,'Dubai Stock'!H:H,Final_UAE!B:B)</f>
        <v/>
      </c>
      <c r="H124" s="8" t="e">
        <v>#N/A</v>
      </c>
      <c r="I124" s="8" t="n"/>
    </row>
    <row r="125">
      <c r="A125" s="4" t="n">
        <v>33834</v>
      </c>
      <c r="B125" s="4" t="inlineStr">
        <is>
          <t>sm50706-30s-000428-0706-48</t>
        </is>
      </c>
      <c r="C125" s="4" t="inlineStr">
        <is>
          <t>W00031886A</t>
        </is>
      </c>
      <c r="D125" s="6">
        <f>IF(F125&gt;=5, F125-5, IF(F125&lt;5, 0, F125))</f>
        <v/>
      </c>
      <c r="E125">
        <f>VLOOKUP(B125,[1]Namshi!$A:$B,2,0)</f>
        <v/>
      </c>
      <c r="F125" s="4">
        <f>SUMIFS('Dubai Stock'!I:I,'Dubai Stock'!H:H,Final_UAE!B:B)</f>
        <v/>
      </c>
      <c r="H125" s="8" t="e">
        <v>#N/A</v>
      </c>
    </row>
    <row r="126">
      <c r="A126" s="4" t="n">
        <v>33834</v>
      </c>
      <c r="B126" s="4" t="inlineStr">
        <is>
          <t>sw101304-30s-000301-1304-54</t>
        </is>
      </c>
      <c r="C126" s="4" t="inlineStr">
        <is>
          <t>W00031886A</t>
        </is>
      </c>
      <c r="D126" s="6">
        <f>IF(F126&gt;=5, F126-5, IF(F126&lt;5, 0, F126))</f>
        <v/>
      </c>
      <c r="E126">
        <f>VLOOKUP(B126,[1]Namshi!$A:$B,2,0)</f>
        <v/>
      </c>
      <c r="F126" s="4">
        <f>SUMIFS('Dubai Stock'!I:I,'Dubai Stock'!H:H,Final_UAE!B:B)</f>
        <v/>
      </c>
      <c r="H126" s="8" t="e">
        <v>#N/A</v>
      </c>
    </row>
    <row r="127">
      <c r="A127" s="4" t="n">
        <v>33834</v>
      </c>
      <c r="B127" s="4" t="inlineStr">
        <is>
          <t>clstdai-eve-pure-p30-sp0175</t>
        </is>
      </c>
      <c r="C127" s="4" t="inlineStr">
        <is>
          <t>W00031886A</t>
        </is>
      </c>
      <c r="D127" s="6">
        <f>IF(F127&gt;=5, F127-5, IF(F127&lt;5, 0, F127))</f>
        <v/>
      </c>
      <c r="E127">
        <f>VLOOKUP(B127,[1]Namshi!$A:$B,2,0)</f>
        <v/>
      </c>
      <c r="F127" s="4">
        <f>SUMIFS('Dubai Stock'!I:I,'Dubai Stock'!H:H,Final_UAE!B:B)</f>
        <v/>
      </c>
      <c r="H127" s="8" t="n">
        <v>186</v>
      </c>
      <c r="I127" s="8" t="n">
        <v>104.3</v>
      </c>
    </row>
    <row r="128">
      <c r="A128" s="4" t="n">
        <v>33834</v>
      </c>
      <c r="B128" s="4" t="inlineStr">
        <is>
          <t>sc40207-bab-000507-0207d-46</t>
        </is>
      </c>
      <c r="C128" s="4" t="inlineStr">
        <is>
          <t>W00031886A</t>
        </is>
      </c>
      <c r="D128" s="6">
        <f>IF(F128&gt;=5, F128-5, IF(F128&lt;5, 0, F128))</f>
        <v/>
      </c>
      <c r="E128">
        <f>VLOOKUP(B128,[1]Namshi!$A:$B,2,0)</f>
        <v/>
      </c>
      <c r="F128" s="4">
        <f>SUMIFS('Dubai Stock'!I:I,'Dubai Stock'!H:H,Final_UAE!B:B)</f>
        <v/>
      </c>
      <c r="H128" s="8" t="e">
        <v>#N/A</v>
      </c>
    </row>
    <row r="129">
      <c r="A129" s="4" t="n">
        <v>33834</v>
      </c>
      <c r="B129" s="4" t="inlineStr">
        <is>
          <t>sc21010-bab-000514-1010d-43</t>
        </is>
      </c>
      <c r="C129" s="4" t="inlineStr">
        <is>
          <t>W00031886A</t>
        </is>
      </c>
      <c r="D129" s="6">
        <f>IF(F129&gt;=5, F129-5, IF(F129&lt;5, 0, F129))</f>
        <v/>
      </c>
      <c r="E129">
        <f>VLOOKUP(B129,[1]Namshi!$A:$B,2,0)</f>
        <v/>
      </c>
      <c r="F129" s="4">
        <f>SUMIFS('Dubai Stock'!I:I,'Dubai Stock'!H:H,Final_UAE!B:B)</f>
        <v/>
      </c>
      <c r="H129" s="8" t="e">
        <v>#N/A</v>
      </c>
    </row>
    <row r="130">
      <c r="A130" s="4" t="n">
        <v>33834</v>
      </c>
      <c r="B130" s="4" t="inlineStr">
        <is>
          <t>sc50907-opc-190006-0907-43</t>
        </is>
      </c>
      <c r="C130" s="4" t="inlineStr">
        <is>
          <t>W00031886A</t>
        </is>
      </c>
      <c r="D130" s="6">
        <f>IF(F130&gt;=5, F130-5, IF(F130&lt;5, 0, F130))</f>
        <v/>
      </c>
      <c r="E130">
        <f>VLOOKUP(B130,[1]Namshi!$A:$B,2,0)</f>
        <v/>
      </c>
      <c r="F130" s="4">
        <f>SUMIFS('Dubai Stock'!I:I,'Dubai Stock'!H:H,Final_UAE!B:B)</f>
        <v/>
      </c>
      <c r="H130" s="8" t="e">
        <v>#N/A</v>
      </c>
      <c r="I130" s="8" t="n"/>
    </row>
    <row r="131">
      <c r="A131" s="4" t="n">
        <v>33834</v>
      </c>
      <c r="B131" s="4" t="inlineStr">
        <is>
          <t>su20104-30s-000206-0104p-52</t>
        </is>
      </c>
      <c r="C131" s="4" t="inlineStr">
        <is>
          <t>W00031886A</t>
        </is>
      </c>
      <c r="D131" s="6">
        <f>IF(F131&gt;=5, F131-5, IF(F131&lt;5, 0, F131))</f>
        <v/>
      </c>
      <c r="E131">
        <f>VLOOKUP(B131,[1]Namshi!$A:$B,2,0)</f>
        <v/>
      </c>
      <c r="F131" s="4">
        <f>SUMIFS('Dubai Stock'!I:I,'Dubai Stock'!H:H,Final_UAE!B:B)</f>
        <v/>
      </c>
      <c r="H131" s="8" t="e">
        <v>#N/A</v>
      </c>
    </row>
    <row r="132">
      <c r="A132" s="4" t="n">
        <v>33834</v>
      </c>
      <c r="B132" s="4" t="inlineStr">
        <is>
          <t>sc30904-bab-000523-0904d-45</t>
        </is>
      </c>
      <c r="C132" s="4" t="inlineStr">
        <is>
          <t>W00031886A</t>
        </is>
      </c>
      <c r="D132" s="6">
        <f>IF(F132&gt;=5, F132-5, IF(F132&lt;5, 0, F132))</f>
        <v/>
      </c>
      <c r="E132">
        <f>VLOOKUP(B132,[1]Namshi!$A:$B,2,0)</f>
        <v/>
      </c>
      <c r="F132" s="4">
        <f>SUMIFS('Dubai Stock'!I:I,'Dubai Stock'!H:H,Final_UAE!B:B)</f>
        <v/>
      </c>
      <c r="H132" s="8" t="e">
        <v>#N/A</v>
      </c>
    </row>
    <row r="133">
      <c r="A133" s="4" t="n">
        <v>33834</v>
      </c>
      <c r="B133" s="4" t="inlineStr">
        <is>
          <t>sm41207-30s-000422-1207-50</t>
        </is>
      </c>
      <c r="C133" s="4" t="inlineStr">
        <is>
          <t>W00031886A</t>
        </is>
      </c>
      <c r="D133" s="6">
        <f>IF(F133&gt;=5, F133-5, IF(F133&lt;5, 0, F133))</f>
        <v/>
      </c>
      <c r="E133">
        <f>VLOOKUP(B133,[1]Namshi!$A:$B,2,0)</f>
        <v/>
      </c>
      <c r="F133" s="4">
        <f>SUMIFS('Dubai Stock'!I:I,'Dubai Stock'!H:H,Final_UAE!B:B)</f>
        <v/>
      </c>
      <c r="H133" s="8" t="e">
        <v>#N/A</v>
      </c>
    </row>
    <row r="134">
      <c r="A134" s="4" t="n">
        <v>33834</v>
      </c>
      <c r="B134" s="4" t="inlineStr">
        <is>
          <t>sc20107-bab-000237-0107-48</t>
        </is>
      </c>
      <c r="C134" s="4" t="inlineStr">
        <is>
          <t>W00031886A</t>
        </is>
      </c>
      <c r="D134" s="6">
        <f>IF(F134&gt;=5, F134-5, IF(F134&lt;5, 0, F134))</f>
        <v/>
      </c>
      <c r="E134">
        <f>VLOOKUP(B134,[1]Namshi!$A:$B,2,0)</f>
        <v/>
      </c>
      <c r="F134" s="4">
        <f>SUMIFS('Dubai Stock'!I:I,'Dubai Stock'!H:H,Final_UAE!B:B)</f>
        <v/>
      </c>
      <c r="H134" s="8" t="e">
        <v>#N/A</v>
      </c>
    </row>
    <row r="135">
      <c r="A135" s="4" t="n">
        <v>33834</v>
      </c>
      <c r="B135" s="4" t="inlineStr">
        <is>
          <t>clstdai-eve-pure-p30-sp0350</t>
        </is>
      </c>
      <c r="C135" s="4" t="inlineStr">
        <is>
          <t>W00031886A</t>
        </is>
      </c>
      <c r="D135" s="6">
        <f>IF(F135&gt;=5, F135-5, IF(F135&lt;5, 0, F135))</f>
        <v/>
      </c>
      <c r="E135">
        <f>VLOOKUP(B135,[1]Namshi!$A:$B,2,0)</f>
        <v/>
      </c>
      <c r="F135" s="4">
        <f>SUMIFS('Dubai Stock'!I:I,'Dubai Stock'!H:H,Final_UAE!B:B)</f>
        <v/>
      </c>
      <c r="H135" s="8" t="n">
        <v>186</v>
      </c>
      <c r="I135" s="8" t="n">
        <v>104.3</v>
      </c>
    </row>
    <row r="136">
      <c r="A136" s="4" t="n">
        <v>33834</v>
      </c>
      <c r="B136" s="4" t="inlineStr">
        <is>
          <t>sc31010-bab-00536-1010d-45</t>
        </is>
      </c>
      <c r="C136" s="4" t="inlineStr">
        <is>
          <t>W00031886A</t>
        </is>
      </c>
      <c r="D136" s="6">
        <f>IF(F136&gt;=5, F136-5, IF(F136&lt;5, 0, F136))</f>
        <v/>
      </c>
      <c r="E136">
        <f>VLOOKUP(B136,[1]Namshi!$A:$B,2,0)</f>
        <v/>
      </c>
      <c r="F136" s="4">
        <f>SUMIFS('Dubai Stock'!I:I,'Dubai Stock'!H:H,Final_UAE!B:B)</f>
        <v/>
      </c>
      <c r="H136" s="8" t="e">
        <v>#N/A</v>
      </c>
    </row>
    <row r="137">
      <c r="A137" s="4" t="n">
        <v>33834</v>
      </c>
      <c r="B137" s="4" t="inlineStr">
        <is>
          <t>sc31010-bab-000523-1010d-45</t>
        </is>
      </c>
      <c r="C137" s="4" t="inlineStr">
        <is>
          <t>W00031886A</t>
        </is>
      </c>
      <c r="D137" s="6">
        <f>IF(F137&gt;=5, F137-5, IF(F137&lt;5, 0, F137))</f>
        <v/>
      </c>
      <c r="E137">
        <f>VLOOKUP(B137,[1]Namshi!$A:$B,2,0)</f>
        <v/>
      </c>
      <c r="F137" s="4">
        <f>SUMIFS('Dubai Stock'!I:I,'Dubai Stock'!H:H,Final_UAE!B:B)</f>
        <v/>
      </c>
      <c r="H137" s="8" t="e">
        <v>#N/A</v>
      </c>
    </row>
    <row r="138">
      <c r="A138" s="4" t="n">
        <v>33834</v>
      </c>
      <c r="B138" s="4" t="inlineStr">
        <is>
          <t>clstdai-eve-pure-p30-sp0600</t>
        </is>
      </c>
      <c r="C138" s="4" t="inlineStr">
        <is>
          <t>W00031886A</t>
        </is>
      </c>
      <c r="D138" s="6">
        <f>IF(F138&gt;=5, F138-5, IF(F138&lt;5, 0, F138))</f>
        <v/>
      </c>
      <c r="E138">
        <f>VLOOKUP(B138,[1]Namshi!$A:$B,2,0)</f>
        <v/>
      </c>
      <c r="F138" s="4">
        <f>SUMIFS('Dubai Stock'!I:I,'Dubai Stock'!H:H,Final_UAE!B:B)</f>
        <v/>
      </c>
      <c r="H138" s="8" t="n">
        <v>186</v>
      </c>
      <c r="I138" s="8" t="n">
        <v>104.3</v>
      </c>
    </row>
    <row r="139">
      <c r="A139" s="4" t="n">
        <v>33834</v>
      </c>
      <c r="B139" s="4" t="inlineStr">
        <is>
          <t>sm10104-bla-000360-0104-55</t>
        </is>
      </c>
      <c r="C139" s="4" t="inlineStr">
        <is>
          <t>W00031886A</t>
        </is>
      </c>
      <c r="D139" s="6">
        <f>IF(F139&gt;=5, F139-5, IF(F139&lt;5, 0, F139))</f>
        <v/>
      </c>
      <c r="E139">
        <f>VLOOKUP(B139,[1]Namshi!$A:$B,2,0)</f>
        <v/>
      </c>
      <c r="F139" s="4">
        <f>SUMIFS('Dubai Stock'!I:I,'Dubai Stock'!H:H,Final_UAE!B:B)</f>
        <v/>
      </c>
      <c r="H139" s="8" t="e">
        <v>#N/A</v>
      </c>
    </row>
    <row r="140">
      <c r="A140" s="4" t="n">
        <v>33834</v>
      </c>
      <c r="B140" s="4" t="inlineStr">
        <is>
          <t>sc40107-bab-000522-0101d-51</t>
        </is>
      </c>
      <c r="C140" s="4" t="inlineStr">
        <is>
          <t>W00031886A</t>
        </is>
      </c>
      <c r="D140" s="6">
        <f>IF(F140&gt;=5, F140-5, IF(F140&lt;5, 0, F140))</f>
        <v/>
      </c>
      <c r="E140">
        <f>VLOOKUP(B140,[1]Namshi!$A:$B,2,0)</f>
        <v/>
      </c>
      <c r="F140" s="4">
        <f>SUMIFS('Dubai Stock'!I:I,'Dubai Stock'!H:H,Final_UAE!B:B)</f>
        <v/>
      </c>
      <c r="H140" s="8" t="e">
        <v>#N/A</v>
      </c>
    </row>
    <row r="141">
      <c r="A141" s="4" t="n">
        <v>33834</v>
      </c>
      <c r="B141" s="4" t="inlineStr">
        <is>
          <t>sw40207-30s-000427-0207-50</t>
        </is>
      </c>
      <c r="C141" s="4" t="inlineStr">
        <is>
          <t>W00031886A</t>
        </is>
      </c>
      <c r="D141" s="6">
        <f>IF(F141&gt;=5, F141-5, IF(F141&lt;5, 0, F141))</f>
        <v/>
      </c>
      <c r="E141">
        <f>VLOOKUP(B141,[1]Namshi!$A:$B,2,0)</f>
        <v/>
      </c>
      <c r="F141" s="4">
        <f>SUMIFS('Dubai Stock'!I:I,'Dubai Stock'!H:H,Final_UAE!B:B)</f>
        <v/>
      </c>
      <c r="H141" s="8" t="e">
        <v>#N/A</v>
      </c>
    </row>
    <row r="142">
      <c r="A142" s="4" t="n">
        <v>33834</v>
      </c>
      <c r="B142" s="4" t="inlineStr">
        <is>
          <t>sc30904-bab-00536-0904d-45</t>
        </is>
      </c>
      <c r="C142" s="4" t="inlineStr">
        <is>
          <t>W00031886A</t>
        </is>
      </c>
      <c r="D142" s="6">
        <f>IF(F142&gt;=5, F142-5, IF(F142&lt;5, 0, F142))</f>
        <v/>
      </c>
      <c r="E142">
        <f>VLOOKUP(B142,[1]Namshi!$A:$B,2,0)</f>
        <v/>
      </c>
      <c r="F142" s="4">
        <f>SUMIFS('Dubai Stock'!I:I,'Dubai Stock'!H:H,Final_UAE!B:B)</f>
        <v/>
      </c>
      <c r="H142" s="8" t="e">
        <v>#N/A</v>
      </c>
    </row>
    <row r="143">
      <c r="A143" s="4" t="n">
        <v>33834</v>
      </c>
      <c r="B143" s="4" t="inlineStr">
        <is>
          <t>clstdai-eve-pure-p30-sp0125</t>
        </is>
      </c>
      <c r="C143" s="4" t="inlineStr">
        <is>
          <t>W00031886A</t>
        </is>
      </c>
      <c r="D143" s="6">
        <f>IF(F143&gt;=5, F143-5, IF(F143&lt;5, 0, F143))</f>
        <v/>
      </c>
      <c r="E143">
        <f>VLOOKUP(B143,[1]Namshi!$A:$B,2,0)</f>
        <v/>
      </c>
      <c r="F143" s="4">
        <f>SUMIFS('Dubai Stock'!I:I,'Dubai Stock'!H:H,Final_UAE!B:B)</f>
        <v/>
      </c>
      <c r="H143" s="8" t="n">
        <v>186</v>
      </c>
      <c r="I143" s="8" t="n">
        <v>104.3</v>
      </c>
    </row>
    <row r="144">
      <c r="A144" s="4" t="n">
        <v>33834</v>
      </c>
      <c r="B144" s="4" t="inlineStr">
        <is>
          <t>sc20807-bab-000541-0807-35</t>
        </is>
      </c>
      <c r="C144" s="4" t="inlineStr">
        <is>
          <t>W00031886A</t>
        </is>
      </c>
      <c r="D144" s="6">
        <f>IF(F144&gt;=5, F144-5, IF(F144&lt;5, 0, F144))</f>
        <v/>
      </c>
      <c r="E144">
        <f>VLOOKUP(B144,[1]Namshi!$A:$B,2,0)</f>
        <v/>
      </c>
      <c r="F144" s="4">
        <f>SUMIFS('Dubai Stock'!I:I,'Dubai Stock'!H:H,Final_UAE!B:B)</f>
        <v/>
      </c>
      <c r="H144" s="8" t="e">
        <v>#N/A</v>
      </c>
    </row>
    <row r="145">
      <c r="A145" s="4" t="n">
        <v>33834</v>
      </c>
      <c r="B145" s="4" t="inlineStr">
        <is>
          <t>clstdai-eve-pure-p30-sp0425</t>
        </is>
      </c>
      <c r="C145" s="4" t="inlineStr">
        <is>
          <t>W00031886A</t>
        </is>
      </c>
      <c r="D145" s="6">
        <f>IF(F145&gt;=5, F145-5, IF(F145&lt;5, 0, F145))</f>
        <v/>
      </c>
      <c r="E145">
        <f>VLOOKUP(B145,[1]Namshi!$A:$B,2,0)</f>
        <v/>
      </c>
      <c r="F145" s="4">
        <f>SUMIFS('Dubai Stock'!I:I,'Dubai Stock'!H:H,Final_UAE!B:B)</f>
        <v/>
      </c>
      <c r="H145" s="8" t="n">
        <v>186</v>
      </c>
      <c r="I145" s="8" t="n">
        <v>104.3</v>
      </c>
    </row>
    <row r="146">
      <c r="A146" s="4" t="n">
        <v>33834</v>
      </c>
      <c r="B146" s="4" t="inlineStr">
        <is>
          <t>sw30504-30s-000420-0504-57</t>
        </is>
      </c>
      <c r="C146" s="4" t="inlineStr">
        <is>
          <t>W00031886A</t>
        </is>
      </c>
      <c r="D146" s="6">
        <f>IF(F146&gt;=5, F146-5, IF(F146&lt;5, 0, F146))</f>
        <v/>
      </c>
      <c r="E146">
        <f>VLOOKUP(B146,[1]Namshi!$A:$B,2,0)</f>
        <v/>
      </c>
      <c r="F146" s="4">
        <f>SUMIFS('Dubai Stock'!I:I,'Dubai Stock'!H:H,Final_UAE!B:B)</f>
        <v/>
      </c>
      <c r="H146" s="8" t="e">
        <v>#N/A</v>
      </c>
    </row>
    <row r="147">
      <c r="A147" s="4" t="n">
        <v>33834</v>
      </c>
      <c r="B147" s="4" t="inlineStr">
        <is>
          <t>sc50107-bab-000505-0107-43</t>
        </is>
      </c>
      <c r="C147" s="4" t="inlineStr">
        <is>
          <t>W00031886A</t>
        </is>
      </c>
      <c r="D147" s="6">
        <f>IF(F147&gt;=5, F147-5, IF(F147&lt;5, 0, F147))</f>
        <v/>
      </c>
      <c r="E147">
        <f>VLOOKUP(B147,[1]Namshi!$A:$B,2,0)</f>
        <v/>
      </c>
      <c r="F147" s="4">
        <f>SUMIFS('Dubai Stock'!I:I,'Dubai Stock'!H:H,Final_UAE!B:B)</f>
        <v/>
      </c>
      <c r="H147" s="8" t="e">
        <v>#N/A</v>
      </c>
    </row>
    <row r="148">
      <c r="A148" s="4" t="n">
        <v>33834</v>
      </c>
      <c r="B148" s="4" t="inlineStr">
        <is>
          <t>su102904-30s-000457-2904-49</t>
        </is>
      </c>
      <c r="C148" s="4" t="inlineStr">
        <is>
          <t>W00031886A</t>
        </is>
      </c>
      <c r="D148" s="6">
        <f>IF(F148&gt;=5, F148-5, IF(F148&lt;5, 0, F148))</f>
        <v/>
      </c>
      <c r="E148">
        <f>VLOOKUP(B148,[1]Namshi!$A:$B,2,0)</f>
        <v/>
      </c>
      <c r="F148" s="4">
        <f>SUMIFS('Dubai Stock'!I:I,'Dubai Stock'!H:H,Final_UAE!B:B)</f>
        <v/>
      </c>
      <c r="H148" s="8" t="e">
        <v>#N/A</v>
      </c>
    </row>
    <row r="149">
      <c r="A149" s="4" t="n">
        <v>33834</v>
      </c>
      <c r="B149" s="4" t="inlineStr">
        <is>
          <t>sw101207-30s-000424-1207-55</t>
        </is>
      </c>
      <c r="C149" s="4" t="inlineStr">
        <is>
          <t>W00031886A</t>
        </is>
      </c>
      <c r="D149" s="6">
        <f>IF(F149&gt;=5, F149-5, IF(F149&lt;5, 0, F149))</f>
        <v/>
      </c>
      <c r="E149">
        <f>VLOOKUP(B149,[1]Namshi!$A:$B,2,0)</f>
        <v/>
      </c>
      <c r="F149" s="4">
        <f>SUMIFS('Dubai Stock'!I:I,'Dubai Stock'!H:H,Final_UAE!B:B)</f>
        <v/>
      </c>
      <c r="H149" s="8" t="e">
        <v>#N/A</v>
      </c>
    </row>
    <row r="150">
      <c r="A150" s="4" t="n">
        <v>33834</v>
      </c>
      <c r="B150" s="4" t="inlineStr">
        <is>
          <t>sw70404-30s-000267-0404-54</t>
        </is>
      </c>
      <c r="C150" s="4" t="inlineStr">
        <is>
          <t>W00031886A</t>
        </is>
      </c>
      <c r="D150" s="6">
        <f>IF(F150&gt;=5, F150-5, IF(F150&lt;5, 0, F150))</f>
        <v/>
      </c>
      <c r="E150">
        <f>VLOOKUP(B150,[1]Namshi!$A:$B,2,0)</f>
        <v/>
      </c>
      <c r="F150" s="4">
        <f>SUMIFS('Dubai Stock'!I:I,'Dubai Stock'!H:H,Final_UAE!B:B)</f>
        <v/>
      </c>
      <c r="H150" s="8" t="e">
        <v>#N/A</v>
      </c>
    </row>
    <row r="151">
      <c r="A151" s="4" t="n">
        <v>33834</v>
      </c>
      <c r="B151" s="4" t="inlineStr">
        <is>
          <t>sc50107-bab-000525-0107d-51</t>
        </is>
      </c>
      <c r="C151" s="4" t="inlineStr">
        <is>
          <t>W00031886A</t>
        </is>
      </c>
      <c r="D151" s="6">
        <f>IF(F151&gt;=5, F151-5, IF(F151&lt;5, 0, F151))</f>
        <v/>
      </c>
      <c r="E151">
        <f>VLOOKUP(B151,[1]Namshi!$A:$B,2,0)</f>
        <v/>
      </c>
      <c r="F151" s="4">
        <f>SUMIFS('Dubai Stock'!I:I,'Dubai Stock'!H:H,Final_UAE!B:B)</f>
        <v/>
      </c>
      <c r="H151" s="8" t="e">
        <v>#N/A</v>
      </c>
    </row>
    <row r="152">
      <c r="A152" s="4" t="n">
        <v>33834</v>
      </c>
      <c r="B152" s="4" t="inlineStr">
        <is>
          <t>sc20907-bab-000539-0907-38</t>
        </is>
      </c>
      <c r="C152" s="4" t="inlineStr">
        <is>
          <t>W00031886A</t>
        </is>
      </c>
      <c r="D152" s="6">
        <f>IF(F152&gt;=5, F152-5, IF(F152&lt;5, 0, F152))</f>
        <v/>
      </c>
      <c r="E152">
        <f>VLOOKUP(B152,[1]Namshi!$A:$B,2,0)</f>
        <v/>
      </c>
      <c r="F152" s="4">
        <f>SUMIFS('Dubai Stock'!I:I,'Dubai Stock'!H:H,Final_UAE!B:B)</f>
        <v/>
      </c>
      <c r="H152" s="8" t="e">
        <v>#N/A</v>
      </c>
    </row>
    <row r="153">
      <c r="A153" s="4" t="n">
        <v>33834</v>
      </c>
      <c r="B153" s="4" t="inlineStr">
        <is>
          <t>sw102607-30s-000414-2607-47</t>
        </is>
      </c>
      <c r="C153" s="4" t="inlineStr">
        <is>
          <t>W00031886A</t>
        </is>
      </c>
      <c r="D153" s="6">
        <f>IF(F153&gt;=5, F153-5, IF(F153&lt;5, 0, F153))</f>
        <v/>
      </c>
      <c r="E153">
        <f>VLOOKUP(B153,[1]Namshi!$A:$B,2,0)</f>
        <v/>
      </c>
      <c r="F153" s="4">
        <f>SUMIFS('Dubai Stock'!I:I,'Dubai Stock'!H:H,Final_UAE!B:B)</f>
        <v/>
      </c>
      <c r="H153" s="8" t="e">
        <v>#N/A</v>
      </c>
    </row>
    <row r="154">
      <c r="A154" s="4" t="n">
        <v>33834</v>
      </c>
      <c r="B154" s="4" t="inlineStr">
        <is>
          <t>sc21007-bab-000540-1007-37</t>
        </is>
      </c>
      <c r="C154" s="4" t="inlineStr">
        <is>
          <t>W00031886A</t>
        </is>
      </c>
      <c r="D154" s="6">
        <f>IF(F154&gt;=5, F154-5, IF(F154&lt;5, 0, F154))</f>
        <v/>
      </c>
      <c r="E154">
        <f>VLOOKUP(B154,[1]Namshi!$A:$B,2,0)</f>
        <v/>
      </c>
      <c r="F154" s="4">
        <f>SUMIFS('Dubai Stock'!I:I,'Dubai Stock'!H:H,Final_UAE!B:B)</f>
        <v/>
      </c>
      <c r="H154" s="8" t="e">
        <v>#N/A</v>
      </c>
    </row>
    <row r="155">
      <c r="A155" s="4" t="n">
        <v>33834</v>
      </c>
      <c r="B155" s="4" t="inlineStr">
        <is>
          <t>sw30101-30s-000405-0101-54</t>
        </is>
      </c>
      <c r="C155" s="4" t="inlineStr">
        <is>
          <t>W00031886A</t>
        </is>
      </c>
      <c r="D155" s="6">
        <f>IF(F155&gt;=5, F155-5, IF(F155&lt;5, 0, F155))</f>
        <v/>
      </c>
      <c r="E155">
        <f>VLOOKUP(B155,[1]Namshi!$A:$B,2,0)</f>
        <v/>
      </c>
      <c r="F155" s="4">
        <f>SUMIFS('Dubai Stock'!I:I,'Dubai Stock'!H:H,Final_UAE!B:B)</f>
        <v/>
      </c>
      <c r="H155" s="8" t="e">
        <v>#N/A</v>
      </c>
    </row>
    <row r="156">
      <c r="A156" s="4" t="n">
        <v>33834</v>
      </c>
      <c r="B156" s="4" t="inlineStr">
        <is>
          <t>sm40107-30s-000422-0107-50</t>
        </is>
      </c>
      <c r="C156" s="4" t="inlineStr">
        <is>
          <t>W00031886A</t>
        </is>
      </c>
      <c r="D156" s="6">
        <f>IF(F156&gt;=5, F156-5, IF(F156&lt;5, 0, F156))</f>
        <v/>
      </c>
      <c r="E156">
        <f>VLOOKUP(B156,[1]Namshi!$A:$B,2,0)</f>
        <v/>
      </c>
      <c r="F156" s="4">
        <f>SUMIFS('Dubai Stock'!I:I,'Dubai Stock'!H:H,Final_UAE!B:B)</f>
        <v/>
      </c>
      <c r="H156" s="8" t="e">
        <v>#N/A</v>
      </c>
    </row>
    <row r="157">
      <c r="A157" s="4" t="n">
        <v>33834</v>
      </c>
      <c r="B157" s="4" t="inlineStr">
        <is>
          <t>clstdai-eve-pure-p30-sp0450</t>
        </is>
      </c>
      <c r="C157" s="4" t="inlineStr">
        <is>
          <t>W00031886A</t>
        </is>
      </c>
      <c r="D157" s="6">
        <f>IF(F157&gt;=5, F157-5, IF(F157&lt;5, 0, F157))</f>
        <v/>
      </c>
      <c r="E157">
        <f>VLOOKUP(B157,[1]Namshi!$A:$B,2,0)</f>
        <v/>
      </c>
      <c r="F157" s="4">
        <f>SUMIFS('Dubai Stock'!I:I,'Dubai Stock'!H:H,Final_UAE!B:B)</f>
        <v/>
      </c>
      <c r="H157" s="8" t="n">
        <v>186</v>
      </c>
      <c r="I157" s="8" t="n">
        <v>104.3</v>
      </c>
    </row>
    <row r="158">
      <c r="A158" s="4" t="n">
        <v>33834</v>
      </c>
      <c r="B158" s="4" t="inlineStr">
        <is>
          <t>sw40607-30s-000402-0607-53</t>
        </is>
      </c>
      <c r="C158" s="4" t="inlineStr">
        <is>
          <t>W00031886A</t>
        </is>
      </c>
      <c r="D158" s="6">
        <f>IF(F158&gt;=5, F158-5, IF(F158&lt;5, 0, F158))</f>
        <v/>
      </c>
      <c r="E158">
        <f>VLOOKUP(B158,[1]Namshi!$A:$B,2,0)</f>
        <v/>
      </c>
      <c r="F158" s="4">
        <f>SUMIFS('Dubai Stock'!I:I,'Dubai Stock'!H:H,Final_UAE!B:B)</f>
        <v/>
      </c>
      <c r="H158" s="8" t="e">
        <v>#N/A</v>
      </c>
    </row>
    <row r="159">
      <c r="A159" s="4" t="n">
        <v>33834</v>
      </c>
      <c r="B159" s="4" t="inlineStr">
        <is>
          <t>fc101218-bab-000548-1218-49</t>
        </is>
      </c>
      <c r="C159" s="4" t="inlineStr">
        <is>
          <t>W00031886A</t>
        </is>
      </c>
      <c r="D159" s="6">
        <f>IF(F159&gt;=5, F159-5, IF(F159&lt;5, 0, F159))</f>
        <v/>
      </c>
      <c r="E159">
        <f>VLOOKUP(B159,[1]Namshi!$A:$B,2,0)</f>
        <v/>
      </c>
      <c r="F159" s="4">
        <f>SUMIFS('Dubai Stock'!I:I,'Dubai Stock'!H:H,Final_UAE!B:B)</f>
        <v/>
      </c>
      <c r="H159" s="8" t="e">
        <v>#N/A</v>
      </c>
      <c r="I159" s="8" t="n"/>
    </row>
    <row r="160">
      <c r="A160" s="4" t="n">
        <v>33834</v>
      </c>
      <c r="B160" s="4" t="inlineStr">
        <is>
          <t>clstdai-eve-pure-p30-sp0275</t>
        </is>
      </c>
      <c r="C160" s="4" t="inlineStr">
        <is>
          <t>W00031886A</t>
        </is>
      </c>
      <c r="D160" s="6">
        <f>IF(F160&gt;=5, F160-5, IF(F160&lt;5, 0, F160))</f>
        <v/>
      </c>
      <c r="E160">
        <f>VLOOKUP(B160,[1]Namshi!$A:$B,2,0)</f>
        <v/>
      </c>
      <c r="F160" s="4">
        <f>SUMIFS('Dubai Stock'!I:I,'Dubai Stock'!H:H,Final_UAE!B:B)</f>
        <v/>
      </c>
      <c r="H160" s="8" t="n">
        <v>186</v>
      </c>
      <c r="I160" s="8" t="n">
        <v>104.3</v>
      </c>
    </row>
    <row r="161">
      <c r="A161" s="4" t="n">
        <v>33834</v>
      </c>
      <c r="B161" s="4" t="inlineStr">
        <is>
          <t>sc52407-bab-000542-2407-45</t>
        </is>
      </c>
      <c r="C161" s="4" t="inlineStr">
        <is>
          <t>W00031886A</t>
        </is>
      </c>
      <c r="D161" s="6">
        <f>IF(F161&gt;=5, F161-5, IF(F161&lt;5, 0, F161))</f>
        <v/>
      </c>
      <c r="E161">
        <f>VLOOKUP(B161,[1]Namshi!$A:$B,2,0)</f>
        <v/>
      </c>
      <c r="F161" s="4">
        <f>SUMIFS('Dubai Stock'!I:I,'Dubai Stock'!H:H,Final_UAE!B:B)</f>
        <v/>
      </c>
      <c r="H161" s="8" t="e">
        <v>#N/A</v>
      </c>
    </row>
    <row r="162">
      <c r="A162" s="4" t="n">
        <v>33834</v>
      </c>
      <c r="B162" s="4" t="inlineStr">
        <is>
          <t>sc50202-bab-00537-0202d-46</t>
        </is>
      </c>
      <c r="C162" s="4" t="inlineStr">
        <is>
          <t>W00031886A</t>
        </is>
      </c>
      <c r="D162" s="6">
        <f>IF(F162&gt;=5, F162-5, IF(F162&lt;5, 0, F162))</f>
        <v/>
      </c>
      <c r="E162">
        <f>VLOOKUP(B162,[1]Namshi!$A:$B,2,0)</f>
        <v/>
      </c>
      <c r="F162" s="4">
        <f>SUMIFS('Dubai Stock'!I:I,'Dubai Stock'!H:H,Final_UAE!B:B)</f>
        <v/>
      </c>
      <c r="H162" s="8" t="e">
        <v>#N/A</v>
      </c>
    </row>
    <row r="163">
      <c r="A163" s="4" t="n">
        <v>33834</v>
      </c>
      <c r="B163" s="4" t="inlineStr">
        <is>
          <t>sw102907-30s-000415-2907-54</t>
        </is>
      </c>
      <c r="C163" s="4" t="inlineStr">
        <is>
          <t>W00031886A</t>
        </is>
      </c>
      <c r="D163" s="6">
        <f>IF(F163&gt;=5, F163-5, IF(F163&lt;5, 0, F163))</f>
        <v/>
      </c>
      <c r="E163">
        <f>VLOOKUP(B163,[1]Namshi!$A:$B,2,0)</f>
        <v/>
      </c>
      <c r="F163" s="4">
        <f>SUMIFS('Dubai Stock'!I:I,'Dubai Stock'!H:H,Final_UAE!B:B)</f>
        <v/>
      </c>
      <c r="H163" s="8" t="e">
        <v>#N/A</v>
      </c>
    </row>
    <row r="164">
      <c r="A164" s="4" t="n">
        <v>33834</v>
      </c>
      <c r="B164" s="4" t="inlineStr">
        <is>
          <t>sc20607-bab-000500-0607-40</t>
        </is>
      </c>
      <c r="C164" s="4" t="inlineStr">
        <is>
          <t>W00031886A</t>
        </is>
      </c>
      <c r="D164" s="6">
        <f>IF(F164&gt;=5, F164-5, IF(F164&lt;5, 0, F164))</f>
        <v/>
      </c>
      <c r="E164">
        <f>VLOOKUP(B164,[1]Namshi!$A:$B,2,0)</f>
        <v/>
      </c>
      <c r="F164" s="4">
        <f>SUMIFS('Dubai Stock'!I:I,'Dubai Stock'!H:H,Final_UAE!B:B)</f>
        <v/>
      </c>
      <c r="H164" s="8" t="e">
        <v>#N/A</v>
      </c>
    </row>
    <row r="165">
      <c r="A165" s="4" t="n">
        <v>33834</v>
      </c>
      <c r="B165" s="4" t="inlineStr">
        <is>
          <t>cost3mo-lay-2025-p02-desert-topaz-sn0050</t>
        </is>
      </c>
      <c r="C165" s="4" t="inlineStr">
        <is>
          <t>W00031886A</t>
        </is>
      </c>
      <c r="D165" s="6">
        <f>IF(F165&gt;=5, F165-5, IF(F165&lt;5, 0, F165))</f>
        <v/>
      </c>
      <c r="E165">
        <f>VLOOKUP(B165,[1]Namshi!$A:$B,2,0)</f>
        <v/>
      </c>
      <c r="F165" s="4">
        <f>SUMIFS('Dubai Stock'!I:I,'Dubai Stock'!H:H,Final_UAE!B:B)</f>
        <v/>
      </c>
      <c r="H165" s="8" t="e">
        <v>#N/A</v>
      </c>
      <c r="I165" s="8" t="n"/>
    </row>
    <row r="166">
      <c r="A166" s="4" t="n">
        <v>33834</v>
      </c>
      <c r="B166" s="4" t="inlineStr">
        <is>
          <t>sw42607-30s-000400-2607-53</t>
        </is>
      </c>
      <c r="C166" s="4" t="inlineStr">
        <is>
          <t>W00031886A</t>
        </is>
      </c>
      <c r="D166" s="6">
        <f>IF(F166&gt;=5, F166-5, IF(F166&lt;5, 0, F166))</f>
        <v/>
      </c>
      <c r="E166">
        <f>VLOOKUP(B166,[1]Namshi!$A:$B,2,0)</f>
        <v/>
      </c>
      <c r="F166" s="4">
        <f>SUMIFS('Dubai Stock'!I:I,'Dubai Stock'!H:H,Final_UAE!B:B)</f>
        <v/>
      </c>
      <c r="H166" s="8" t="e">
        <v>#N/A</v>
      </c>
    </row>
    <row r="167">
      <c r="A167" s="4" t="n">
        <v>33834</v>
      </c>
      <c r="B167" s="4" t="inlineStr">
        <is>
          <t>fc20918-bab-000545-0918-43</t>
        </is>
      </c>
      <c r="C167" s="4" t="inlineStr">
        <is>
          <t>W00031886A</t>
        </is>
      </c>
      <c r="D167" s="6">
        <f>IF(F167&gt;=5, F167-5, IF(F167&lt;5, 0, F167))</f>
        <v/>
      </c>
      <c r="E167">
        <f>VLOOKUP(B167,[1]Namshi!$A:$B,2,0)</f>
        <v/>
      </c>
      <c r="F167" s="4">
        <f>SUMIFS('Dubai Stock'!I:I,'Dubai Stock'!H:H,Final_UAE!B:B)</f>
        <v/>
      </c>
      <c r="H167" s="8" t="e">
        <v>#N/A</v>
      </c>
      <c r="I167" s="8" t="n"/>
    </row>
    <row r="168">
      <c r="A168" s="4" t="n">
        <v>33834</v>
      </c>
      <c r="B168" s="4" t="inlineStr">
        <is>
          <t>fc40618-bab-000546-0618-47</t>
        </is>
      </c>
      <c r="C168" s="4" t="inlineStr">
        <is>
          <t>W00031886A</t>
        </is>
      </c>
      <c r="D168" s="6">
        <f>IF(F168&gt;=5, F168-5, IF(F168&lt;5, 0, F168))</f>
        <v/>
      </c>
      <c r="E168">
        <f>VLOOKUP(B168,[1]Namshi!$A:$B,2,0)</f>
        <v/>
      </c>
      <c r="F168" s="4">
        <f>SUMIFS('Dubai Stock'!I:I,'Dubai Stock'!H:H,Final_UAE!B:B)</f>
        <v/>
      </c>
      <c r="H168" s="8" t="e">
        <v>#N/A</v>
      </c>
      <c r="I168" s="8" t="n"/>
    </row>
    <row r="169">
      <c r="A169" s="4" t="n">
        <v>33834</v>
      </c>
      <c r="B169" s="4" t="inlineStr">
        <is>
          <t>fc102318-bab-000548-2318-49</t>
        </is>
      </c>
      <c r="C169" s="4" t="inlineStr">
        <is>
          <t>W00031886A</t>
        </is>
      </c>
      <c r="D169" s="6">
        <f>IF(F169&gt;=5, F169-5, IF(F169&lt;5, 0, F169))</f>
        <v/>
      </c>
      <c r="E169">
        <f>VLOOKUP(B169,[1]Namshi!$A:$B,2,0)</f>
        <v/>
      </c>
      <c r="F169" s="4">
        <f>SUMIFS('Dubai Stock'!I:I,'Dubai Stock'!H:H,Final_UAE!B:B)</f>
        <v/>
      </c>
      <c r="H169" s="8" t="e">
        <v>#N/A</v>
      </c>
      <c r="I169" s="8" t="n"/>
    </row>
    <row r="170">
      <c r="A170" s="4" t="n">
        <v>33834</v>
      </c>
      <c r="B170" s="4" t="inlineStr">
        <is>
          <t>clstmon-eve-prom-p01-sn0575</t>
        </is>
      </c>
      <c r="C170" s="4" t="inlineStr">
        <is>
          <t>W00031886A</t>
        </is>
      </c>
      <c r="D170" s="6">
        <f>IF(F170&gt;=5, F170-5, IF(F170&lt;5, 0, F170))</f>
        <v/>
      </c>
      <c r="E170">
        <f>VLOOKUP(B170,[1]Namshi!$A:$B,2,0)</f>
        <v/>
      </c>
      <c r="F170" s="4">
        <f>SUMIFS('Dubai Stock'!I:I,'Dubai Stock'!H:H,Final_UAE!B:B)</f>
        <v/>
      </c>
      <c r="H170" s="8" t="e">
        <v>#N/A</v>
      </c>
      <c r="I170" s="8" t="n"/>
    </row>
    <row r="171">
      <c r="A171" s="4" t="n">
        <v>33834</v>
      </c>
      <c r="B171" s="4" t="inlineStr">
        <is>
          <t>fc20718-bab-000539-0718-38</t>
        </is>
      </c>
      <c r="C171" s="4" t="inlineStr">
        <is>
          <t>W00031886A</t>
        </is>
      </c>
      <c r="D171" s="6">
        <f>IF(F171&gt;=5, F171-5, IF(F171&lt;5, 0, F171))</f>
        <v/>
      </c>
      <c r="E171">
        <f>VLOOKUP(B171,[1]Namshi!$A:$B,2,0)</f>
        <v/>
      </c>
      <c r="F171" s="4">
        <f>SUMIFS('Dubai Stock'!I:I,'Dubai Stock'!H:H,Final_UAE!B:B)</f>
        <v/>
      </c>
      <c r="H171" s="8" t="e">
        <v>#N/A</v>
      </c>
      <c r="I171" s="8" t="n"/>
    </row>
    <row r="172">
      <c r="A172" s="4" t="n">
        <v>33834</v>
      </c>
      <c r="B172" s="4" t="inlineStr">
        <is>
          <t>sm41406-30s-000419-1406-52</t>
        </is>
      </c>
      <c r="C172" s="4" t="inlineStr">
        <is>
          <t>W00031886A</t>
        </is>
      </c>
      <c r="D172" s="6">
        <f>IF(F172&gt;=5, F172-5, IF(F172&lt;5, 0, F172))</f>
        <v/>
      </c>
      <c r="E172">
        <f>VLOOKUP(B172,[1]Namshi!$A:$B,2,0)</f>
        <v/>
      </c>
      <c r="F172" s="4">
        <f>SUMIFS('Dubai Stock'!I:I,'Dubai Stock'!H:H,Final_UAE!B:B)</f>
        <v/>
      </c>
      <c r="H172" s="8" t="e">
        <v>#N/A</v>
      </c>
    </row>
    <row r="173">
      <c r="A173" s="4" t="n">
        <v>33834</v>
      </c>
      <c r="B173" s="4" t="inlineStr">
        <is>
          <t>sc30807-bab-000543-0807-43</t>
        </is>
      </c>
      <c r="C173" s="4" t="inlineStr">
        <is>
          <t>W00031886A</t>
        </is>
      </c>
      <c r="D173" s="6">
        <f>IF(F173&gt;=5, F173-5, IF(F173&lt;5, 0, F173))</f>
        <v/>
      </c>
      <c r="E173">
        <f>VLOOKUP(B173,[1]Namshi!$A:$B,2,0)</f>
        <v/>
      </c>
      <c r="F173" s="4">
        <f>SUMIFS('Dubai Stock'!I:I,'Dubai Stock'!H:H,Final_UAE!B:B)</f>
        <v/>
      </c>
      <c r="H173" s="8" t="e">
        <v>#N/A</v>
      </c>
    </row>
    <row r="174">
      <c r="A174" s="4" t="n">
        <v>33834</v>
      </c>
      <c r="B174" s="4" t="inlineStr">
        <is>
          <t>fc50118-bab-000549-0118-50</t>
        </is>
      </c>
      <c r="C174" s="4" t="inlineStr">
        <is>
          <t>W00031886A</t>
        </is>
      </c>
      <c r="D174" s="6">
        <f>IF(F174&gt;=5, F174-5, IF(F174&lt;5, 0, F174))</f>
        <v/>
      </c>
      <c r="E174">
        <f>VLOOKUP(B174,[1]Namshi!$A:$B,2,0)</f>
        <v/>
      </c>
      <c r="F174" s="4">
        <f>SUMIFS('Dubai Stock'!I:I,'Dubai Stock'!H:H,Final_UAE!B:B)</f>
        <v/>
      </c>
      <c r="H174" s="8" t="e">
        <v>#N/A</v>
      </c>
      <c r="I174" s="8" t="n"/>
    </row>
    <row r="175">
      <c r="A175" s="4" t="n">
        <v>33834</v>
      </c>
      <c r="B175" s="4" t="inlineStr">
        <is>
          <t>sc20207-bab-000544-0207-44</t>
        </is>
      </c>
      <c r="C175" s="4" t="inlineStr">
        <is>
          <t>W00031886A</t>
        </is>
      </c>
      <c r="D175" s="6">
        <f>IF(F175&gt;=5, F175-5, IF(F175&lt;5, 0, F175))</f>
        <v/>
      </c>
      <c r="E175">
        <f>VLOOKUP(B175,[1]Namshi!$A:$B,2,0)</f>
        <v/>
      </c>
      <c r="F175" s="4">
        <f>SUMIFS('Dubai Stock'!I:I,'Dubai Stock'!H:H,Final_UAE!B:B)</f>
        <v/>
      </c>
      <c r="H175" s="8" t="e">
        <v>#N/A</v>
      </c>
    </row>
    <row r="176">
      <c r="A176" s="4" t="n">
        <v>33834</v>
      </c>
      <c r="B176" s="4" t="inlineStr">
        <is>
          <t>clstmon-eve-prom-p01-sn0525</t>
        </is>
      </c>
      <c r="C176" s="4" t="inlineStr">
        <is>
          <t>W00031886A</t>
        </is>
      </c>
      <c r="D176" s="6">
        <f>IF(F176&gt;=5, F176-5, IF(F176&lt;5, 0, F176))</f>
        <v/>
      </c>
      <c r="E176">
        <f>VLOOKUP(B176,[1]Namshi!$A:$B,2,0)</f>
        <v/>
      </c>
      <c r="F176" s="4">
        <f>SUMIFS('Dubai Stock'!I:I,'Dubai Stock'!H:H,Final_UAE!B:B)</f>
        <v/>
      </c>
      <c r="H176" s="8" t="e">
        <v>#N/A</v>
      </c>
      <c r="I176" s="8" t="n"/>
    </row>
    <row r="177">
      <c r="A177" s="4" t="n">
        <v>33834</v>
      </c>
      <c r="B177" s="4" t="inlineStr">
        <is>
          <t>su40107-30s-000463-0107-53</t>
        </is>
      </c>
      <c r="C177" s="4" t="inlineStr">
        <is>
          <t>W00031886A</t>
        </is>
      </c>
      <c r="D177" s="6">
        <f>IF(F177&gt;=5, F177-5, IF(F177&lt;5, 0, F177))</f>
        <v/>
      </c>
      <c r="E177">
        <f>VLOOKUP(B177,[1]Namshi!$A:$B,2,0)</f>
        <v/>
      </c>
      <c r="F177" s="4">
        <f>SUMIFS('Dubai Stock'!I:I,'Dubai Stock'!H:H,Final_UAE!B:B)</f>
        <v/>
      </c>
      <c r="H177" s="8" t="e">
        <v>#N/A</v>
      </c>
    </row>
    <row r="178">
      <c r="A178" s="4" t="n">
        <v>33834</v>
      </c>
      <c r="B178" s="4" t="inlineStr">
        <is>
          <t>sm50107-30s-000428-0107-48</t>
        </is>
      </c>
      <c r="C178" s="4" t="inlineStr">
        <is>
          <t>W00031886A</t>
        </is>
      </c>
      <c r="D178" s="6">
        <f>IF(F178&gt;=5, F178-5, IF(F178&lt;5, 0, F178))</f>
        <v/>
      </c>
      <c r="E178">
        <f>VLOOKUP(B178,[1]Namshi!$A:$B,2,0)</f>
        <v/>
      </c>
      <c r="F178" s="4">
        <f>SUMIFS('Dubai Stock'!I:I,'Dubai Stock'!H:H,Final_UAE!B:B)</f>
        <v/>
      </c>
      <c r="H178" s="8" t="e">
        <v>#N/A</v>
      </c>
    </row>
    <row r="179">
      <c r="A179" s="4" t="n">
        <v>33834</v>
      </c>
      <c r="B179" s="4" t="inlineStr">
        <is>
          <t>clstmon-eve-prom-p01-sn0075</t>
        </is>
      </c>
      <c r="C179" s="4" t="inlineStr">
        <is>
          <t>W00031886A</t>
        </is>
      </c>
      <c r="D179" s="6">
        <f>IF(F179&gt;=5, F179-5, IF(F179&lt;5, 0, F179))</f>
        <v/>
      </c>
      <c r="E179">
        <f>VLOOKUP(B179,[1]Namshi!$A:$B,2,0)</f>
        <v/>
      </c>
      <c r="F179" s="4">
        <f>SUMIFS('Dubai Stock'!I:I,'Dubai Stock'!H:H,Final_UAE!B:B)</f>
        <v/>
      </c>
      <c r="H179" s="8" t="e">
        <v>#N/A</v>
      </c>
      <c r="I179" s="8" t="n"/>
    </row>
    <row r="180">
      <c r="A180" s="4" t="n">
        <v>33834</v>
      </c>
      <c r="B180" s="4" t="inlineStr">
        <is>
          <t>sc50904-bab-000505-0904-43</t>
        </is>
      </c>
      <c r="C180" s="4" t="inlineStr">
        <is>
          <t>W00031886A</t>
        </is>
      </c>
      <c r="D180" s="6">
        <f>IF(F180&gt;=5, F180-5, IF(F180&lt;5, 0, F180))</f>
        <v/>
      </c>
      <c r="E180">
        <f>VLOOKUP(B180,[1]Namshi!$A:$B,2,0)</f>
        <v/>
      </c>
      <c r="F180" s="4">
        <f>SUMIFS('Dubai Stock'!I:I,'Dubai Stock'!H:H,Final_UAE!B:B)</f>
        <v/>
      </c>
      <c r="H180" s="8" t="e">
        <v>#N/A</v>
      </c>
    </row>
    <row r="181">
      <c r="A181" s="4" t="n">
        <v>33834</v>
      </c>
      <c r="B181" s="4" t="inlineStr">
        <is>
          <t>sw32904-30s-000425-2904-60</t>
        </is>
      </c>
      <c r="C181" s="4" t="inlineStr">
        <is>
          <t>W00031886A</t>
        </is>
      </c>
      <c r="D181" s="6">
        <f>IF(F181&gt;=5, F181-5, IF(F181&lt;5, 0, F181))</f>
        <v/>
      </c>
      <c r="E181">
        <f>VLOOKUP(B181,[1]Namshi!$A:$B,2,0)</f>
        <v/>
      </c>
      <c r="F181" s="4">
        <f>SUMIFS('Dubai Stock'!I:I,'Dubai Stock'!H:H,Final_UAE!B:B)</f>
        <v/>
      </c>
      <c r="H181" s="8" t="e">
        <v>#N/A</v>
      </c>
    </row>
    <row r="182">
      <c r="A182" s="4" t="n">
        <v>33834</v>
      </c>
      <c r="B182" s="4" t="inlineStr">
        <is>
          <t>sw30107-30s-000420-0107-57</t>
        </is>
      </c>
      <c r="C182" s="4" t="inlineStr">
        <is>
          <t>W00031886A</t>
        </is>
      </c>
      <c r="D182" s="6">
        <f>IF(F182&gt;=5, F182-5, IF(F182&lt;5, 0, F182))</f>
        <v/>
      </c>
      <c r="E182">
        <f>VLOOKUP(B182,[1]Namshi!$A:$B,2,0)</f>
        <v/>
      </c>
      <c r="F182" s="4">
        <f>SUMIFS('Dubai Stock'!I:I,'Dubai Stock'!H:H,Final_UAE!B:B)</f>
        <v/>
      </c>
      <c r="H182" s="8" t="e">
        <v>#N/A</v>
      </c>
    </row>
    <row r="183">
      <c r="A183" s="4" t="n">
        <v>33834</v>
      </c>
      <c r="B183" s="4" t="inlineStr">
        <is>
          <t>sw40107-30s-000427-0107-50</t>
        </is>
      </c>
      <c r="C183" s="4" t="inlineStr">
        <is>
          <t>W00031886A</t>
        </is>
      </c>
      <c r="D183" s="6">
        <f>IF(F183&gt;=5, F183-5, IF(F183&lt;5, 0, F183))</f>
        <v/>
      </c>
      <c r="E183">
        <f>VLOOKUP(B183,[1]Namshi!$A:$B,2,0)</f>
        <v/>
      </c>
      <c r="F183" s="4">
        <f>SUMIFS('Dubai Stock'!I:I,'Dubai Stock'!H:H,Final_UAE!B:B)</f>
        <v/>
      </c>
      <c r="H183" s="8" t="e">
        <v>#N/A</v>
      </c>
    </row>
    <row r="184">
      <c r="A184" s="4" t="n">
        <v>33834</v>
      </c>
      <c r="B184" s="4" t="inlineStr">
        <is>
          <t>sm40707-30s-000462-0707-54</t>
        </is>
      </c>
      <c r="C184" s="4" t="inlineStr">
        <is>
          <t>W00031886A</t>
        </is>
      </c>
      <c r="D184" s="6">
        <f>IF(F184&gt;=5, F184-5, IF(F184&lt;5, 0, F184))</f>
        <v/>
      </c>
      <c r="E184">
        <f>VLOOKUP(B184,[1]Namshi!$A:$B,2,0)</f>
        <v/>
      </c>
      <c r="F184" s="4">
        <f>SUMIFS('Dubai Stock'!I:I,'Dubai Stock'!H:H,Final_UAE!B:B)</f>
        <v/>
      </c>
      <c r="H184" s="8" t="e">
        <v>#N/A</v>
      </c>
    </row>
    <row r="185">
      <c r="A185" s="4" t="n">
        <v>33834</v>
      </c>
      <c r="B185" s="4" t="inlineStr">
        <is>
          <t>sw50101-30s-000406-0101p-56</t>
        </is>
      </c>
      <c r="C185" s="4" t="inlineStr">
        <is>
          <t>W00031886A</t>
        </is>
      </c>
      <c r="D185" s="6">
        <f>IF(F185&gt;=5, F185-5, IF(F185&lt;5, 0, F185))</f>
        <v/>
      </c>
      <c r="E185">
        <f>VLOOKUP(B185,[1]Namshi!$A:$B,2,0)</f>
        <v/>
      </c>
      <c r="F185" s="4">
        <f>SUMIFS('Dubai Stock'!I:I,'Dubai Stock'!H:H,Final_UAE!B:B)</f>
        <v/>
      </c>
      <c r="H185" s="8" t="e">
        <v>#N/A</v>
      </c>
    </row>
    <row r="186">
      <c r="A186" s="4" t="n">
        <v>33834</v>
      </c>
      <c r="B186" s="4" t="inlineStr">
        <is>
          <t>clstmon-eve-prom-p01-sn0550</t>
        </is>
      </c>
      <c r="C186" s="4" t="inlineStr">
        <is>
          <t>W00031886A</t>
        </is>
      </c>
      <c r="D186" s="6">
        <f>IF(F186&gt;=5, F186-5, IF(F186&lt;5, 0, F186))</f>
        <v/>
      </c>
      <c r="E186">
        <f>VLOOKUP(B186,[1]Namshi!$A:$B,2,0)</f>
        <v/>
      </c>
      <c r="F186" s="4">
        <f>SUMIFS('Dubai Stock'!I:I,'Dubai Stock'!H:H,Final_UAE!B:B)</f>
        <v/>
      </c>
      <c r="H186" s="8" t="e">
        <v>#N/A</v>
      </c>
      <c r="I186" s="8" t="n"/>
    </row>
    <row r="187">
      <c r="A187" s="4" t="n">
        <v>33834</v>
      </c>
      <c r="B187" s="4" t="inlineStr">
        <is>
          <t>sm100101-30s-000411-0101-50</t>
        </is>
      </c>
      <c r="C187" s="4" t="inlineStr">
        <is>
          <t>W00031886A</t>
        </is>
      </c>
      <c r="D187" s="6">
        <f>IF(F187&gt;=5, F187-5, IF(F187&lt;5, 0, F187))</f>
        <v/>
      </c>
      <c r="E187">
        <f>VLOOKUP(B187,[1]Namshi!$A:$B,2,0)</f>
        <v/>
      </c>
      <c r="F187" s="4">
        <f>SUMIFS('Dubai Stock'!I:I,'Dubai Stock'!H:H,Final_UAE!B:B)</f>
        <v/>
      </c>
      <c r="H187" s="8" t="e">
        <v>#N/A</v>
      </c>
    </row>
    <row r="188">
      <c r="A188" s="4" t="n">
        <v>33834</v>
      </c>
      <c r="B188" s="4" t="inlineStr">
        <is>
          <t>clstmon-eve-prom-p01-sn0100</t>
        </is>
      </c>
      <c r="C188" s="4" t="inlineStr">
        <is>
          <t>W00031886A</t>
        </is>
      </c>
      <c r="D188" s="6">
        <f>IF(F188&gt;=5, F188-5, IF(F188&lt;5, 0, F188))</f>
        <v/>
      </c>
      <c r="E188">
        <f>VLOOKUP(B188,[1]Namshi!$A:$B,2,0)</f>
        <v/>
      </c>
      <c r="F188" s="4">
        <f>SUMIFS('Dubai Stock'!I:I,'Dubai Stock'!H:H,Final_UAE!B:B)</f>
        <v/>
      </c>
      <c r="H188" s="8" t="e">
        <v>#N/A</v>
      </c>
      <c r="I188" s="8" t="n"/>
    </row>
    <row r="189">
      <c r="A189" s="4" t="n">
        <v>33834</v>
      </c>
      <c r="B189" s="4" t="inlineStr">
        <is>
          <t>sm100701-30s-000411-0701-50</t>
        </is>
      </c>
      <c r="C189" s="4" t="inlineStr">
        <is>
          <t>W00031886A</t>
        </is>
      </c>
      <c r="D189" s="6">
        <f>IF(F189&gt;=5, F189-5, IF(F189&lt;5, 0, F189))</f>
        <v/>
      </c>
      <c r="E189">
        <f>VLOOKUP(B189,[1]Namshi!$A:$B,2,0)</f>
        <v/>
      </c>
      <c r="F189" s="4">
        <f>SUMIFS('Dubai Stock'!I:I,'Dubai Stock'!H:H,Final_UAE!B:B)</f>
        <v/>
      </c>
      <c r="H189" s="8" t="e">
        <v>#N/A</v>
      </c>
    </row>
    <row r="190">
      <c r="A190" s="4" t="n">
        <v>33834</v>
      </c>
      <c r="B190" s="4" t="inlineStr">
        <is>
          <t>sm40107-30s-000419-0107-52</t>
        </is>
      </c>
      <c r="C190" s="4" t="inlineStr">
        <is>
          <t>W00031886A</t>
        </is>
      </c>
      <c r="D190" s="6">
        <f>IF(F190&gt;=5, F190-5, IF(F190&lt;5, 0, F190))</f>
        <v/>
      </c>
      <c r="E190">
        <f>VLOOKUP(B190,[1]Namshi!$A:$B,2,0)</f>
        <v/>
      </c>
      <c r="F190" s="4">
        <f>SUMIFS('Dubai Stock'!I:I,'Dubai Stock'!H:H,Final_UAE!B:B)</f>
        <v/>
      </c>
      <c r="H190" s="8" t="e">
        <v>#N/A</v>
      </c>
    </row>
    <row r="191">
      <c r="A191" s="4" t="n">
        <v>33834</v>
      </c>
      <c r="B191" s="4" t="inlineStr">
        <is>
          <t>su100702-bla-000345-0702-56</t>
        </is>
      </c>
      <c r="C191" s="4" t="inlineStr">
        <is>
          <t>W00031886A</t>
        </is>
      </c>
      <c r="D191" s="6">
        <f>IF(F191&gt;=5, F191-5, IF(F191&lt;5, 0, F191))</f>
        <v/>
      </c>
      <c r="E191">
        <f>VLOOKUP(B191,[1]Namshi!$A:$B,2,0)</f>
        <v/>
      </c>
      <c r="F191" s="4">
        <f>SUMIFS('Dubai Stock'!I:I,'Dubai Stock'!H:H,Final_UAE!B:B)</f>
        <v/>
      </c>
      <c r="H191" s="8" t="e">
        <v>#N/A</v>
      </c>
    </row>
    <row r="192">
      <c r="A192" s="4" t="n">
        <v>33834</v>
      </c>
      <c r="B192" s="4" t="inlineStr">
        <is>
          <t>clstmon-eve-prom-p01-sn0325</t>
        </is>
      </c>
      <c r="C192" s="4" t="inlineStr">
        <is>
          <t>W00031886A</t>
        </is>
      </c>
      <c r="D192" s="6">
        <f>IF(F192&gt;=5, F192-5, IF(F192&lt;5, 0, F192))</f>
        <v/>
      </c>
      <c r="E192">
        <f>VLOOKUP(B192,[1]Namshi!$A:$B,2,0)</f>
        <v/>
      </c>
      <c r="F192" s="4">
        <f>SUMIFS('Dubai Stock'!I:I,'Dubai Stock'!H:H,Final_UAE!B:B)</f>
        <v/>
      </c>
      <c r="H192" s="8" t="e">
        <v>#N/A</v>
      </c>
      <c r="I192" s="8" t="n"/>
    </row>
    <row r="193">
      <c r="A193" s="4" t="n">
        <v>33834</v>
      </c>
      <c r="B193" s="4" t="inlineStr">
        <is>
          <t>sm100404-30s-000403-0404-49</t>
        </is>
      </c>
      <c r="C193" s="4" t="inlineStr">
        <is>
          <t>W00031886A</t>
        </is>
      </c>
      <c r="D193" s="6">
        <f>IF(F193&gt;=5, F193-5, IF(F193&lt;5, 0, F193))</f>
        <v/>
      </c>
      <c r="E193">
        <f>VLOOKUP(B193,[1]Namshi!$A:$B,2,0)</f>
        <v/>
      </c>
      <c r="F193" s="4">
        <f>SUMIFS('Dubai Stock'!I:I,'Dubai Stock'!H:H,Final_UAE!B:B)</f>
        <v/>
      </c>
      <c r="H193" s="8" t="e">
        <v>#N/A</v>
      </c>
    </row>
    <row r="194">
      <c r="A194" s="4" t="n">
        <v>33834</v>
      </c>
      <c r="B194" s="4" t="inlineStr">
        <is>
          <t>sm40106-bla-000347-0106-56</t>
        </is>
      </c>
      <c r="C194" s="4" t="inlineStr">
        <is>
          <t>W00031886A</t>
        </is>
      </c>
      <c r="D194" s="6">
        <f>IF(F194&gt;=5, F194-5, IF(F194&lt;5, 0, F194))</f>
        <v/>
      </c>
      <c r="E194">
        <f>VLOOKUP(B194,[1]Namshi!$A:$B,2,0)</f>
        <v/>
      </c>
      <c r="F194" s="4">
        <f>SUMIFS('Dubai Stock'!I:I,'Dubai Stock'!H:H,Final_UAE!B:B)</f>
        <v/>
      </c>
      <c r="H194" s="8" t="e">
        <v>#N/A</v>
      </c>
    </row>
    <row r="195">
      <c r="A195" s="4" t="n">
        <v>33834</v>
      </c>
      <c r="B195" s="4" t="inlineStr">
        <is>
          <t>sm40706-30s-000404-0706-54</t>
        </is>
      </c>
      <c r="C195" s="4" t="inlineStr">
        <is>
          <t>W00031886A</t>
        </is>
      </c>
      <c r="D195" s="6">
        <f>IF(F195&gt;=5, F195-5, IF(F195&lt;5, 0, F195))</f>
        <v/>
      </c>
      <c r="E195">
        <f>VLOOKUP(B195,[1]Namshi!$A:$B,2,0)</f>
        <v/>
      </c>
      <c r="F195" s="4">
        <f>SUMIFS('Dubai Stock'!I:I,'Dubai Stock'!H:H,Final_UAE!B:B)</f>
        <v/>
      </c>
      <c r="H195" s="8" t="e">
        <v>#N/A</v>
      </c>
    </row>
    <row r="196">
      <c r="A196" s="4" t="n">
        <v>33834</v>
      </c>
      <c r="B196" s="4" t="inlineStr">
        <is>
          <t>sm100107-bla-000348-0107-50</t>
        </is>
      </c>
      <c r="C196" s="4" t="inlineStr">
        <is>
          <t>W00031886A</t>
        </is>
      </c>
      <c r="D196" s="6">
        <f>IF(F196&gt;=5, F196-5, IF(F196&lt;5, 0, F196))</f>
        <v/>
      </c>
      <c r="E196">
        <f>VLOOKUP(B196,[1]Namshi!$A:$B,2,0)</f>
        <v/>
      </c>
      <c r="F196" s="4">
        <f>SUMIFS('Dubai Stock'!I:I,'Dubai Stock'!H:H,Final_UAE!B:B)</f>
        <v/>
      </c>
      <c r="H196" s="8" t="e">
        <v>#N/A</v>
      </c>
    </row>
    <row r="197">
      <c r="A197" s="4" t="n">
        <v>33834</v>
      </c>
      <c r="B197" s="4" t="inlineStr">
        <is>
          <t>sm100104-bla-000354-0104-54</t>
        </is>
      </c>
      <c r="C197" s="4" t="inlineStr">
        <is>
          <t>W00031886A</t>
        </is>
      </c>
      <c r="D197" s="6">
        <f>IF(F197&gt;=5, F197-5, IF(F197&lt;5, 0, F197))</f>
        <v/>
      </c>
      <c r="E197">
        <f>VLOOKUP(B197,[1]Namshi!$A:$B,2,0)</f>
        <v/>
      </c>
      <c r="F197" s="4">
        <f>SUMIFS('Dubai Stock'!I:I,'Dubai Stock'!H:H,Final_UAE!B:B)</f>
        <v/>
      </c>
      <c r="H197" s="8" t="e">
        <v>#N/A</v>
      </c>
    </row>
    <row r="198">
      <c r="A198" s="4" t="n">
        <v>33834</v>
      </c>
      <c r="B198" s="4" t="inlineStr">
        <is>
          <t>sm101202-30s-000407-1202-52</t>
        </is>
      </c>
      <c r="C198" s="4" t="inlineStr">
        <is>
          <t>W00031886A</t>
        </is>
      </c>
      <c r="D198" s="6">
        <f>IF(F198&gt;=5, F198-5, IF(F198&lt;5, 0, F198))</f>
        <v/>
      </c>
      <c r="E198">
        <f>VLOOKUP(B198,[1]Namshi!$A:$B,2,0)</f>
        <v/>
      </c>
      <c r="F198" s="4">
        <f>SUMIFS('Dubai Stock'!I:I,'Dubai Stock'!H:H,Final_UAE!B:B)</f>
        <v/>
      </c>
      <c r="H198" s="8" t="e">
        <v>#N/A</v>
      </c>
    </row>
    <row r="199">
      <c r="A199" s="4" t="n">
        <v>33834</v>
      </c>
      <c r="B199" s="4" t="inlineStr">
        <is>
          <t>sw100404-30s-000413-0404-53</t>
        </is>
      </c>
      <c r="C199" s="4" t="inlineStr">
        <is>
          <t>W00031886A</t>
        </is>
      </c>
      <c r="D199" s="6">
        <f>IF(F199&gt;=5, F199-5, IF(F199&lt;5, 0, F199))</f>
        <v/>
      </c>
      <c r="E199">
        <f>VLOOKUP(B199,[1]Namshi!$A:$B,2,0)</f>
        <v/>
      </c>
      <c r="F199" s="4">
        <f>SUMIFS('Dubai Stock'!I:I,'Dubai Stock'!H:H,Final_UAE!B:B)</f>
        <v/>
      </c>
      <c r="H199" s="8" t="e">
        <v>#N/A</v>
      </c>
      <c r="I199" s="8" t="n"/>
    </row>
    <row r="200">
      <c r="A200" s="4" t="n">
        <v>33834</v>
      </c>
      <c r="B200" s="4" t="inlineStr">
        <is>
          <t>clstdai-eve-pure-p05-sn0050</t>
        </is>
      </c>
      <c r="C200" s="4" t="inlineStr">
        <is>
          <t>W00031886A</t>
        </is>
      </c>
      <c r="D200" s="6">
        <f>IF(F200&gt;=5, F200-5, IF(F200&lt;5, 0, F200))</f>
        <v/>
      </c>
      <c r="E200">
        <f>VLOOKUP(B200,[1]Namshi!$A:$B,2,0)</f>
        <v/>
      </c>
      <c r="F200" s="4">
        <f>SUMIFS('Dubai Stock'!I:I,'Dubai Stock'!H:H,Final_UAE!B:B)</f>
        <v/>
      </c>
      <c r="H200" s="8" t="e">
        <v>#N/A</v>
      </c>
      <c r="I200" s="8" t="n"/>
    </row>
    <row r="201">
      <c r="A201" s="4" t="n">
        <v>33834</v>
      </c>
      <c r="B201" s="4" t="inlineStr">
        <is>
          <t>su101207-bla-000345-1207-56</t>
        </is>
      </c>
      <c r="C201" s="4" t="inlineStr">
        <is>
          <t>W00031886A</t>
        </is>
      </c>
      <c r="D201" s="6">
        <f>IF(F201&gt;=5, F201-5, IF(F201&lt;5, 0, F201))</f>
        <v/>
      </c>
      <c r="E201">
        <f>VLOOKUP(B201,[1]Namshi!$A:$B,2,0)</f>
        <v/>
      </c>
      <c r="F201" s="4">
        <f>SUMIFS('Dubai Stock'!I:I,'Dubai Stock'!H:H,Final_UAE!B:B)</f>
        <v/>
      </c>
      <c r="H201" s="8" t="e">
        <v>#N/A</v>
      </c>
    </row>
    <row r="202">
      <c r="A202" s="4" t="n">
        <v>33834</v>
      </c>
      <c r="B202" s="4" t="inlineStr">
        <is>
          <t>clstmon-eve-prom-p01-sn0375</t>
        </is>
      </c>
      <c r="C202" s="4" t="inlineStr">
        <is>
          <t>W00031886A</t>
        </is>
      </c>
      <c r="D202" s="6">
        <f>IF(F202&gt;=5, F202-5, IF(F202&lt;5, 0, F202))</f>
        <v/>
      </c>
      <c r="E202">
        <f>VLOOKUP(B202,[1]Namshi!$A:$B,2,0)</f>
        <v/>
      </c>
      <c r="F202" s="4">
        <f>SUMIFS('Dubai Stock'!I:I,'Dubai Stock'!H:H,Final_UAE!B:B)</f>
        <v/>
      </c>
      <c r="H202" s="8" t="e">
        <v>#N/A</v>
      </c>
      <c r="I202" s="8" t="n"/>
    </row>
    <row r="203">
      <c r="A203" s="4" t="n">
        <v>33834</v>
      </c>
      <c r="B203" s="4" t="inlineStr">
        <is>
          <t>su51806-30s-00448-1806p-51</t>
        </is>
      </c>
      <c r="C203" s="4" t="inlineStr">
        <is>
          <t>W00031886A</t>
        </is>
      </c>
      <c r="D203" s="6">
        <f>IF(F203&gt;=5, F203-5, IF(F203&lt;5, 0, F203))</f>
        <v/>
      </c>
      <c r="E203">
        <f>VLOOKUP(B203,[1]Namshi!$A:$B,2,0)</f>
        <v/>
      </c>
      <c r="F203" s="4">
        <f>SUMIFS('Dubai Stock'!I:I,'Dubai Stock'!H:H,Final_UAE!B:B)</f>
        <v/>
      </c>
      <c r="H203" s="8" t="e">
        <v>#N/A</v>
      </c>
    </row>
    <row r="204">
      <c r="A204" s="4" t="n">
        <v>33834</v>
      </c>
      <c r="B204" s="4" t="inlineStr">
        <is>
          <t>clstdai-eve-pure-p05-sn0575</t>
        </is>
      </c>
      <c r="C204" s="4" t="inlineStr">
        <is>
          <t>W00031886A</t>
        </is>
      </c>
      <c r="D204" s="6">
        <f>IF(F204&gt;=5, F204-5, IF(F204&lt;5, 0, F204))</f>
        <v/>
      </c>
      <c r="E204">
        <f>VLOOKUP(B204,[1]Namshi!$A:$B,2,0)</f>
        <v/>
      </c>
      <c r="F204" s="4">
        <f>SUMIFS('Dubai Stock'!I:I,'Dubai Stock'!H:H,Final_UAE!B:B)</f>
        <v/>
      </c>
      <c r="H204" s="8" t="e">
        <v>#N/A</v>
      </c>
      <c r="I204" s="8" t="n"/>
    </row>
    <row r="205">
      <c r="A205" s="4" t="n">
        <v>33834</v>
      </c>
      <c r="B205" s="4" t="inlineStr">
        <is>
          <t>sw60107-30s-000449-0107-59</t>
        </is>
      </c>
      <c r="C205" s="4" t="inlineStr">
        <is>
          <t>W00031886A</t>
        </is>
      </c>
      <c r="D205" s="6">
        <f>IF(F205&gt;=5, F205-5, IF(F205&lt;5, 0, F205))</f>
        <v/>
      </c>
      <c r="E205">
        <f>VLOOKUP(B205,[1]Namshi!$A:$B,2,0)</f>
        <v/>
      </c>
      <c r="F205" s="4">
        <f>SUMIFS('Dubai Stock'!I:I,'Dubai Stock'!H:H,Final_UAE!B:B)</f>
        <v/>
      </c>
      <c r="H205" s="8" t="e">
        <v>#N/A</v>
      </c>
    </row>
    <row r="206">
      <c r="A206" s="4" t="n">
        <v>33834</v>
      </c>
      <c r="B206" s="4" t="inlineStr">
        <is>
          <t>sm100701-30s-000408-0701-48</t>
        </is>
      </c>
      <c r="C206" s="4" t="inlineStr">
        <is>
          <t>W00031886A</t>
        </is>
      </c>
      <c r="D206" s="6">
        <f>IF(F206&gt;=5, F206-5, IF(F206&lt;5, 0, F206))</f>
        <v/>
      </c>
      <c r="E206">
        <f>VLOOKUP(B206,[1]Namshi!$A:$B,2,0)</f>
        <v/>
      </c>
      <c r="F206" s="4">
        <f>SUMIFS('Dubai Stock'!I:I,'Dubai Stock'!H:H,Final_UAE!B:B)</f>
        <v/>
      </c>
      <c r="H206" s="8" t="e">
        <v>#N/A</v>
      </c>
    </row>
    <row r="207">
      <c r="A207" s="4" t="n">
        <v>33834</v>
      </c>
      <c r="B207" s="4" t="inlineStr">
        <is>
          <t>sm40107-30s-000404-0107-54</t>
        </is>
      </c>
      <c r="C207" s="4" t="inlineStr">
        <is>
          <t>W00031886A</t>
        </is>
      </c>
      <c r="D207" s="6">
        <f>IF(F207&gt;=5, F207-5, IF(F207&lt;5, 0, F207))</f>
        <v/>
      </c>
      <c r="E207">
        <f>VLOOKUP(B207,[1]Namshi!$A:$B,2,0)</f>
        <v/>
      </c>
      <c r="F207" s="4">
        <f>SUMIFS('Dubai Stock'!I:I,'Dubai Stock'!H:H,Final_UAE!B:B)</f>
        <v/>
      </c>
      <c r="H207" s="8" t="e">
        <v>#N/A</v>
      </c>
    </row>
    <row r="208">
      <c r="A208" s="4" t="n">
        <v>33834</v>
      </c>
      <c r="B208" s="4" t="inlineStr">
        <is>
          <t>su40104-bla-000353-0104-51</t>
        </is>
      </c>
      <c r="C208" s="4" t="inlineStr">
        <is>
          <t>W00031886A</t>
        </is>
      </c>
      <c r="D208" s="6">
        <f>IF(F208&gt;=5, F208-5, IF(F208&lt;5, 0, F208))</f>
        <v/>
      </c>
      <c r="E208">
        <f>VLOOKUP(B208,[1]Namshi!$A:$B,2,0)</f>
        <v/>
      </c>
      <c r="F208" s="4">
        <f>SUMIFS('Dubai Stock'!I:I,'Dubai Stock'!H:H,Final_UAE!B:B)</f>
        <v/>
      </c>
      <c r="H208" s="8" t="e">
        <v>#N/A</v>
      </c>
    </row>
    <row r="209">
      <c r="A209" s="4" t="n">
        <v>33834</v>
      </c>
      <c r="B209" s="4" t="inlineStr">
        <is>
          <t>clstmon-eve-prom-p01-sn0300</t>
        </is>
      </c>
      <c r="C209" s="4" t="inlineStr">
        <is>
          <t>W00031886A</t>
        </is>
      </c>
      <c r="D209" s="6">
        <f>IF(F209&gt;=5, F209-5, IF(F209&lt;5, 0, F209))</f>
        <v/>
      </c>
      <c r="E209">
        <f>VLOOKUP(B209,[1]Namshi!$A:$B,2,0)</f>
        <v/>
      </c>
      <c r="F209" s="4">
        <f>SUMIFS('Dubai Stock'!I:I,'Dubai Stock'!H:H,Final_UAE!B:B)</f>
        <v/>
      </c>
      <c r="H209" s="8" t="e">
        <v>#N/A</v>
      </c>
      <c r="I209" s="8" t="n"/>
    </row>
    <row r="210">
      <c r="A210" s="4" t="n">
        <v>33834</v>
      </c>
      <c r="B210" s="4" t="inlineStr">
        <is>
          <t>sw100407-30s-000450-0407-53</t>
        </is>
      </c>
      <c r="C210" s="4" t="inlineStr">
        <is>
          <t>W00031886A</t>
        </is>
      </c>
      <c r="D210" s="6">
        <f>IF(F210&gt;=5, F210-5, IF(F210&lt;5, 0, F210))</f>
        <v/>
      </c>
      <c r="E210">
        <f>VLOOKUP(B210,[1]Namshi!$A:$B,2,0)</f>
        <v/>
      </c>
      <c r="F210" s="4">
        <f>SUMIFS('Dubai Stock'!I:I,'Dubai Stock'!H:H,Final_UAE!B:B)</f>
        <v/>
      </c>
      <c r="H210" s="8" t="e">
        <v>#N/A</v>
      </c>
    </row>
    <row r="211">
      <c r="A211" s="4" t="n">
        <v>33834</v>
      </c>
      <c r="B211" s="4" t="inlineStr">
        <is>
          <t>sm40604-30s-000416-0604-54</t>
        </is>
      </c>
      <c r="C211" s="4" t="inlineStr">
        <is>
          <t>W00031886A</t>
        </is>
      </c>
      <c r="D211" s="6">
        <f>IF(F211&gt;=5, F211-5, IF(F211&lt;5, 0, F211))</f>
        <v/>
      </c>
      <c r="E211">
        <f>VLOOKUP(B211,[1]Namshi!$A:$B,2,0)</f>
        <v/>
      </c>
      <c r="F211" s="4">
        <f>SUMIFS('Dubai Stock'!I:I,'Dubai Stock'!H:H,Final_UAE!B:B)</f>
        <v/>
      </c>
      <c r="H211" s="8" t="e">
        <v>#N/A</v>
      </c>
      <c r="I211" s="8" t="n"/>
    </row>
    <row r="212">
      <c r="A212" s="4" t="n">
        <v>33834</v>
      </c>
      <c r="B212" s="4" t="inlineStr">
        <is>
          <t>clstmon-eve-prom-p01-sn0175</t>
        </is>
      </c>
      <c r="C212" s="4" t="inlineStr">
        <is>
          <t>W00031886A</t>
        </is>
      </c>
      <c r="D212" s="6">
        <f>IF(F212&gt;=5, F212-5, IF(F212&lt;5, 0, F212))</f>
        <v/>
      </c>
      <c r="E212">
        <f>VLOOKUP(B212,[1]Namshi!$A:$B,2,0)</f>
        <v/>
      </c>
      <c r="F212" s="4">
        <f>SUMIFS('Dubai Stock'!I:I,'Dubai Stock'!H:H,Final_UAE!B:B)</f>
        <v/>
      </c>
      <c r="H212" s="8" t="e">
        <v>#N/A</v>
      </c>
      <c r="I212" s="8" t="n"/>
    </row>
    <row r="213">
      <c r="A213" s="4" t="n">
        <v>33834</v>
      </c>
      <c r="B213" s="4" t="inlineStr">
        <is>
          <t>clstmon-eve-prom-p01-sn0250</t>
        </is>
      </c>
      <c r="C213" s="4" t="inlineStr">
        <is>
          <t>W00031886A</t>
        </is>
      </c>
      <c r="D213" s="6">
        <f>IF(F213&gt;=5, F213-5, IF(F213&lt;5, 0, F213))</f>
        <v/>
      </c>
      <c r="E213">
        <f>VLOOKUP(B213,[1]Namshi!$A:$B,2,0)</f>
        <v/>
      </c>
      <c r="F213" s="4">
        <f>SUMIFS('Dubai Stock'!I:I,'Dubai Stock'!H:H,Final_UAE!B:B)</f>
        <v/>
      </c>
      <c r="H213" s="8" t="e">
        <v>#N/A</v>
      </c>
      <c r="I213" s="8" t="n"/>
    </row>
    <row r="214">
      <c r="A214" s="4" t="n">
        <v>33834</v>
      </c>
      <c r="B214" s="4" t="inlineStr">
        <is>
          <t>clstdai-eve-pure-p05-sn0550</t>
        </is>
      </c>
      <c r="C214" s="4" t="inlineStr">
        <is>
          <t>W00031886A</t>
        </is>
      </c>
      <c r="D214" s="6">
        <f>IF(F214&gt;=5, F214-5, IF(F214&lt;5, 0, F214))</f>
        <v/>
      </c>
      <c r="E214">
        <f>VLOOKUP(B214,[1]Namshi!$A:$B,2,0)</f>
        <v/>
      </c>
      <c r="F214" s="4">
        <f>SUMIFS('Dubai Stock'!I:I,'Dubai Stock'!H:H,Final_UAE!B:B)</f>
        <v/>
      </c>
      <c r="H214" s="8" t="e">
        <v>#N/A</v>
      </c>
      <c r="I214" s="8" t="n"/>
    </row>
    <row r="215">
      <c r="A215" s="4" t="n">
        <v>33834</v>
      </c>
      <c r="B215" s="4" t="inlineStr">
        <is>
          <t>clstmon-eve-prom-p01-sn0350</t>
        </is>
      </c>
      <c r="C215" s="4" t="inlineStr">
        <is>
          <t>W00031886A</t>
        </is>
      </c>
      <c r="D215" s="6">
        <f>IF(F215&gt;=5, F215-5, IF(F215&lt;5, 0, F215))</f>
        <v/>
      </c>
      <c r="E215">
        <f>VLOOKUP(B215,[1]Namshi!$A:$B,2,0)</f>
        <v/>
      </c>
      <c r="F215" s="4">
        <f>SUMIFS('Dubai Stock'!I:I,'Dubai Stock'!H:H,Final_UAE!B:B)</f>
        <v/>
      </c>
      <c r="H215" s="8" t="e">
        <v>#N/A</v>
      </c>
      <c r="I215" s="8" t="n"/>
    </row>
    <row r="216">
      <c r="A216" s="4" t="n">
        <v>33834</v>
      </c>
      <c r="B216" s="4" t="inlineStr">
        <is>
          <t>clstdai-eve-pure-p05-sn0075</t>
        </is>
      </c>
      <c r="C216" s="4" t="inlineStr">
        <is>
          <t>W00031886A</t>
        </is>
      </c>
      <c r="D216" s="6">
        <f>IF(F216&gt;=5, F216-5, IF(F216&lt;5, 0, F216))</f>
        <v/>
      </c>
      <c r="E216">
        <f>VLOOKUP(B216,[1]Namshi!$A:$B,2,0)</f>
        <v/>
      </c>
      <c r="F216" s="4">
        <f>SUMIFS('Dubai Stock'!I:I,'Dubai Stock'!H:H,Final_UAE!B:B)</f>
        <v/>
      </c>
      <c r="H216" s="8" t="e">
        <v>#N/A</v>
      </c>
      <c r="I216" s="8" t="n"/>
    </row>
    <row r="217">
      <c r="A217" s="4" t="n">
        <v>33834</v>
      </c>
      <c r="B217" s="4" t="inlineStr">
        <is>
          <t>sw42404-30s-000465-2404-60</t>
        </is>
      </c>
      <c r="C217" s="4" t="inlineStr">
        <is>
          <t>W00031886A</t>
        </is>
      </c>
      <c r="D217" s="6">
        <f>IF(F217&gt;=5, F217-5, IF(F217&lt;5, 0, F217))</f>
        <v/>
      </c>
      <c r="E217">
        <f>VLOOKUP(B217,[1]Namshi!$A:$B,2,0)</f>
        <v/>
      </c>
      <c r="F217" s="4">
        <f>SUMIFS('Dubai Stock'!I:I,'Dubai Stock'!H:H,Final_UAE!B:B)</f>
        <v/>
      </c>
      <c r="H217" s="8" t="e">
        <v>#N/A</v>
      </c>
    </row>
    <row r="218">
      <c r="A218" s="4" t="n">
        <v>33834</v>
      </c>
      <c r="B218" s="4" t="inlineStr">
        <is>
          <t>clstdai-eve-pure-p05-sn0600</t>
        </is>
      </c>
      <c r="C218" s="4" t="inlineStr">
        <is>
          <t>W00031886A</t>
        </is>
      </c>
      <c r="D218" s="6">
        <f>IF(F218&gt;=5, F218-5, IF(F218&lt;5, 0, F218))</f>
        <v/>
      </c>
      <c r="E218">
        <f>VLOOKUP(B218,[1]Namshi!$A:$B,2,0)</f>
        <v/>
      </c>
      <c r="F218" s="4">
        <f>SUMIFS('Dubai Stock'!I:I,'Dubai Stock'!H:H,Final_UAE!B:B)</f>
        <v/>
      </c>
      <c r="H218" s="8" t="e">
        <v>#N/A</v>
      </c>
      <c r="I218" s="8" t="n"/>
    </row>
    <row r="219">
      <c r="A219" s="4" t="n">
        <v>33834</v>
      </c>
      <c r="B219" s="4" t="inlineStr">
        <is>
          <t>clstdai-eve-pure-p05-sn0450</t>
        </is>
      </c>
      <c r="C219" s="4" t="inlineStr">
        <is>
          <t>W00031886A</t>
        </is>
      </c>
      <c r="D219" s="6">
        <f>IF(F219&gt;=5, F219-5, IF(F219&lt;5, 0, F219))</f>
        <v/>
      </c>
      <c r="E219">
        <f>VLOOKUP(B219,[1]Namshi!$A:$B,2,0)</f>
        <v/>
      </c>
      <c r="F219" s="4">
        <f>SUMIFS('Dubai Stock'!I:I,'Dubai Stock'!H:H,Final_UAE!B:B)</f>
        <v/>
      </c>
      <c r="H219" s="8" t="e">
        <v>#N/A</v>
      </c>
      <c r="I219" s="8" t="n"/>
    </row>
    <row r="220">
      <c r="A220" s="4" t="n">
        <v>33834</v>
      </c>
      <c r="B220" s="4" t="inlineStr">
        <is>
          <t>clstdai-eve-pure-p05-sn0325</t>
        </is>
      </c>
      <c r="C220" s="4" t="inlineStr">
        <is>
          <t>W00031886A</t>
        </is>
      </c>
      <c r="D220" s="6">
        <f>IF(F220&gt;=5, F220-5, IF(F220&lt;5, 0, F220))</f>
        <v/>
      </c>
      <c r="E220">
        <f>VLOOKUP(B220,[1]Namshi!$A:$B,2,0)</f>
        <v/>
      </c>
      <c r="F220" s="4">
        <f>SUMIFS('Dubai Stock'!I:I,'Dubai Stock'!H:H,Final_UAE!B:B)</f>
        <v/>
      </c>
      <c r="H220" s="8" t="e">
        <v>#N/A</v>
      </c>
      <c r="I220" s="8" t="n"/>
    </row>
    <row r="221">
      <c r="A221" s="4" t="n">
        <v>33834</v>
      </c>
      <c r="B221" s="4" t="inlineStr">
        <is>
          <t>clstdai-eve-pure-p05-sn0350</t>
        </is>
      </c>
      <c r="C221" s="4" t="inlineStr">
        <is>
          <t>W00031886A</t>
        </is>
      </c>
      <c r="D221" s="6">
        <f>IF(F221&gt;=5, F221-5, IF(F221&lt;5, 0, F221))</f>
        <v/>
      </c>
      <c r="E221">
        <f>VLOOKUP(B221,[1]Namshi!$A:$B,2,0)</f>
        <v/>
      </c>
      <c r="F221" s="4">
        <f>SUMIFS('Dubai Stock'!I:I,'Dubai Stock'!H:H,Final_UAE!B:B)</f>
        <v/>
      </c>
      <c r="H221" s="8" t="e">
        <v>#N/A</v>
      </c>
      <c r="I221" s="8" t="n"/>
    </row>
    <row r="222">
      <c r="A222" s="4" t="n">
        <v>33834</v>
      </c>
      <c r="B222" s="4" t="inlineStr">
        <is>
          <t>clstdai-eve-pure-p05-sn0225</t>
        </is>
      </c>
      <c r="C222" s="4" t="inlineStr">
        <is>
          <t>W00031886A</t>
        </is>
      </c>
      <c r="D222" s="6">
        <f>IF(F222&gt;=5, F222-5, IF(F222&lt;5, 0, F222))</f>
        <v/>
      </c>
      <c r="E222">
        <f>VLOOKUP(B222,[1]Namshi!$A:$B,2,0)</f>
        <v/>
      </c>
      <c r="F222" s="4">
        <f>SUMIFS('Dubai Stock'!I:I,'Dubai Stock'!H:H,Final_UAE!B:B)</f>
        <v/>
      </c>
      <c r="H222" s="8" t="e">
        <v>#N/A</v>
      </c>
      <c r="I222" s="8" t="n"/>
    </row>
    <row r="223">
      <c r="A223" s="4" t="n">
        <v>33834</v>
      </c>
      <c r="B223" s="4" t="inlineStr">
        <is>
          <t>clstdai-eve-pure-p05-sn0150</t>
        </is>
      </c>
      <c r="C223" s="4" t="inlineStr">
        <is>
          <t>W00031886A</t>
        </is>
      </c>
      <c r="D223" s="6">
        <f>IF(F223&gt;=5, F223-5, IF(F223&lt;5, 0, F223))</f>
        <v/>
      </c>
      <c r="E223">
        <f>VLOOKUP(B223,[1]Namshi!$A:$B,2,0)</f>
        <v/>
      </c>
      <c r="F223" s="4">
        <f>SUMIFS('Dubai Stock'!I:I,'Dubai Stock'!H:H,Final_UAE!B:B)</f>
        <v/>
      </c>
      <c r="H223" s="8" t="e">
        <v>#N/A</v>
      </c>
      <c r="I223" s="8" t="n"/>
    </row>
    <row r="224">
      <c r="A224" s="4" t="n">
        <v>33834</v>
      </c>
      <c r="B224" s="4" t="inlineStr">
        <is>
          <t>clstdai-eve-pure-p05-sn0275</t>
        </is>
      </c>
      <c r="C224" s="4" t="inlineStr">
        <is>
          <t>W00031886A</t>
        </is>
      </c>
      <c r="D224" s="6">
        <f>IF(F224&gt;=5, F224-5, IF(F224&lt;5, 0, F224))</f>
        <v/>
      </c>
      <c r="E224">
        <f>VLOOKUP(B224,[1]Namshi!$A:$B,2,0)</f>
        <v/>
      </c>
      <c r="F224" s="4">
        <f>SUMIFS('Dubai Stock'!I:I,'Dubai Stock'!H:H,Final_UAE!B:B)</f>
        <v/>
      </c>
      <c r="H224" s="8" t="e">
        <v>#N/A</v>
      </c>
      <c r="I224" s="8" t="n"/>
    </row>
    <row r="225">
      <c r="A225" s="4" t="n">
        <v>33834</v>
      </c>
      <c r="B225" s="4" t="inlineStr">
        <is>
          <t>clstdai-eve-pure-p05-sn0175</t>
        </is>
      </c>
      <c r="C225" s="4" t="inlineStr">
        <is>
          <t>W00031886A</t>
        </is>
      </c>
      <c r="D225" s="6">
        <f>IF(F225&gt;=5, F225-5, IF(F225&lt;5, 0, F225))</f>
        <v/>
      </c>
      <c r="E225">
        <f>VLOOKUP(B225,[1]Namshi!$A:$B,2,0)</f>
        <v/>
      </c>
      <c r="F225" s="4">
        <f>SUMIFS('Dubai Stock'!I:I,'Dubai Stock'!H:H,Final_UAE!B:B)</f>
        <v/>
      </c>
      <c r="H225" s="8" t="e">
        <v>#N/A</v>
      </c>
      <c r="I225" s="8" t="n"/>
    </row>
    <row r="226">
      <c r="A226" s="4" t="n">
        <v>33834</v>
      </c>
      <c r="B226" s="4" t="inlineStr">
        <is>
          <t>clstdai-eve-pure-p05-sn0250</t>
        </is>
      </c>
      <c r="C226" s="4" t="inlineStr">
        <is>
          <t>W00031886A</t>
        </is>
      </c>
      <c r="D226" s="6">
        <f>IF(F226&gt;=5, F226-5, IF(F226&lt;5, 0, F226))</f>
        <v/>
      </c>
      <c r="E226">
        <f>VLOOKUP(B226,[1]Namshi!$A:$B,2,0)</f>
        <v/>
      </c>
      <c r="F226" s="4">
        <f>SUMIFS('Dubai Stock'!I:I,'Dubai Stock'!H:H,Final_UAE!B:B)</f>
        <v/>
      </c>
      <c r="H226" s="8" t="e">
        <v>#N/A</v>
      </c>
      <c r="I226" s="8" t="n"/>
    </row>
    <row r="227">
      <c r="A227" s="4" t="n">
        <v>33834</v>
      </c>
      <c r="B227" s="4" t="inlineStr">
        <is>
          <t>sw20404-bla-000107-2604-60</t>
        </is>
      </c>
      <c r="C227" s="4" t="inlineStr">
        <is>
          <t>W00031886A</t>
        </is>
      </c>
      <c r="D227" s="6">
        <f>IF(F227&gt;=5, F227-5, IF(F227&lt;5, 0, F227))</f>
        <v/>
      </c>
      <c r="E227">
        <f>VLOOKUP(B227,[1]Namshi!$A:$B,2,0)</f>
        <v/>
      </c>
      <c r="F227" s="4">
        <f>SUMIFS('Dubai Stock'!I:I,'Dubai Stock'!H:H,Final_UAE!B:B)</f>
        <v/>
      </c>
      <c r="H227" s="8" t="e">
        <v>#N/A</v>
      </c>
    </row>
    <row r="228">
      <c r="A228" s="4" t="n">
        <v>33834</v>
      </c>
      <c r="B228" s="4" t="inlineStr">
        <is>
          <t>clstdai-btr-oned-p30-sn0550</t>
        </is>
      </c>
      <c r="C228" s="4" t="inlineStr">
        <is>
          <t>W00031886A</t>
        </is>
      </c>
      <c r="D228" s="6">
        <f>IF(F228&gt;=5, F228-5, IF(F228&lt;5, 0, F228))</f>
        <v/>
      </c>
      <c r="E228">
        <f>VLOOKUP(B228,[1]Namshi!$A:$B,2,0)</f>
        <v/>
      </c>
      <c r="F228" s="4">
        <f>SUMIFS('Dubai Stock'!I:I,'Dubai Stock'!H:H,Final_UAE!B:B)</f>
        <v/>
      </c>
      <c r="H228" s="8" t="e">
        <v>#N/A</v>
      </c>
      <c r="I228" s="8" t="n"/>
    </row>
    <row r="229">
      <c r="A229" s="4" t="n">
        <v>33834</v>
      </c>
      <c r="B229" s="4" t="inlineStr">
        <is>
          <t>clstbiw-acu-cle-p06-sn0600</t>
        </is>
      </c>
      <c r="C229" s="4" t="inlineStr">
        <is>
          <t>W00031886A</t>
        </is>
      </c>
      <c r="D229" s="6">
        <f>IF(F229&gt;=5, F229-5, IF(F229&lt;5, 0, F229))</f>
        <v/>
      </c>
      <c r="E229">
        <f>VLOOKUP(B229,[1]Namshi!$A:$B,2,0)</f>
        <v/>
      </c>
      <c r="F229" s="4">
        <f>SUMIFS('Dubai Stock'!I:I,'Dubai Stock'!H:H,Final_UAE!B:B)</f>
        <v/>
      </c>
      <c r="H229" s="8" t="e">
        <v>#N/A</v>
      </c>
      <c r="I229" s="8" t="n"/>
    </row>
    <row r="230">
      <c r="A230" s="4" t="n">
        <v>33834</v>
      </c>
      <c r="B230" s="4" t="inlineStr">
        <is>
          <t>clstdai-acu-omax-p90-sn0350</t>
        </is>
      </c>
      <c r="C230" s="4" t="inlineStr">
        <is>
          <t>W00031886A</t>
        </is>
      </c>
      <c r="D230" s="6">
        <f>IF(F230&gt;=5, F230-5, IF(F230&lt;5, 0, F230))</f>
        <v/>
      </c>
      <c r="E230">
        <f>VLOOKUP(B230,[1]Namshi!$A:$B,2,0)</f>
        <v/>
      </c>
      <c r="F230" s="4">
        <f>SUMIFS('Dubai Stock'!I:I,'Dubai Stock'!H:H,Final_UAE!B:B)</f>
        <v/>
      </c>
      <c r="H230" s="8" t="e">
        <v>#N/A</v>
      </c>
      <c r="I230" s="8" t="n"/>
    </row>
    <row r="231">
      <c r="A231" s="4" t="n">
        <v>33834</v>
      </c>
      <c r="B231" s="4" t="inlineStr">
        <is>
          <t>cost3mo-lay-lens-p02-platinum-gray-sn0125</t>
        </is>
      </c>
      <c r="C231" s="4" t="inlineStr">
        <is>
          <t>W00031886A</t>
        </is>
      </c>
      <c r="D231" s="6">
        <f>IF(F231&gt;=5, F231-5, IF(F231&lt;5, 0, F231))</f>
        <v/>
      </c>
      <c r="E231">
        <f>VLOOKUP(B231,[1]Namshi!$A:$B,2,0)</f>
        <v/>
      </c>
      <c r="F231" s="4">
        <f>SUMIFS('Dubai Stock'!I:I,'Dubai Stock'!H:H,Final_UAE!B:B)</f>
        <v/>
      </c>
      <c r="H231" s="8" t="e">
        <v>#N/A</v>
      </c>
      <c r="I231" s="8" t="n"/>
    </row>
    <row r="232">
      <c r="A232" s="4" t="n">
        <v>33834</v>
      </c>
      <c r="B232" s="4" t="inlineStr">
        <is>
          <t>sacchan-30s-chain108-svr-inu-silver</t>
        </is>
      </c>
      <c r="C232" s="4" t="inlineStr">
        <is>
          <t>W00031886A</t>
        </is>
      </c>
      <c r="D232" s="6">
        <f>IF(F232&gt;=5, F232-5, IF(F232&lt;5, 0, F232))</f>
        <v/>
      </c>
      <c r="E232">
        <f>VLOOKUP(B232,[1]Namshi!$A:$B,2,0)</f>
        <v/>
      </c>
      <c r="F232" s="4">
        <f>SUMIFS('Dubai Stock'!I:I,'Dubai Stock'!H:H,Final_UAE!B:B)</f>
        <v/>
      </c>
      <c r="H232" s="8" t="e">
        <v>#N/A</v>
      </c>
      <c r="I232" s="8" t="n"/>
    </row>
    <row r="233">
      <c r="A233" s="4" t="n">
        <v>33834</v>
      </c>
      <c r="B233" s="4" t="inlineStr">
        <is>
          <t>clstdai-acu-omax-p90-sn1200</t>
        </is>
      </c>
      <c r="C233" s="4" t="inlineStr">
        <is>
          <t>W00031886A</t>
        </is>
      </c>
      <c r="D233" s="6">
        <f>IF(F233&gt;=5, F233-5, IF(F233&lt;5, 0, F233))</f>
        <v/>
      </c>
      <c r="E233">
        <f>VLOOKUP(B233,[1]Namshi!$A:$B,2,0)</f>
        <v/>
      </c>
      <c r="F233" s="4">
        <f>SUMIFS('Dubai Stock'!I:I,'Dubai Stock'!H:H,Final_UAE!B:B)</f>
        <v/>
      </c>
      <c r="H233" s="8" t="e">
        <v>#N/A</v>
      </c>
      <c r="I233" s="8" t="n"/>
    </row>
    <row r="234">
      <c r="A234" s="4" t="n">
        <v>33834</v>
      </c>
      <c r="B234" s="4" t="inlineStr">
        <is>
          <t>clstdai-acu-mois-p30-sp0500</t>
        </is>
      </c>
      <c r="C234" s="4" t="inlineStr">
        <is>
          <t>W00031886A</t>
        </is>
      </c>
      <c r="D234" s="6">
        <f>IF(F234&gt;=5, F234-5, IF(F234&lt;5, 0, F234))</f>
        <v/>
      </c>
      <c r="E234">
        <f>VLOOKUP(B234,[1]Namshi!$A:$B,2,0)</f>
        <v/>
      </c>
      <c r="F234" s="4">
        <f>SUMIFS('Dubai Stock'!I:I,'Dubai Stock'!H:H,Final_UAE!B:B)</f>
        <v/>
      </c>
      <c r="H234" s="8" t="e">
        <v>#N/A</v>
      </c>
      <c r="I234" s="8" t="n"/>
    </row>
    <row r="235">
      <c r="A235" s="4" t="n">
        <v>33834</v>
      </c>
      <c r="B235" s="4" t="inlineStr">
        <is>
          <t>sacchan-30s-chain103-gpl-gold</t>
        </is>
      </c>
      <c r="C235" s="4" t="inlineStr">
        <is>
          <t>W00031886A</t>
        </is>
      </c>
      <c r="D235" s="6">
        <f>IF(F235&gt;=5, F235-5, IF(F235&lt;5, 0, F235))</f>
        <v/>
      </c>
      <c r="E235">
        <f>VLOOKUP(B235,[1]Namshi!$A:$B,2,0)</f>
        <v/>
      </c>
      <c r="F235" s="4">
        <f>SUMIFS('Dubai Stock'!I:I,'Dubai Stock'!H:H,Final_UAE!B:B)</f>
        <v/>
      </c>
      <c r="H235" s="8" t="e">
        <v>#N/A</v>
      </c>
      <c r="I235" s="8" t="n"/>
    </row>
    <row r="236">
      <c r="A236" s="4" t="n">
        <v>33834</v>
      </c>
      <c r="B236" s="4" t="inlineStr">
        <is>
          <t>cost3mo-lay-2025-p02-desert-topaz-sn0225</t>
        </is>
      </c>
      <c r="C236" s="4" t="inlineStr">
        <is>
          <t>W00031886A</t>
        </is>
      </c>
      <c r="D236" s="6">
        <f>IF(F236&gt;=5, F236-5, IF(F236&lt;5, 0, F236))</f>
        <v/>
      </c>
      <c r="E236">
        <f>VLOOKUP(B236,[1]Namshi!$A:$B,2,0)</f>
        <v/>
      </c>
      <c r="F236" s="4">
        <f>SUMIFS('Dubai Stock'!I:I,'Dubai Stock'!H:H,Final_UAE!B:B)</f>
        <v/>
      </c>
      <c r="H236" s="8" t="e">
        <v>#N/A</v>
      </c>
      <c r="I236" s="8" t="n"/>
    </row>
    <row r="237">
      <c r="A237" s="4" t="n">
        <v>33834</v>
      </c>
      <c r="B237" s="4" t="inlineStr">
        <is>
          <t>clstbiw-acu-oasy-p06-sp0325</t>
        </is>
      </c>
      <c r="C237" s="4" t="inlineStr">
        <is>
          <t>W00031886A</t>
        </is>
      </c>
      <c r="D237" s="6">
        <f>IF(F237&gt;=5, F237-5, IF(F237&lt;5, 0, F237))</f>
        <v/>
      </c>
      <c r="E237">
        <f>VLOOKUP(B237,[1]Namshi!$A:$B,2,0)</f>
        <v/>
      </c>
      <c r="F237" s="4">
        <f>SUMIFS('Dubai Stock'!I:I,'Dubai Stock'!H:H,Final_UAE!B:B)</f>
        <v/>
      </c>
      <c r="H237" s="8" t="e">
        <v>#N/A</v>
      </c>
      <c r="I237" s="8" t="n"/>
    </row>
    <row r="238">
      <c r="A238" s="4" t="n">
        <v>33834</v>
      </c>
      <c r="B238" s="4" t="inlineStr">
        <is>
          <t>costmon-ama-2020-p02-pure-hazel-sn0450</t>
        </is>
      </c>
      <c r="C238" s="4" t="inlineStr">
        <is>
          <t>W00031886A</t>
        </is>
      </c>
      <c r="D238" s="6">
        <f>IF(F238&gt;=5, F238-5, IF(F238&lt;5, 0, F238))</f>
        <v/>
      </c>
      <c r="E238">
        <f>VLOOKUP(B238,[1]Namshi!$A:$B,2,0)</f>
        <v/>
      </c>
      <c r="F238" s="4">
        <f>SUMIFS('Dubai Stock'!I:I,'Dubai Stock'!H:H,Final_UAE!B:B)</f>
        <v/>
      </c>
      <c r="H238" s="8" t="e">
        <v>#N/A</v>
      </c>
      <c r="I238" s="8" t="n"/>
    </row>
    <row r="239">
      <c r="A239" s="4" t="n">
        <v>33834</v>
      </c>
      <c r="B239" s="4" t="inlineStr">
        <is>
          <t>cost3mo-lay-lens-p02-forest-green-sn0150</t>
        </is>
      </c>
      <c r="C239" s="4" t="inlineStr">
        <is>
          <t>W00031886A</t>
        </is>
      </c>
      <c r="D239" s="6">
        <f>IF(F239&gt;=5, F239-5, IF(F239&lt;5, 0, F239))</f>
        <v/>
      </c>
      <c r="E239">
        <f>VLOOKUP(B239,[1]Namshi!$A:$B,2,0)</f>
        <v/>
      </c>
      <c r="F239" s="4">
        <f>SUMIFS('Dubai Stock'!I:I,'Dubai Stock'!H:H,Final_UAE!B:B)</f>
        <v/>
      </c>
      <c r="H239" s="8" t="e">
        <v>#N/A</v>
      </c>
      <c r="I239" s="8" t="n"/>
    </row>
    <row r="240">
      <c r="A240" s="4" t="n">
        <v>33834</v>
      </c>
      <c r="B240" s="4" t="inlineStr">
        <is>
          <t>sw100107-30s-000271-0101-49</t>
        </is>
      </c>
      <c r="C240" s="4" t="inlineStr">
        <is>
          <t>W00031886A</t>
        </is>
      </c>
      <c r="D240" s="6">
        <f>IF(F240&gt;=5, F240-5, IF(F240&lt;5, 0, F240))</f>
        <v/>
      </c>
      <c r="E240">
        <f>VLOOKUP(B240,[1]Namshi!$A:$B,2,0)</f>
        <v/>
      </c>
      <c r="F240" s="4">
        <f>SUMIFS('Dubai Stock'!I:I,'Dubai Stock'!H:H,Final_UAE!B:B)</f>
        <v/>
      </c>
      <c r="H240" s="8" t="e">
        <v>#N/A</v>
      </c>
    </row>
    <row r="241">
      <c r="A241" s="4" t="n">
        <v>33834</v>
      </c>
      <c r="B241" s="4" t="inlineStr">
        <is>
          <t>costdai-acu-dffr-p30-honey-sn0325</t>
        </is>
      </c>
      <c r="C241" s="4" t="inlineStr">
        <is>
          <t>W00031886A</t>
        </is>
      </c>
      <c r="D241" s="6">
        <f>IF(F241&gt;=5, F241-5, IF(F241&lt;5, 0, F241))</f>
        <v/>
      </c>
      <c r="E241">
        <f>VLOOKUP(B241,[1]Namshi!$A:$B,2,0)</f>
        <v/>
      </c>
      <c r="F241" s="4">
        <f>SUMIFS('Dubai Stock'!I:I,'Dubai Stock'!H:H,Final_UAE!B:B)</f>
        <v/>
      </c>
      <c r="H241" s="8" t="e">
        <v>#N/A</v>
      </c>
      <c r="I241" s="8" t="n"/>
    </row>
    <row r="242">
      <c r="A242" s="4" t="n">
        <v>33834</v>
      </c>
      <c r="B242" s="4" t="inlineStr">
        <is>
          <t>sw21306-30s-000132-1306-46</t>
        </is>
      </c>
      <c r="C242" s="4" t="inlineStr">
        <is>
          <t>W00031886A</t>
        </is>
      </c>
      <c r="D242" s="6">
        <f>IF(F242&gt;=5, F242-5, IF(F242&lt;5, 0, F242))</f>
        <v/>
      </c>
      <c r="E242">
        <f>VLOOKUP(B242,[1]Namshi!$A:$B,2,0)</f>
        <v/>
      </c>
      <c r="F242" s="4">
        <f>SUMIFS('Dubai Stock'!I:I,'Dubai Stock'!H:H,Final_UAE!B:B)</f>
        <v/>
      </c>
      <c r="H242" s="8" t="e">
        <v>#N/A</v>
      </c>
    </row>
    <row r="243">
      <c r="A243" s="4" t="n">
        <v>33834</v>
      </c>
      <c r="B243" s="4" t="inlineStr">
        <is>
          <t>clstdai-acu-omax-p90-sp0350</t>
        </is>
      </c>
      <c r="C243" s="4" t="inlineStr">
        <is>
          <t>W00031886A</t>
        </is>
      </c>
      <c r="D243" s="6">
        <f>IF(F243&gt;=5, F243-5, IF(F243&lt;5, 0, F243))</f>
        <v/>
      </c>
      <c r="E243">
        <f>VLOOKUP(B243,[1]Namshi!$A:$B,2,0)</f>
        <v/>
      </c>
      <c r="F243" s="4">
        <f>SUMIFS('Dubai Stock'!I:I,'Dubai Stock'!H:H,Final_UAE!B:B)</f>
        <v/>
      </c>
      <c r="H243" s="8" t="e">
        <v>#N/A</v>
      </c>
      <c r="I243" s="8" t="n"/>
    </row>
    <row r="244">
      <c r="A244" s="4" t="n">
        <v>33834</v>
      </c>
      <c r="B244" s="4" t="inlineStr">
        <is>
          <t>clstbiw-acu-oasy-p06-sp0200</t>
        </is>
      </c>
      <c r="C244" s="4" t="inlineStr">
        <is>
          <t>W00031886A</t>
        </is>
      </c>
      <c r="D244" s="6">
        <f>IF(F244&gt;=5, F244-5, IF(F244&lt;5, 0, F244))</f>
        <v/>
      </c>
      <c r="E244">
        <f>VLOOKUP(B244,[1]Namshi!$A:$B,2,0)</f>
        <v/>
      </c>
      <c r="F244" s="4">
        <f>SUMIFS('Dubai Stock'!I:I,'Dubai Stock'!H:H,Final_UAE!B:B)</f>
        <v/>
      </c>
      <c r="H244" s="8" t="e">
        <v>#N/A</v>
      </c>
      <c r="I244" s="8" t="n"/>
    </row>
    <row r="245">
      <c r="A245" s="4" t="n">
        <v>33834</v>
      </c>
      <c r="B245" s="4" t="inlineStr">
        <is>
          <t>clstdai-eve-elit-p90-sp0100</t>
        </is>
      </c>
      <c r="C245" s="4" t="inlineStr">
        <is>
          <t>W00031886A</t>
        </is>
      </c>
      <c r="D245" s="6">
        <f>IF(F245&gt;=5, F245-5, IF(F245&lt;5, 0, F245))</f>
        <v/>
      </c>
      <c r="E245">
        <f>VLOOKUP(B245,[1]Namshi!$A:$B,2,0)</f>
        <v/>
      </c>
      <c r="F245" s="4">
        <f>SUMIFS('Dubai Stock'!I:I,'Dubai Stock'!H:H,Final_UAE!B:B)</f>
        <v/>
      </c>
      <c r="H245" s="8" t="n">
        <v>729</v>
      </c>
      <c r="I245" s="8" t="n">
        <v>357</v>
      </c>
    </row>
    <row r="246">
      <c r="A246" s="4" t="n">
        <v>33834</v>
      </c>
      <c r="B246" s="4" t="inlineStr">
        <is>
          <t>cost3mo-lay-2022-p02-sage-gray-sn0075</t>
        </is>
      </c>
      <c r="C246" s="4" t="inlineStr">
        <is>
          <t>W00031886A</t>
        </is>
      </c>
      <c r="D246" s="6">
        <f>IF(F246&gt;=5, F246-5, IF(F246&lt;5, 0, F246))</f>
        <v/>
      </c>
      <c r="E246">
        <f>VLOOKUP(B246,[1]Namshi!$A:$B,2,0)</f>
        <v/>
      </c>
      <c r="F246" s="4">
        <f>SUMIFS('Dubai Stock'!I:I,'Dubai Stock'!H:H,Final_UAE!B:B)</f>
        <v/>
      </c>
      <c r="H246" s="8" t="e">
        <v>#N/A</v>
      </c>
      <c r="I246" s="8" t="n"/>
    </row>
    <row r="247">
      <c r="A247" s="4" t="n">
        <v>33834</v>
      </c>
      <c r="B247" s="4" t="inlineStr">
        <is>
          <t>clstdai-acu-mois-p60-sn0250</t>
        </is>
      </c>
      <c r="C247" s="4" t="inlineStr">
        <is>
          <t>W00031886A</t>
        </is>
      </c>
      <c r="D247" s="6">
        <f>IF(F247&gt;=5, F247-5, IF(F247&lt;5, 0, F247))</f>
        <v/>
      </c>
      <c r="E247">
        <f>VLOOKUP(B247,[1]Namshi!$A:$B,2,0)</f>
        <v/>
      </c>
      <c r="F247" s="4">
        <f>SUMIFS('Dubai Stock'!I:I,'Dubai Stock'!H:H,Final_UAE!B:B)</f>
        <v/>
      </c>
      <c r="H247" s="8" t="e">
        <v>#N/A</v>
      </c>
      <c r="I247" s="8" t="n"/>
    </row>
    <row r="248">
      <c r="A248" s="4" t="n">
        <v>33834</v>
      </c>
      <c r="B248" s="4" t="inlineStr">
        <is>
          <t>sc40606-bab-000515-0506d-46</t>
        </is>
      </c>
      <c r="C248" s="4" t="inlineStr">
        <is>
          <t>W00031886A</t>
        </is>
      </c>
      <c r="D248" s="6">
        <f>IF(F248&gt;=5, F248-5, IF(F248&lt;5, 0, F248))</f>
        <v/>
      </c>
      <c r="E248">
        <f>VLOOKUP(B248,[1]Namshi!$A:$B,2,0)</f>
        <v/>
      </c>
      <c r="F248" s="4">
        <f>SUMIFS('Dubai Stock'!I:I,'Dubai Stock'!H:H,Final_UAE!B:B)</f>
        <v/>
      </c>
      <c r="H248" s="8" t="e">
        <v>#N/A</v>
      </c>
    </row>
    <row r="249">
      <c r="A249" s="4" t="n">
        <v>33834</v>
      </c>
      <c r="B249" s="4" t="inlineStr">
        <is>
          <t>clstdai-acu-oasy-p30-sn0525</t>
        </is>
      </c>
      <c r="C249" s="4" t="inlineStr">
        <is>
          <t>W00031886A</t>
        </is>
      </c>
      <c r="D249" s="6">
        <f>IF(F249&gt;=5, F249-5, IF(F249&lt;5, 0, F249))</f>
        <v/>
      </c>
      <c r="E249">
        <f>VLOOKUP(B249,[1]Namshi!$A:$B,2,0)</f>
        <v/>
      </c>
      <c r="F249" s="4">
        <f>SUMIFS('Dubai Stock'!I:I,'Dubai Stock'!H:H,Final_UAE!B:B)</f>
        <v/>
      </c>
      <c r="H249" s="8" t="e">
        <v>#N/A</v>
      </c>
      <c r="I249" s="8" t="n"/>
    </row>
    <row r="250">
      <c r="A250" s="4" t="n">
        <v>33834</v>
      </c>
      <c r="B250" s="4" t="inlineStr">
        <is>
          <t>clstdai-acu-mois-p60-sn0800</t>
        </is>
      </c>
      <c r="C250" s="4" t="inlineStr">
        <is>
          <t>W00031886A</t>
        </is>
      </c>
      <c r="D250" s="6">
        <f>IF(F250&gt;=5, F250-5, IF(F250&lt;5, 0, F250))</f>
        <v/>
      </c>
      <c r="E250">
        <f>VLOOKUP(B250,[1]Namshi!$A:$B,2,0)</f>
        <v/>
      </c>
      <c r="F250" s="4">
        <f>SUMIFS('Dubai Stock'!I:I,'Dubai Stock'!H:H,Final_UAE!B:B)</f>
        <v/>
      </c>
      <c r="H250" s="8" t="e">
        <v>#N/A</v>
      </c>
      <c r="I250" s="8" t="n"/>
    </row>
    <row r="251">
      <c r="A251" s="4" t="n">
        <v>33834</v>
      </c>
      <c r="B251" s="4" t="inlineStr">
        <is>
          <t>su50104-30s-000494-0104p-51</t>
        </is>
      </c>
      <c r="C251" s="4" t="inlineStr">
        <is>
          <t>W00031886A</t>
        </is>
      </c>
      <c r="D251" s="6">
        <f>IF(F251&gt;=5, F251-5, IF(F251&lt;5, 0, F251))</f>
        <v/>
      </c>
      <c r="E251">
        <f>VLOOKUP(B251,[1]Namshi!$A:$B,2,0)</f>
        <v/>
      </c>
      <c r="F251" s="4">
        <f>SUMIFS('Dubai Stock'!I:I,'Dubai Stock'!H:H,Final_UAE!B:B)</f>
        <v/>
      </c>
      <c r="H251" s="8" t="e">
        <v>#N/A</v>
      </c>
      <c r="I251" s="8" t="n"/>
    </row>
    <row r="252">
      <c r="A252" s="4" t="n">
        <v>33834</v>
      </c>
      <c r="B252" s="4" t="inlineStr">
        <is>
          <t>clstdai-eve-elit-p90-sn0950</t>
        </is>
      </c>
      <c r="C252" s="4" t="inlineStr">
        <is>
          <t>W00031886A</t>
        </is>
      </c>
      <c r="D252" s="6">
        <f>IF(F252&gt;=5, F252-5, IF(F252&lt;5, 0, F252))</f>
        <v/>
      </c>
      <c r="E252">
        <f>VLOOKUP(B252,[1]Namshi!$A:$B,2,0)</f>
        <v/>
      </c>
      <c r="F252" s="4">
        <f>SUMIFS('Dubai Stock'!I:I,'Dubai Stock'!H:H,Final_UAE!B:B)</f>
        <v/>
      </c>
      <c r="H252" s="8" t="n">
        <v>729</v>
      </c>
      <c r="I252" s="8" t="n">
        <v>357</v>
      </c>
    </row>
    <row r="253">
      <c r="A253" s="4" t="n">
        <v>33834</v>
      </c>
      <c r="B253" s="4" t="inlineStr">
        <is>
          <t>clstdai-dai-tot1-p30-sn0300</t>
        </is>
      </c>
      <c r="C253" s="4" t="inlineStr">
        <is>
          <t>W00031886A</t>
        </is>
      </c>
      <c r="D253" s="6">
        <f>IF(F253&gt;=5, F253-5, IF(F253&lt;5, 0, F253))</f>
        <v/>
      </c>
      <c r="E253">
        <f>VLOOKUP(B253,[1]Namshi!$A:$B,2,0)</f>
        <v/>
      </c>
      <c r="F253" s="4">
        <f>SUMIFS('Dubai Stock'!I:I,'Dubai Stock'!H:H,Final_UAE!B:B)</f>
        <v/>
      </c>
      <c r="H253" s="8" t="e">
        <v>#N/A</v>
      </c>
      <c r="I253" s="8" t="n"/>
    </row>
    <row r="254">
      <c r="A254" s="4" t="n">
        <v>33834</v>
      </c>
      <c r="B254" s="4" t="inlineStr">
        <is>
          <t>cost3mo-lay-2023-p02-sable-brown-sn0325</t>
        </is>
      </c>
      <c r="C254" s="4" t="inlineStr">
        <is>
          <t>W00031886A</t>
        </is>
      </c>
      <c r="D254" s="6">
        <f>IF(F254&gt;=5, F254-5, IF(F254&lt;5, 0, F254))</f>
        <v/>
      </c>
      <c r="E254">
        <f>VLOOKUP(B254,[1]Namshi!$A:$B,2,0)</f>
        <v/>
      </c>
      <c r="F254" s="4">
        <f>SUMIFS('Dubai Stock'!I:I,'Dubai Stock'!H:H,Final_UAE!B:B)</f>
        <v/>
      </c>
      <c r="H254" s="8" t="e">
        <v>#N/A</v>
      </c>
      <c r="I254" s="8" t="n"/>
    </row>
    <row r="255">
      <c r="A255" s="4" t="n">
        <v>33834</v>
      </c>
      <c r="B255" s="4" t="inlineStr">
        <is>
          <t>clstdai-acu-dfna-p30-sn0550</t>
        </is>
      </c>
      <c r="C255" s="4" t="inlineStr">
        <is>
          <t>W00031886A</t>
        </is>
      </c>
      <c r="D255" s="6">
        <f>IF(F255&gt;=5, F255-5, IF(F255&lt;5, 0, F255))</f>
        <v/>
      </c>
      <c r="E255">
        <f>VLOOKUP(B255,[1]Namshi!$A:$B,2,0)</f>
        <v/>
      </c>
      <c r="F255" s="4">
        <f>SUMIFS('Dubai Stock'!I:I,'Dubai Stock'!H:H,Final_UAE!B:B)</f>
        <v/>
      </c>
      <c r="H255" s="8" t="e">
        <v>#N/A</v>
      </c>
      <c r="I255" s="8" t="n"/>
    </row>
    <row r="256">
      <c r="A256" s="4" t="n">
        <v>33834</v>
      </c>
      <c r="B256" s="4" t="inlineStr">
        <is>
          <t>costdai-acu-dffr-p30-grayzel-sn0075</t>
        </is>
      </c>
      <c r="C256" s="4" t="inlineStr">
        <is>
          <t>W00031886A</t>
        </is>
      </c>
      <c r="D256" s="6">
        <f>IF(F256&gt;=5, F256-5, IF(F256&lt;5, 0, F256))</f>
        <v/>
      </c>
      <c r="E256">
        <f>VLOOKUP(B256,[1]Namshi!$A:$B,2,0)</f>
        <v/>
      </c>
      <c r="F256" s="4">
        <f>SUMIFS('Dubai Stock'!I:I,'Dubai Stock'!H:H,Final_UAE!B:B)</f>
        <v/>
      </c>
      <c r="H256" s="8" t="e">
        <v>#N/A</v>
      </c>
      <c r="I256" s="8" t="n"/>
    </row>
    <row r="257">
      <c r="A257" s="4" t="n">
        <v>33834</v>
      </c>
      <c r="B257" s="4" t="inlineStr">
        <is>
          <t>costdai-ama-dail-p10-moon-stone-sn0750</t>
        </is>
      </c>
      <c r="C257" s="4" t="inlineStr">
        <is>
          <t>W00031886A</t>
        </is>
      </c>
      <c r="D257" s="6">
        <f>IF(F257&gt;=5, F257-5, IF(F257&lt;5, 0, F257))</f>
        <v/>
      </c>
      <c r="E257">
        <f>VLOOKUP(B257,[1]Namshi!$A:$B,2,0)</f>
        <v/>
      </c>
      <c r="F257" s="4">
        <f>SUMIFS('Dubai Stock'!I:I,'Dubai Stock'!H:H,Final_UAE!B:B)</f>
        <v/>
      </c>
      <c r="H257" s="8" t="e">
        <v>#N/A</v>
      </c>
      <c r="I257" s="8" t="n"/>
    </row>
    <row r="258">
      <c r="A258" s="4" t="n">
        <v>33834</v>
      </c>
      <c r="B258" s="4" t="inlineStr">
        <is>
          <t>cltodai-acu-mois-p30-sn0600-cn0075-a080</t>
        </is>
      </c>
      <c r="C258" s="4" t="inlineStr">
        <is>
          <t>W00031886A</t>
        </is>
      </c>
      <c r="D258" s="6">
        <f>IF(F258&gt;=5, F258-5, IF(F258&lt;5, 0, F258))</f>
        <v/>
      </c>
      <c r="E258">
        <f>VLOOKUP(B258,[1]Namshi!$A:$B,2,0)</f>
        <v/>
      </c>
      <c r="F258" s="4">
        <f>SUMIFS('Dubai Stock'!I:I,'Dubai Stock'!H:H,Final_UAE!B:B)</f>
        <v/>
      </c>
      <c r="H258" s="8" t="e">
        <v>#N/A</v>
      </c>
      <c r="I258" s="8" t="n"/>
    </row>
    <row r="259">
      <c r="A259" s="4" t="n">
        <v>33834</v>
      </c>
      <c r="B259" s="4" t="inlineStr">
        <is>
          <t>cost3mo-cel-natu-p01-azure-blue-sp0100</t>
        </is>
      </c>
      <c r="C259" s="4" t="inlineStr">
        <is>
          <t>W00031886A</t>
        </is>
      </c>
      <c r="D259" s="6">
        <f>IF(F259&gt;=5, F259-5, IF(F259&lt;5, 0, F259))</f>
        <v/>
      </c>
      <c r="E259">
        <f>VLOOKUP(B259,[1]Namshi!$A:$B,2,0)</f>
        <v/>
      </c>
      <c r="F259" s="4">
        <f>SUMIFS('Dubai Stock'!I:I,'Dubai Stock'!H:H,Final_UAE!B:B)</f>
        <v/>
      </c>
      <c r="H259" s="8" t="e">
        <v>#N/A</v>
      </c>
      <c r="I259" s="8" t="n"/>
    </row>
    <row r="260">
      <c r="A260" s="4" t="n">
        <v>33834</v>
      </c>
      <c r="B260" s="4" t="inlineStr">
        <is>
          <t>su101007-30s-000501-1007-52</t>
        </is>
      </c>
      <c r="C260" s="4" t="inlineStr">
        <is>
          <t>W00031886A</t>
        </is>
      </c>
      <c r="D260" s="6">
        <f>IF(F260&gt;=5, F260-5, IF(F260&lt;5, 0, F260))</f>
        <v/>
      </c>
      <c r="E260">
        <f>VLOOKUP(B260,[1]Namshi!$A:$B,2,0)</f>
        <v/>
      </c>
      <c r="F260" s="4">
        <f>SUMIFS('Dubai Stock'!I:I,'Dubai Stock'!H:H,Final_UAE!B:B)</f>
        <v/>
      </c>
      <c r="H260" s="8" t="e">
        <v>#N/A</v>
      </c>
      <c r="I260" s="8" t="n"/>
    </row>
    <row r="261">
      <c r="A261" s="4" t="n">
        <v>33834</v>
      </c>
      <c r="B261" s="4" t="inlineStr">
        <is>
          <t>clstbiw-acu-oasy-p06-sn0450</t>
        </is>
      </c>
      <c r="C261" s="4" t="inlineStr">
        <is>
          <t>W00031886A</t>
        </is>
      </c>
      <c r="D261" s="6">
        <f>IF(F261&gt;=5, F261-5, IF(F261&lt;5, 0, F261))</f>
        <v/>
      </c>
      <c r="E261">
        <f>VLOOKUP(B261,[1]Namshi!$A:$B,2,0)</f>
        <v/>
      </c>
      <c r="F261" s="4">
        <f>SUMIFS('Dubai Stock'!I:I,'Dubai Stock'!H:H,Final_UAE!B:B)</f>
        <v/>
      </c>
      <c r="H261" s="8" t="e">
        <v>#N/A</v>
      </c>
      <c r="I261" s="8" t="n"/>
    </row>
    <row r="262">
      <c r="A262" s="4" t="n">
        <v>33834</v>
      </c>
      <c r="B262" s="4" t="inlineStr">
        <is>
          <t>clstdai-acu-oasy-p90-sp0350</t>
        </is>
      </c>
      <c r="C262" s="4" t="inlineStr">
        <is>
          <t>W00031886A</t>
        </is>
      </c>
      <c r="D262" s="6">
        <f>IF(F262&gt;=5, F262-5, IF(F262&lt;5, 0, F262))</f>
        <v/>
      </c>
      <c r="E262">
        <f>VLOOKUP(B262,[1]Namshi!$A:$B,2,0)</f>
        <v/>
      </c>
      <c r="F262" s="4">
        <f>SUMIFS('Dubai Stock'!I:I,'Dubai Stock'!H:H,Final_UAE!B:B)</f>
        <v/>
      </c>
      <c r="H262" s="8" t="e">
        <v>#N/A</v>
      </c>
      <c r="I262" s="8" t="n"/>
    </row>
    <row r="263">
      <c r="A263" s="4" t="n">
        <v>33834</v>
      </c>
      <c r="B263" s="4" t="inlineStr">
        <is>
          <t>clstbiw-acu-0002-p06-sn0075</t>
        </is>
      </c>
      <c r="C263" s="4" t="inlineStr">
        <is>
          <t>W00031886A</t>
        </is>
      </c>
      <c r="D263" s="6">
        <f>IF(F263&gt;=5, F263-5, IF(F263&lt;5, 0, F263))</f>
        <v/>
      </c>
      <c r="E263">
        <f>VLOOKUP(B263,[1]Namshi!$A:$B,2,0)</f>
        <v/>
      </c>
      <c r="F263" s="4">
        <f>SUMIFS('Dubai Stock'!I:I,'Dubai Stock'!H:H,Final_UAE!B:B)</f>
        <v/>
      </c>
      <c r="H263" s="8" t="e">
        <v>#N/A</v>
      </c>
      <c r="I263" s="8" t="n"/>
    </row>
    <row r="264">
      <c r="A264" s="4" t="n">
        <v>33834</v>
      </c>
      <c r="B264" s="4" t="inlineStr">
        <is>
          <t>cost3mo-lay-lens-p02-platinum-gray-sn0175</t>
        </is>
      </c>
      <c r="C264" s="4" t="inlineStr">
        <is>
          <t>W00031886A</t>
        </is>
      </c>
      <c r="D264" s="6">
        <f>IF(F264&gt;=5, F264-5, IF(F264&lt;5, 0, F264))</f>
        <v/>
      </c>
      <c r="E264">
        <f>VLOOKUP(B264,[1]Namshi!$A:$B,2,0)</f>
        <v/>
      </c>
      <c r="F264" s="4">
        <f>SUMIFS('Dubai Stock'!I:I,'Dubai Stock'!H:H,Final_UAE!B:B)</f>
        <v/>
      </c>
      <c r="H264" s="8" t="e">
        <v>#N/A</v>
      </c>
      <c r="I264" s="8" t="n"/>
    </row>
    <row r="265">
      <c r="A265" s="4" t="n">
        <v>33834</v>
      </c>
      <c r="B265" s="4" t="inlineStr">
        <is>
          <t>clstdai-acu-dfvi-p60-sn0150</t>
        </is>
      </c>
      <c r="C265" s="4" t="inlineStr">
        <is>
          <t>W00031886A</t>
        </is>
      </c>
      <c r="D265" s="6">
        <f>IF(F265&gt;=5, F265-5, IF(F265&lt;5, 0, F265))</f>
        <v/>
      </c>
      <c r="E265">
        <f>VLOOKUP(B265,[1]Namshi!$A:$B,2,0)</f>
        <v/>
      </c>
      <c r="F265" s="4">
        <f>SUMIFS('Dubai Stock'!I:I,'Dubai Stock'!H:H,Final_UAE!B:B)</f>
        <v/>
      </c>
      <c r="H265" s="8" t="e">
        <v>#N/A</v>
      </c>
      <c r="I265" s="8" t="n"/>
    </row>
    <row r="266">
      <c r="A266" s="4" t="n">
        <v>33834</v>
      </c>
      <c r="B266" s="4" t="inlineStr">
        <is>
          <t>clstdai-acu-dfna-p90-sn0600</t>
        </is>
      </c>
      <c r="C266" s="4" t="inlineStr">
        <is>
          <t>W00031886A</t>
        </is>
      </c>
      <c r="D266" s="6">
        <f>IF(F266&gt;=5, F266-5, IF(F266&lt;5, 0, F266))</f>
        <v/>
      </c>
      <c r="E266">
        <f>VLOOKUP(B266,[1]Namshi!$A:$B,2,0)</f>
        <v/>
      </c>
      <c r="F266" s="4">
        <f>SUMIFS('Dubai Stock'!I:I,'Dubai Stock'!H:H,Final_UAE!B:B)</f>
        <v/>
      </c>
      <c r="H266" s="8" t="e">
        <v>#N/A</v>
      </c>
      <c r="I266" s="8" t="n"/>
    </row>
    <row r="267">
      <c r="A267" s="4" t="n">
        <v>33834</v>
      </c>
      <c r="B267" s="4" t="inlineStr">
        <is>
          <t>clstdai-acu-mois-p30-sn0050</t>
        </is>
      </c>
      <c r="C267" s="4" t="inlineStr">
        <is>
          <t>W00031886A</t>
        </is>
      </c>
      <c r="D267" s="6">
        <f>IF(F267&gt;=5, F267-5, IF(F267&lt;5, 0, F267))</f>
        <v/>
      </c>
      <c r="E267">
        <f>VLOOKUP(B267,[1]Namshi!$A:$B,2,0)</f>
        <v/>
      </c>
      <c r="F267" s="4">
        <f>SUMIFS('Dubai Stock'!I:I,'Dubai Stock'!H:H,Final_UAE!B:B)</f>
        <v/>
      </c>
      <c r="H267" s="8" t="e">
        <v>#N/A</v>
      </c>
      <c r="I267" s="8" t="n"/>
    </row>
    <row r="268">
      <c r="A268" s="4" t="n">
        <v>33834</v>
      </c>
      <c r="B268" s="4" t="inlineStr">
        <is>
          <t>clstdai-acu-mois-p60-sn0100</t>
        </is>
      </c>
      <c r="C268" s="4" t="inlineStr">
        <is>
          <t>W00031886A</t>
        </is>
      </c>
      <c r="D268" s="6">
        <f>IF(F268&gt;=5, F268-5, IF(F268&lt;5, 0, F268))</f>
        <v/>
      </c>
      <c r="E268">
        <f>VLOOKUP(B268,[1]Namshi!$A:$B,2,0)</f>
        <v/>
      </c>
      <c r="F268" s="4">
        <f>SUMIFS('Dubai Stock'!I:I,'Dubai Stock'!H:H,Final_UAE!B:B)</f>
        <v/>
      </c>
      <c r="H268" s="8" t="e">
        <v>#N/A</v>
      </c>
      <c r="I268" s="8" t="n"/>
    </row>
    <row r="269">
      <c r="A269" s="4" t="n">
        <v>33834</v>
      </c>
      <c r="B269" s="4" t="inlineStr">
        <is>
          <t>su21707-rov-1003-13-14-51</t>
        </is>
      </c>
      <c r="C269" s="4" t="inlineStr">
        <is>
          <t>W00031886A</t>
        </is>
      </c>
      <c r="D269" s="6">
        <f>IF(F269&gt;=5, F269-5, IF(F269&lt;5, 0, F269))</f>
        <v/>
      </c>
      <c r="E269">
        <f>VLOOKUP(B269,[1]Namshi!$A:$B,2,0)</f>
        <v/>
      </c>
      <c r="F269" s="4">
        <f>SUMIFS('Dubai Stock'!I:I,'Dubai Stock'!H:H,Final_UAE!B:B)</f>
        <v/>
      </c>
      <c r="H269" s="8" t="e">
        <v>#N/A</v>
      </c>
      <c r="I269" s="8" t="n"/>
    </row>
    <row r="270">
      <c r="A270" s="4" t="n">
        <v>33834</v>
      </c>
      <c r="B270" s="4" t="inlineStr">
        <is>
          <t>cost3mo-lay-2024-p02-moon-gray-sn0250</t>
        </is>
      </c>
      <c r="C270" s="4" t="inlineStr">
        <is>
          <t>W00031886A</t>
        </is>
      </c>
      <c r="D270" s="6">
        <f>IF(F270&gt;=5, F270-5, IF(F270&lt;5, 0, F270))</f>
        <v/>
      </c>
      <c r="E270">
        <f>VLOOKUP(B270,[1]Namshi!$A:$B,2,0)</f>
        <v/>
      </c>
      <c r="F270" s="4">
        <f>SUMIFS('Dubai Stock'!I:I,'Dubai Stock'!H:H,Final_UAE!B:B)</f>
        <v/>
      </c>
      <c r="H270" s="8" t="e">
        <v>#N/A</v>
      </c>
      <c r="I270" s="8" t="n"/>
    </row>
    <row r="271">
      <c r="A271" s="4" t="n">
        <v>33834</v>
      </c>
      <c r="B271" s="4" t="inlineStr">
        <is>
          <t>fw22318-spc-000529-2600-51</t>
        </is>
      </c>
      <c r="C271" s="4" t="inlineStr">
        <is>
          <t>W00031886A</t>
        </is>
      </c>
      <c r="D271" s="6">
        <f>IF(F271&gt;=5, F271-5, IF(F271&lt;5, 0, F271))</f>
        <v/>
      </c>
      <c r="E271">
        <f>VLOOKUP(B271,[1]Namshi!$A:$B,2,0)</f>
        <v/>
      </c>
      <c r="F271" s="4">
        <f>SUMIFS('Dubai Stock'!I:I,'Dubai Stock'!H:H,Final_UAE!B:B)</f>
        <v/>
      </c>
      <c r="H271" s="8" t="e">
        <v>#N/A</v>
      </c>
      <c r="I271" s="8" t="n"/>
    </row>
    <row r="272">
      <c r="A272" s="4" t="n">
        <v>33834</v>
      </c>
      <c r="B272" s="4" t="inlineStr">
        <is>
          <t>clstdai-lay-cont-p60-dazzle-brown-sn1000</t>
        </is>
      </c>
      <c r="C272" s="4" t="inlineStr">
        <is>
          <t>W00031886A</t>
        </is>
      </c>
      <c r="D272" s="6">
        <f>IF(F272&gt;=5, F272-5, IF(F272&lt;5, 0, F272))</f>
        <v/>
      </c>
      <c r="E272">
        <f>VLOOKUP(B272,[1]Namshi!$A:$B,2,0)</f>
        <v/>
      </c>
      <c r="F272" s="4">
        <f>SUMIFS('Dubai Stock'!I:I,'Dubai Stock'!H:H,Final_UAE!B:B)</f>
        <v/>
      </c>
      <c r="H272" s="8" t="e">
        <v>#N/A</v>
      </c>
      <c r="I272" s="8" t="n"/>
    </row>
    <row r="273">
      <c r="A273" s="4" t="n">
        <v>33834</v>
      </c>
      <c r="B273" s="4" t="inlineStr">
        <is>
          <t>cost3mo-lay-2020-p02-ash-gray-sn0550</t>
        </is>
      </c>
      <c r="C273" s="4" t="inlineStr">
        <is>
          <t>W00031886A</t>
        </is>
      </c>
      <c r="D273" s="6">
        <f>IF(F273&gt;=5, F273-5, IF(F273&lt;5, 0, F273))</f>
        <v/>
      </c>
      <c r="E273">
        <f>VLOOKUP(B273,[1]Namshi!$A:$B,2,0)</f>
        <v/>
      </c>
      <c r="F273" s="4">
        <f>SUMIFS('Dubai Stock'!I:I,'Dubai Stock'!H:H,Final_UAE!B:B)</f>
        <v/>
      </c>
      <c r="H273" s="8" t="e">
        <v>#N/A</v>
      </c>
      <c r="I273" s="8" t="n"/>
    </row>
    <row r="274">
      <c r="A274" s="4" t="n">
        <v>33834</v>
      </c>
      <c r="B274" s="4" t="inlineStr">
        <is>
          <t>clstdai-lay-cont-p30-dazzle-black-sn0600</t>
        </is>
      </c>
      <c r="C274" s="4" t="inlineStr">
        <is>
          <t>W00031886A</t>
        </is>
      </c>
      <c r="D274" s="6">
        <f>IF(F274&gt;=5, F274-5, IF(F274&lt;5, 0, F274))</f>
        <v/>
      </c>
      <c r="E274">
        <f>VLOOKUP(B274,[1]Namshi!$A:$B,2,0)</f>
        <v/>
      </c>
      <c r="F274" s="4">
        <f>SUMIFS('Dubai Stock'!I:I,'Dubai Stock'!H:H,Final_UAE!B:B)</f>
        <v/>
      </c>
      <c r="H274" s="8" t="e">
        <v>#N/A</v>
      </c>
      <c r="I274" s="8" t="n"/>
    </row>
    <row r="275">
      <c r="A275" s="4" t="n">
        <v>33834</v>
      </c>
      <c r="B275" s="4" t="inlineStr">
        <is>
          <t>clstdai-dai-aqua-p30-sn0475</t>
        </is>
      </c>
      <c r="C275" s="4" t="inlineStr">
        <is>
          <t>W00031886A</t>
        </is>
      </c>
      <c r="D275" s="6">
        <f>IF(F275&gt;=5, F275-5, IF(F275&lt;5, 0, F275))</f>
        <v/>
      </c>
      <c r="E275">
        <f>VLOOKUP(B275,[1]Namshi!$A:$B,2,0)</f>
        <v/>
      </c>
      <c r="F275" s="4">
        <f>SUMIFS('Dubai Stock'!I:I,'Dubai Stock'!H:H,Final_UAE!B:B)</f>
        <v/>
      </c>
      <c r="H275" s="8" t="e">
        <v>#N/A</v>
      </c>
      <c r="I275" s="8" t="n"/>
    </row>
    <row r="276">
      <c r="A276" s="4" t="n">
        <v>33834</v>
      </c>
      <c r="B276" s="4" t="inlineStr">
        <is>
          <t>clstdai-dai-aqua-p90-sp0450</t>
        </is>
      </c>
      <c r="C276" s="4" t="inlineStr">
        <is>
          <t>W00031886A</t>
        </is>
      </c>
      <c r="D276" s="6">
        <f>IF(F276&gt;=5, F276-5, IF(F276&lt;5, 0, F276))</f>
        <v/>
      </c>
      <c r="E276">
        <f>VLOOKUP(B276,[1]Namshi!$A:$B,2,0)</f>
        <v/>
      </c>
      <c r="F276" s="4">
        <f>SUMIFS('Dubai Stock'!I:I,'Dubai Stock'!H:H,Final_UAE!B:B)</f>
        <v/>
      </c>
      <c r="H276" s="8" t="e">
        <v>#N/A</v>
      </c>
      <c r="I276" s="8" t="n"/>
    </row>
    <row r="277">
      <c r="A277" s="4" t="n">
        <v>33834</v>
      </c>
      <c r="B277" s="4" t="inlineStr">
        <is>
          <t>clstdai-acu-oasy-p30-sp0325</t>
        </is>
      </c>
      <c r="C277" s="4" t="inlineStr">
        <is>
          <t>W00031886A</t>
        </is>
      </c>
      <c r="D277" s="6">
        <f>IF(F277&gt;=5, F277-5, IF(F277&lt;5, 0, F277))</f>
        <v/>
      </c>
      <c r="E277">
        <f>VLOOKUP(B277,[1]Namshi!$A:$B,2,0)</f>
        <v/>
      </c>
      <c r="F277" s="4">
        <f>SUMIFS('Dubai Stock'!I:I,'Dubai Stock'!H:H,Final_UAE!B:B)</f>
        <v/>
      </c>
      <c r="H277" s="8" t="e">
        <v>#N/A</v>
      </c>
      <c r="I277" s="8" t="n"/>
    </row>
    <row r="278">
      <c r="A278" s="4" t="n">
        <v>33834</v>
      </c>
      <c r="B278" s="4" t="inlineStr">
        <is>
          <t>clstdai-acu-dfna-p60-sn0100</t>
        </is>
      </c>
      <c r="C278" s="4" t="inlineStr">
        <is>
          <t>W00031886A</t>
        </is>
      </c>
      <c r="D278" s="6">
        <f>IF(F278&gt;=5, F278-5, IF(F278&lt;5, 0, F278))</f>
        <v/>
      </c>
      <c r="E278">
        <f>VLOOKUP(B278,[1]Namshi!$A:$B,2,0)</f>
        <v/>
      </c>
      <c r="F278" s="4">
        <f>SUMIFS('Dubai Stock'!I:I,'Dubai Stock'!H:H,Final_UAE!B:B)</f>
        <v/>
      </c>
      <c r="H278" s="8" t="e">
        <v>#N/A</v>
      </c>
      <c r="I278" s="8" t="n"/>
    </row>
    <row r="279">
      <c r="A279" s="4" t="n">
        <v>33834</v>
      </c>
      <c r="B279" s="4" t="inlineStr">
        <is>
          <t>clstdai-acu-omax-p90-sp0150</t>
        </is>
      </c>
      <c r="C279" s="4" t="inlineStr">
        <is>
          <t>W00031886A</t>
        </is>
      </c>
      <c r="D279" s="6">
        <f>IF(F279&gt;=5, F279-5, IF(F279&lt;5, 0, F279))</f>
        <v/>
      </c>
      <c r="E279">
        <f>VLOOKUP(B279,[1]Namshi!$A:$B,2,0)</f>
        <v/>
      </c>
      <c r="F279" s="4">
        <f>SUMIFS('Dubai Stock'!I:I,'Dubai Stock'!H:H,Final_UAE!B:B)</f>
        <v/>
      </c>
      <c r="H279" s="8" t="e">
        <v>#N/A</v>
      </c>
      <c r="I279" s="8" t="n"/>
    </row>
    <row r="280">
      <c r="A280" s="4" t="n">
        <v>33834</v>
      </c>
      <c r="B280" s="4" t="inlineStr">
        <is>
          <t>su71206-bla-000103-1206-53</t>
        </is>
      </c>
      <c r="C280" s="4" t="inlineStr">
        <is>
          <t>W00031886A</t>
        </is>
      </c>
      <c r="D280" s="6">
        <f>IF(F280&gt;=5, F280-5, IF(F280&lt;5, 0, F280))</f>
        <v/>
      </c>
      <c r="E280">
        <f>VLOOKUP(B280,[1]Namshi!$A:$B,2,0)</f>
        <v/>
      </c>
      <c r="F280" s="4">
        <f>SUMIFS('Dubai Stock'!I:I,'Dubai Stock'!H:H,Final_UAE!B:B)</f>
        <v/>
      </c>
      <c r="H280" s="8" t="e">
        <v>#N/A</v>
      </c>
    </row>
    <row r="281">
      <c r="A281" s="4" t="n">
        <v>33834</v>
      </c>
      <c r="B281" s="4" t="inlineStr">
        <is>
          <t>costdai-acu-dffr-p30-honey-sn0900</t>
        </is>
      </c>
      <c r="C281" s="4" t="inlineStr">
        <is>
          <t>W00031886A</t>
        </is>
      </c>
      <c r="D281" s="6">
        <f>IF(F281&gt;=5, F281-5, IF(F281&lt;5, 0, F281))</f>
        <v/>
      </c>
      <c r="E281">
        <f>VLOOKUP(B281,[1]Namshi!$A:$B,2,0)</f>
        <v/>
      </c>
      <c r="F281" s="4">
        <f>SUMIFS('Dubai Stock'!I:I,'Dubai Stock'!H:H,Final_UAE!B:B)</f>
        <v/>
      </c>
      <c r="H281" s="8" t="e">
        <v>#N/A</v>
      </c>
      <c r="I281" s="8" t="n"/>
    </row>
    <row r="282">
      <c r="A282" s="4" t="n">
        <v>33834</v>
      </c>
      <c r="B282" s="4" t="inlineStr">
        <is>
          <t>costmon-ama-2024-p02-nmr-sn0400</t>
        </is>
      </c>
      <c r="C282" s="4" t="inlineStr">
        <is>
          <t>W00031886A</t>
        </is>
      </c>
      <c r="D282" s="6">
        <f>IF(F282&gt;=5, F282-5, IF(F282&lt;5, 0, F282))</f>
        <v/>
      </c>
      <c r="E282">
        <f>VLOOKUP(B282,[1]Namshi!$A:$B,2,0)</f>
        <v/>
      </c>
      <c r="F282" s="4">
        <f>SUMIFS('Dubai Stock'!I:I,'Dubai Stock'!H:H,Final_UAE!B:B)</f>
        <v/>
      </c>
      <c r="H282" s="8" t="e">
        <v>#N/A</v>
      </c>
      <c r="I282" s="8" t="n"/>
    </row>
    <row r="283">
      <c r="A283" s="4" t="n">
        <v>33834</v>
      </c>
      <c r="B283" s="4" t="inlineStr">
        <is>
          <t>cost3mo-lay-2022-p02-sweet-hazel-sn0075</t>
        </is>
      </c>
      <c r="C283" s="4" t="inlineStr">
        <is>
          <t>W00031886A</t>
        </is>
      </c>
      <c r="D283" s="6">
        <f>IF(F283&gt;=5, F283-5, IF(F283&lt;5, 0, F283))</f>
        <v/>
      </c>
      <c r="E283">
        <f>VLOOKUP(B283,[1]Namshi!$A:$B,2,0)</f>
        <v/>
      </c>
      <c r="F283" s="4">
        <f>SUMIFS('Dubai Stock'!I:I,'Dubai Stock'!H:H,Final_UAE!B:B)</f>
        <v/>
      </c>
      <c r="H283" s="8" t="e">
        <v>#N/A</v>
      </c>
      <c r="I283" s="8" t="n"/>
    </row>
    <row r="284">
      <c r="A284" s="4" t="n">
        <v>33834</v>
      </c>
      <c r="B284" s="4" t="inlineStr">
        <is>
          <t>saccase-30s-red-beige</t>
        </is>
      </c>
      <c r="C284" s="4" t="inlineStr">
        <is>
          <t>W00031886A</t>
        </is>
      </c>
      <c r="D284" s="6">
        <f>IF(F284&gt;=5, F284-5, IF(F284&lt;5, 0, F284))</f>
        <v/>
      </c>
      <c r="E284">
        <f>VLOOKUP(B284,[1]Namshi!$A:$B,2,0)</f>
        <v/>
      </c>
      <c r="F284" s="4">
        <f>SUMIFS('Dubai Stock'!I:I,'Dubai Stock'!H:H,Final_UAE!B:B)</f>
        <v/>
      </c>
      <c r="H284" s="8" t="e">
        <v>#N/A</v>
      </c>
      <c r="I284" s="8" t="n"/>
    </row>
    <row r="285">
      <c r="A285" s="4" t="n">
        <v>33834</v>
      </c>
      <c r="B285" s="4" t="inlineStr">
        <is>
          <t>sw30702-bla-000104-0702-59</t>
        </is>
      </c>
      <c r="C285" s="4" t="inlineStr">
        <is>
          <t>W00031886A</t>
        </is>
      </c>
      <c r="D285" s="6">
        <f>IF(F285&gt;=5, F285-5, IF(F285&lt;5, 0, F285))</f>
        <v/>
      </c>
      <c r="E285">
        <f>VLOOKUP(B285,[1]Namshi!$A:$B,2,0)</f>
        <v/>
      </c>
      <c r="F285" s="4">
        <f>SUMIFS('Dubai Stock'!I:I,'Dubai Stock'!H:H,Final_UAE!B:B)</f>
        <v/>
      </c>
      <c r="H285" s="8" t="e">
        <v>#N/A</v>
      </c>
    </row>
    <row r="286">
      <c r="A286" s="4" t="n">
        <v>33834</v>
      </c>
      <c r="B286" s="4" t="inlineStr">
        <is>
          <t>cost3mo-lay-2020-p02-hazel-brown-sn0150</t>
        </is>
      </c>
      <c r="C286" s="4" t="inlineStr">
        <is>
          <t>W00031886A</t>
        </is>
      </c>
      <c r="D286" s="6">
        <f>IF(F286&gt;=5, F286-5, IF(F286&lt;5, 0, F286))</f>
        <v/>
      </c>
      <c r="E286">
        <f>VLOOKUP(B286,[1]Namshi!$A:$B,2,0)</f>
        <v/>
      </c>
      <c r="F286" s="4">
        <f>SUMIFS('Dubai Stock'!I:I,'Dubai Stock'!H:H,Final_UAE!B:B)</f>
        <v/>
      </c>
      <c r="H286" s="8" t="e">
        <v>#N/A</v>
      </c>
      <c r="I286" s="8" t="n"/>
    </row>
    <row r="287">
      <c r="A287" s="4" t="n">
        <v>33834</v>
      </c>
      <c r="B287" s="4" t="inlineStr">
        <is>
          <t>clstdai-acu-dfvi-p90-sn0125</t>
        </is>
      </c>
      <c r="C287" s="4" t="inlineStr">
        <is>
          <t>W00031886A</t>
        </is>
      </c>
      <c r="D287" s="6">
        <f>IF(F287&gt;=5, F287-5, IF(F287&lt;5, 0, F287))</f>
        <v/>
      </c>
      <c r="E287">
        <f>VLOOKUP(B287,[1]Namshi!$A:$B,2,0)</f>
        <v/>
      </c>
      <c r="F287" s="4">
        <f>SUMIFS('Dubai Stock'!I:I,'Dubai Stock'!H:H,Final_UAE!B:B)</f>
        <v/>
      </c>
      <c r="H287" s="8" t="e">
        <v>#N/A</v>
      </c>
      <c r="I287" s="8" t="n"/>
    </row>
    <row r="288">
      <c r="A288" s="4" t="n">
        <v>33834</v>
      </c>
      <c r="B288" s="4" t="inlineStr">
        <is>
          <t>clstdai-acu-omax-p30-sn0375</t>
        </is>
      </c>
      <c r="C288" s="4" t="inlineStr">
        <is>
          <t>W00031886A</t>
        </is>
      </c>
      <c r="D288" s="6">
        <f>IF(F288&gt;=5, F288-5, IF(F288&lt;5, 0, F288))</f>
        <v/>
      </c>
      <c r="E288">
        <f>VLOOKUP(B288,[1]Namshi!$A:$B,2,0)</f>
        <v/>
      </c>
      <c r="F288" s="4">
        <f>SUMIFS('Dubai Stock'!I:I,'Dubai Stock'!H:H,Final_UAE!B:B)</f>
        <v/>
      </c>
      <c r="H288" s="8" t="e">
        <v>#N/A</v>
      </c>
      <c r="I288" s="8" t="n"/>
    </row>
    <row r="289">
      <c r="A289" s="4" t="n">
        <v>33834</v>
      </c>
      <c r="B289" s="4" t="inlineStr">
        <is>
          <t>clstbiw-acu-0002-p06-sp0500</t>
        </is>
      </c>
      <c r="C289" s="4" t="inlineStr">
        <is>
          <t>W00031886A</t>
        </is>
      </c>
      <c r="D289" s="6">
        <f>IF(F289&gt;=5, F289-5, IF(F289&lt;5, 0, F289))</f>
        <v/>
      </c>
      <c r="E289">
        <f>VLOOKUP(B289,[1]Namshi!$A:$B,2,0)</f>
        <v/>
      </c>
      <c r="F289" s="4">
        <f>SUMIFS('Dubai Stock'!I:I,'Dubai Stock'!H:H,Final_UAE!B:B)</f>
        <v/>
      </c>
      <c r="H289" s="8" t="e">
        <v>#N/A</v>
      </c>
      <c r="I289" s="8" t="n"/>
    </row>
    <row r="290">
      <c r="A290" s="4" t="n">
        <v>33834</v>
      </c>
      <c r="B290" s="4" t="inlineStr">
        <is>
          <t>sw30404-30s-000117-0404-57</t>
        </is>
      </c>
      <c r="C290" s="4" t="inlineStr">
        <is>
          <t>W00031886A</t>
        </is>
      </c>
      <c r="D290" s="6">
        <f>IF(F290&gt;=5, F290-5, IF(F290&lt;5, 0, F290))</f>
        <v/>
      </c>
      <c r="E290">
        <f>VLOOKUP(B290,[1]Namshi!$A:$B,2,0)</f>
        <v/>
      </c>
      <c r="F290" s="4">
        <f>SUMIFS('Dubai Stock'!I:I,'Dubai Stock'!H:H,Final_UAE!B:B)</f>
        <v/>
      </c>
      <c r="H290" s="8" t="e">
        <v>#N/A</v>
      </c>
    </row>
    <row r="291">
      <c r="A291" s="4" t="n">
        <v>33834</v>
      </c>
      <c r="B291" s="4" t="inlineStr">
        <is>
          <t>costmon-ama-2024-p02-barbie-brown-sn0100</t>
        </is>
      </c>
      <c r="C291" s="4" t="inlineStr">
        <is>
          <t>W00031886A</t>
        </is>
      </c>
      <c r="D291" s="6">
        <f>IF(F291&gt;=5, F291-5, IF(F291&lt;5, 0, F291))</f>
        <v/>
      </c>
      <c r="E291">
        <f>VLOOKUP(B291,[1]Namshi!$A:$B,2,0)</f>
        <v/>
      </c>
      <c r="F291" s="4">
        <f>SUMIFS('Dubai Stock'!I:I,'Dubai Stock'!H:H,Final_UAE!B:B)</f>
        <v/>
      </c>
      <c r="H291" s="8" t="e">
        <v>#N/A</v>
      </c>
      <c r="I291" s="8" t="n"/>
    </row>
    <row r="292">
      <c r="A292" s="4" t="n">
        <v>33834</v>
      </c>
      <c r="B292" s="4" t="inlineStr">
        <is>
          <t>cost3mo-lay-lens-p02-chestnut-brown-sn0150</t>
        </is>
      </c>
      <c r="C292" s="4" t="inlineStr">
        <is>
          <t>W00031886A</t>
        </is>
      </c>
      <c r="D292" s="6">
        <f>IF(F292&gt;=5, F292-5, IF(F292&lt;5, 0, F292))</f>
        <v/>
      </c>
      <c r="E292">
        <f>VLOOKUP(B292,[1]Namshi!$A:$B,2,0)</f>
        <v/>
      </c>
      <c r="F292" s="4">
        <f>SUMIFS('Dubai Stock'!I:I,'Dubai Stock'!H:H,Final_UAE!B:B)</f>
        <v/>
      </c>
      <c r="H292" s="8" t="e">
        <v>#N/A</v>
      </c>
      <c r="I292" s="8" t="n"/>
    </row>
    <row r="293">
      <c r="A293" s="4" t="n">
        <v>33834</v>
      </c>
      <c r="B293" s="4" t="inlineStr">
        <is>
          <t>clstdai-sof-sdai-p90-sn0450</t>
        </is>
      </c>
      <c r="C293" s="4" t="inlineStr">
        <is>
          <t>W00031886A</t>
        </is>
      </c>
      <c r="D293" s="6">
        <f>IF(F293&gt;=5, F293-5, IF(F293&lt;5, 0, F293))</f>
        <v/>
      </c>
      <c r="E293">
        <f>VLOOKUP(B293,[1]Namshi!$A:$B,2,0)</f>
        <v/>
      </c>
      <c r="F293" s="4">
        <f>SUMIFS('Dubai Stock'!I:I,'Dubai Stock'!H:H,Final_UAE!B:B)</f>
        <v/>
      </c>
      <c r="H293" s="8" t="e">
        <v>#N/A</v>
      </c>
      <c r="I293" s="8" t="n"/>
    </row>
    <row r="294">
      <c r="A294" s="4" t="n">
        <v>33834</v>
      </c>
      <c r="B294" s="4" t="inlineStr">
        <is>
          <t>sw50202-30s-000115-0202-61</t>
        </is>
      </c>
      <c r="C294" s="4" t="inlineStr">
        <is>
          <t>W00031886A</t>
        </is>
      </c>
      <c r="D294" s="6">
        <f>IF(F294&gt;=5, F294-5, IF(F294&lt;5, 0, F294))</f>
        <v/>
      </c>
      <c r="E294">
        <f>VLOOKUP(B294,[1]Namshi!$A:$B,2,0)</f>
        <v/>
      </c>
      <c r="F294" s="4">
        <f>SUMIFS('Dubai Stock'!I:I,'Dubai Stock'!H:H,Final_UAE!B:B)</f>
        <v/>
      </c>
      <c r="H294" s="8" t="e">
        <v>#N/A</v>
      </c>
    </row>
    <row r="295">
      <c r="A295" s="4" t="n">
        <v>33834</v>
      </c>
      <c r="B295" s="4" t="inlineStr">
        <is>
          <t>clstbiw-acu-0002-p06-sp0275</t>
        </is>
      </c>
      <c r="C295" s="4" t="inlineStr">
        <is>
          <t>W00031886A</t>
        </is>
      </c>
      <c r="D295" s="6">
        <f>IF(F295&gt;=5, F295-5, IF(F295&lt;5, 0, F295))</f>
        <v/>
      </c>
      <c r="E295">
        <f>VLOOKUP(B295,[1]Namshi!$A:$B,2,0)</f>
        <v/>
      </c>
      <c r="F295" s="4">
        <f>SUMIFS('Dubai Stock'!I:I,'Dubai Stock'!H:H,Final_UAE!B:B)</f>
        <v/>
      </c>
      <c r="H295" s="8" t="e">
        <v>#N/A</v>
      </c>
      <c r="I295" s="8" t="n"/>
    </row>
    <row r="296">
      <c r="A296" s="4" t="n">
        <v>33834</v>
      </c>
      <c r="B296" s="4" t="inlineStr">
        <is>
          <t>sc70907-bab-000513-0907-46</t>
        </is>
      </c>
      <c r="C296" s="4" t="inlineStr">
        <is>
          <t>W00031886A</t>
        </is>
      </c>
      <c r="D296" s="6">
        <f>IF(F296&gt;=5, F296-5, IF(F296&lt;5, 0, F296))</f>
        <v/>
      </c>
      <c r="E296">
        <f>VLOOKUP(B296,[1]Namshi!$A:$B,2,0)</f>
        <v/>
      </c>
      <c r="F296" s="4">
        <f>SUMIFS('Dubai Stock'!I:I,'Dubai Stock'!H:H,Final_UAE!B:B)</f>
        <v/>
      </c>
      <c r="H296" s="8" t="e">
        <v>#N/A</v>
      </c>
    </row>
    <row r="297">
      <c r="A297" s="4" t="n">
        <v>33834</v>
      </c>
      <c r="B297" s="4" t="inlineStr">
        <is>
          <t>cltobiw-acu-oasy-p06-sn0650-cn0075-a030</t>
        </is>
      </c>
      <c r="C297" s="4" t="inlineStr">
        <is>
          <t>W00031886A</t>
        </is>
      </c>
      <c r="D297" s="6">
        <f>IF(F297&gt;=5, F297-5, IF(F297&lt;5, 0, F297))</f>
        <v/>
      </c>
      <c r="E297">
        <f>VLOOKUP(B297,[1]Namshi!$A:$B,2,0)</f>
        <v/>
      </c>
      <c r="F297" s="4">
        <f>SUMIFS('Dubai Stock'!I:I,'Dubai Stock'!H:H,Final_UAE!B:B)</f>
        <v/>
      </c>
      <c r="H297" s="8" t="e">
        <v>#N/A</v>
      </c>
      <c r="I297" s="8" t="n"/>
    </row>
    <row r="298">
      <c r="A298" s="4" t="n">
        <v>33834</v>
      </c>
      <c r="B298" s="4" t="inlineStr">
        <is>
          <t>clstdai-acu-oasy-p30-sp0650</t>
        </is>
      </c>
      <c r="C298" s="4" t="inlineStr">
        <is>
          <t>W00031886A</t>
        </is>
      </c>
      <c r="D298" s="6">
        <f>IF(F298&gt;=5, F298-5, IF(F298&lt;5, 0, F298))</f>
        <v/>
      </c>
      <c r="E298">
        <f>VLOOKUP(B298,[1]Namshi!$A:$B,2,0)</f>
        <v/>
      </c>
      <c r="F298" s="4">
        <f>SUMIFS('Dubai Stock'!I:I,'Dubai Stock'!H:H,Final_UAE!B:B)</f>
        <v/>
      </c>
      <c r="H298" s="8" t="e">
        <v>#N/A</v>
      </c>
      <c r="I298" s="8" t="n"/>
    </row>
    <row r="299">
      <c r="A299" s="4" t="n">
        <v>33834</v>
      </c>
      <c r="B299" s="4" t="inlineStr">
        <is>
          <t>clstmon-sof-sl59-p06-sn0325</t>
        </is>
      </c>
      <c r="C299" s="4" t="inlineStr">
        <is>
          <t>W00031886A</t>
        </is>
      </c>
      <c r="D299" s="6">
        <f>IF(F299&gt;=5, F299-5, IF(F299&lt;5, 0, F299))</f>
        <v/>
      </c>
      <c r="E299">
        <f>VLOOKUP(B299,[1]Namshi!$A:$B,2,0)</f>
        <v/>
      </c>
      <c r="F299" s="4">
        <f>SUMIFS('Dubai Stock'!I:I,'Dubai Stock'!H:H,Final_UAE!B:B)</f>
        <v/>
      </c>
      <c r="H299" s="8" t="e">
        <v>#N/A</v>
      </c>
      <c r="I299" s="8" t="n"/>
    </row>
    <row r="300">
      <c r="A300" s="4" t="n">
        <v>33834</v>
      </c>
      <c r="B300" s="4" t="inlineStr">
        <is>
          <t>clstdai-acu-mois-p120-sn1200</t>
        </is>
      </c>
      <c r="C300" s="4" t="inlineStr">
        <is>
          <t>W00031886A</t>
        </is>
      </c>
      <c r="D300" s="6">
        <f>IF(F300&gt;=5, F300-5, IF(F300&lt;5, 0, F300))</f>
        <v/>
      </c>
      <c r="E300">
        <f>VLOOKUP(B300,[1]Namshi!$A:$B,2,0)</f>
        <v/>
      </c>
      <c r="F300" s="4">
        <f>SUMIFS('Dubai Stock'!I:I,'Dubai Stock'!H:H,Final_UAE!B:B)</f>
        <v/>
      </c>
      <c r="H300" s="8" t="e">
        <v>#N/A</v>
      </c>
      <c r="I300" s="8" t="n"/>
    </row>
    <row r="301">
      <c r="A301" s="4" t="n">
        <v>33834</v>
      </c>
      <c r="B301" s="4" t="inlineStr">
        <is>
          <t>sm11304-30s-000222-1304-54</t>
        </is>
      </c>
      <c r="C301" s="4" t="inlineStr">
        <is>
          <t>W00031886A</t>
        </is>
      </c>
      <c r="D301" s="6">
        <f>IF(F301&gt;=5, F301-5, IF(F301&lt;5, 0, F301))</f>
        <v/>
      </c>
      <c r="E301">
        <f>VLOOKUP(B301,[1]Namshi!$A:$B,2,0)</f>
        <v/>
      </c>
      <c r="F301" s="4">
        <f>SUMIFS('Dubai Stock'!I:I,'Dubai Stock'!H:H,Final_UAE!B:B)</f>
        <v/>
      </c>
      <c r="H301" s="8" t="e">
        <v>#N/A</v>
      </c>
    </row>
    <row r="302">
      <c r="A302" s="4" t="n">
        <v>33834</v>
      </c>
      <c r="B302" s="4" t="inlineStr">
        <is>
          <t>clstdai-sof-sdai-p30-sn0575</t>
        </is>
      </c>
      <c r="C302" s="4" t="inlineStr">
        <is>
          <t>W00031886A</t>
        </is>
      </c>
      <c r="D302" s="6">
        <f>IF(F302&gt;=5, F302-5, IF(F302&lt;5, 0, F302))</f>
        <v/>
      </c>
      <c r="E302">
        <f>VLOOKUP(B302,[1]Namshi!$A:$B,2,0)</f>
        <v/>
      </c>
      <c r="F302" s="4">
        <f>SUMIFS('Dubai Stock'!I:I,'Dubai Stock'!H:H,Final_UAE!B:B)</f>
        <v/>
      </c>
      <c r="H302" s="8" t="e">
        <v>#N/A</v>
      </c>
      <c r="I302" s="8" t="n"/>
    </row>
    <row r="303">
      <c r="A303" s="4" t="n">
        <v>33834</v>
      </c>
      <c r="B303" s="4" t="inlineStr">
        <is>
          <t>clstdai-dai-aqua-p90-sp0050</t>
        </is>
      </c>
      <c r="C303" s="4" t="inlineStr">
        <is>
          <t>W00031886A</t>
        </is>
      </c>
      <c r="D303" s="6">
        <f>IF(F303&gt;=5, F303-5, IF(F303&lt;5, 0, F303))</f>
        <v/>
      </c>
      <c r="E303">
        <f>VLOOKUP(B303,[1]Namshi!$A:$B,2,0)</f>
        <v/>
      </c>
      <c r="F303" s="4">
        <f>SUMIFS('Dubai Stock'!I:I,'Dubai Stock'!H:H,Final_UAE!B:B)</f>
        <v/>
      </c>
      <c r="H303" s="8" t="e">
        <v>#N/A</v>
      </c>
      <c r="I303" s="8" t="n"/>
    </row>
    <row r="304">
      <c r="A304" s="4" t="n">
        <v>33834</v>
      </c>
      <c r="B304" s="4" t="inlineStr">
        <is>
          <t>clstmon-ava-avai-p06-sp0275</t>
        </is>
      </c>
      <c r="C304" s="4" t="inlineStr">
        <is>
          <t>W00031886A</t>
        </is>
      </c>
      <c r="D304" s="6">
        <f>IF(F304&gt;=5, F304-5, IF(F304&lt;5, 0, F304))</f>
        <v/>
      </c>
      <c r="E304">
        <f>VLOOKUP(B304,[1]Namshi!$A:$B,2,0)</f>
        <v/>
      </c>
      <c r="F304" s="4">
        <f>SUMIFS('Dubai Stock'!I:I,'Dubai Stock'!H:H,Final_UAE!B:B)</f>
        <v/>
      </c>
      <c r="H304" s="8" t="e">
        <v>#N/A</v>
      </c>
      <c r="I304" s="8" t="n"/>
    </row>
    <row r="305">
      <c r="A305" s="4" t="n">
        <v>33834</v>
      </c>
      <c r="B305" s="4" t="inlineStr">
        <is>
          <t>su101204-bla-000383-1204-53</t>
        </is>
      </c>
      <c r="C305" s="4" t="inlineStr">
        <is>
          <t>W00031886A</t>
        </is>
      </c>
      <c r="D305" s="6">
        <f>IF(F305&gt;=5, F305-5, IF(F305&lt;5, 0, F305))</f>
        <v/>
      </c>
      <c r="E305">
        <f>VLOOKUP(B305,[1]Namshi!$A:$B,2,0)</f>
        <v/>
      </c>
      <c r="F305" s="4">
        <f>SUMIFS('Dubai Stock'!I:I,'Dubai Stock'!H:H,Final_UAE!B:B)</f>
        <v/>
      </c>
      <c r="H305" s="8" t="e">
        <v>#N/A</v>
      </c>
    </row>
    <row r="306">
      <c r="A306" s="4" t="n">
        <v>33834</v>
      </c>
      <c r="B306" s="4" t="inlineStr">
        <is>
          <t>cost3mo-lay-lens-p02-golden-brown-sn0150</t>
        </is>
      </c>
      <c r="C306" s="4" t="inlineStr">
        <is>
          <t>W00031886A</t>
        </is>
      </c>
      <c r="D306" s="6">
        <f>IF(F306&gt;=5, F306-5, IF(F306&lt;5, 0, F306))</f>
        <v/>
      </c>
      <c r="E306">
        <f>VLOOKUP(B306,[1]Namshi!$A:$B,2,0)</f>
        <v/>
      </c>
      <c r="F306" s="4">
        <f>SUMIFS('Dubai Stock'!I:I,'Dubai Stock'!H:H,Final_UAE!B:B)</f>
        <v/>
      </c>
      <c r="H306" s="8" t="e">
        <v>#N/A</v>
      </c>
      <c r="I306" s="8" t="n"/>
    </row>
    <row r="307">
      <c r="A307" s="4" t="n">
        <v>33834</v>
      </c>
      <c r="B307" s="4" t="inlineStr">
        <is>
          <t>clstbiw-acu-oasy-p06-sn0200</t>
        </is>
      </c>
      <c r="C307" s="4" t="inlineStr">
        <is>
          <t>W00031886A</t>
        </is>
      </c>
      <c r="D307" s="6">
        <f>IF(F307&gt;=5, F307-5, IF(F307&lt;5, 0, F307))</f>
        <v/>
      </c>
      <c r="E307">
        <f>VLOOKUP(B307,[1]Namshi!$A:$B,2,0)</f>
        <v/>
      </c>
      <c r="F307" s="4">
        <f>SUMIFS('Dubai Stock'!I:I,'Dubai Stock'!H:H,Final_UAE!B:B)</f>
        <v/>
      </c>
      <c r="H307" s="8" t="e">
        <v>#N/A</v>
      </c>
      <c r="I307" s="8" t="n"/>
    </row>
    <row r="308">
      <c r="A308" s="4" t="n">
        <v>33834</v>
      </c>
      <c r="B308" s="4" t="inlineStr">
        <is>
          <t>costmon-ama-2024-p02-barbie-brown-sn0400</t>
        </is>
      </c>
      <c r="C308" s="4" t="inlineStr">
        <is>
          <t>W00031886A</t>
        </is>
      </c>
      <c r="D308" s="6">
        <f>IF(F308&gt;=5, F308-5, IF(F308&lt;5, 0, F308))</f>
        <v/>
      </c>
      <c r="E308">
        <f>VLOOKUP(B308,[1]Namshi!$A:$B,2,0)</f>
        <v/>
      </c>
      <c r="F308" s="4">
        <f>SUMIFS('Dubai Stock'!I:I,'Dubai Stock'!H:H,Final_UAE!B:B)</f>
        <v/>
      </c>
      <c r="H308" s="8" t="e">
        <v>#N/A</v>
      </c>
      <c r="I308" s="8" t="n"/>
    </row>
    <row r="309">
      <c r="A309" s="4" t="n">
        <v>33834</v>
      </c>
      <c r="B309" s="4" t="inlineStr">
        <is>
          <t>sw41504-bla-000341-1504-55</t>
        </is>
      </c>
      <c r="C309" s="4" t="inlineStr">
        <is>
          <t>W00031886A</t>
        </is>
      </c>
      <c r="D309" s="6">
        <f>IF(F309&gt;=5, F309-5, IF(F309&lt;5, 0, F309))</f>
        <v/>
      </c>
      <c r="E309">
        <f>VLOOKUP(B309,[1]Namshi!$A:$B,2,0)</f>
        <v/>
      </c>
      <c r="F309" s="4">
        <f>SUMIFS('Dubai Stock'!I:I,'Dubai Stock'!H:H,Final_UAE!B:B)</f>
        <v/>
      </c>
      <c r="H309" s="8" t="e">
        <v>#N/A</v>
      </c>
    </row>
    <row r="310">
      <c r="A310" s="4" t="n">
        <v>33834</v>
      </c>
      <c r="B310" s="4" t="inlineStr">
        <is>
          <t>clstbiw-acu-oasy-p06-sn0100</t>
        </is>
      </c>
      <c r="C310" s="4" t="inlineStr">
        <is>
          <t>W00031886A</t>
        </is>
      </c>
      <c r="D310" s="6">
        <f>IF(F310&gt;=5, F310-5, IF(F310&lt;5, 0, F310))</f>
        <v/>
      </c>
      <c r="E310">
        <f>VLOOKUP(B310,[1]Namshi!$A:$B,2,0)</f>
        <v/>
      </c>
      <c r="F310" s="4">
        <f>SUMIFS('Dubai Stock'!I:I,'Dubai Stock'!H:H,Final_UAE!B:B)</f>
        <v/>
      </c>
      <c r="H310" s="8" t="e">
        <v>#N/A</v>
      </c>
      <c r="I310" s="8" t="n"/>
    </row>
    <row r="311">
      <c r="A311" s="4" t="n">
        <v>33834</v>
      </c>
      <c r="B311" s="4" t="inlineStr">
        <is>
          <t>costmon-ama-lens-p02-mocca-sn0350</t>
        </is>
      </c>
      <c r="C311" s="4" t="inlineStr">
        <is>
          <t>W00031886A</t>
        </is>
      </c>
      <c r="D311" s="6">
        <f>IF(F311&gt;=5, F311-5, IF(F311&lt;5, 0, F311))</f>
        <v/>
      </c>
      <c r="E311">
        <f>VLOOKUP(B311,[1]Namshi!$A:$B,2,0)</f>
        <v/>
      </c>
      <c r="F311" s="4">
        <f>SUMIFS('Dubai Stock'!I:I,'Dubai Stock'!H:H,Final_UAE!B:B)</f>
        <v/>
      </c>
      <c r="H311" s="8" t="e">
        <v>#N/A</v>
      </c>
      <c r="I311" s="8" t="n"/>
    </row>
    <row r="312">
      <c r="A312" s="4" t="n">
        <v>33834</v>
      </c>
      <c r="B312" s="4" t="inlineStr">
        <is>
          <t>costdai-acu-dffr-p30-grayzel-sn0250</t>
        </is>
      </c>
      <c r="C312" s="4" t="inlineStr">
        <is>
          <t>W00031886A</t>
        </is>
      </c>
      <c r="D312" s="6">
        <f>IF(F312&gt;=5, F312-5, IF(F312&lt;5, 0, F312))</f>
        <v/>
      </c>
      <c r="E312">
        <f>VLOOKUP(B312,[1]Namshi!$A:$B,2,0)</f>
        <v/>
      </c>
      <c r="F312" s="4">
        <f>SUMIFS('Dubai Stock'!I:I,'Dubai Stock'!H:H,Final_UAE!B:B)</f>
        <v/>
      </c>
      <c r="H312" s="8" t="e">
        <v>#N/A</v>
      </c>
      <c r="I312" s="8" t="n"/>
    </row>
    <row r="313">
      <c r="A313" s="4" t="n">
        <v>33834</v>
      </c>
      <c r="B313" s="4" t="inlineStr">
        <is>
          <t>clstdai-lay-cont-p30-dazzle-black-sn0225</t>
        </is>
      </c>
      <c r="C313" s="4" t="inlineStr">
        <is>
          <t>W00031886A</t>
        </is>
      </c>
      <c r="D313" s="6">
        <f>IF(F313&gt;=5, F313-5, IF(F313&lt;5, 0, F313))</f>
        <v/>
      </c>
      <c r="E313">
        <f>VLOOKUP(B313,[1]Namshi!$A:$B,2,0)</f>
        <v/>
      </c>
      <c r="F313" s="4">
        <f>SUMIFS('Dubai Stock'!I:I,'Dubai Stock'!H:H,Final_UAE!B:B)</f>
        <v/>
      </c>
      <c r="H313" s="8" t="e">
        <v>#N/A</v>
      </c>
      <c r="I313" s="8" t="n"/>
    </row>
    <row r="314">
      <c r="A314" s="4" t="n">
        <v>33834</v>
      </c>
      <c r="B314" s="4" t="inlineStr">
        <is>
          <t>clstdai-lay-cont-p10-dazzle-black-sn0600</t>
        </is>
      </c>
      <c r="C314" s="4" t="inlineStr">
        <is>
          <t>W00031886A</t>
        </is>
      </c>
      <c r="D314" s="6">
        <f>IF(F314&gt;=5, F314-5, IF(F314&lt;5, 0, F314))</f>
        <v/>
      </c>
      <c r="E314">
        <f>VLOOKUP(B314,[1]Namshi!$A:$B,2,0)</f>
        <v/>
      </c>
      <c r="F314" s="4">
        <f>SUMIFS('Dubai Stock'!I:I,'Dubai Stock'!H:H,Final_UAE!B:B)</f>
        <v/>
      </c>
      <c r="H314" s="8" t="e">
        <v>#N/A</v>
      </c>
      <c r="I314" s="8" t="n"/>
    </row>
    <row r="315">
      <c r="A315" s="4" t="n">
        <v>33834</v>
      </c>
      <c r="B315" s="4" t="inlineStr">
        <is>
          <t>costmon-ama-2024-p02-barbie-brown-sn0350</t>
        </is>
      </c>
      <c r="C315" s="4" t="inlineStr">
        <is>
          <t>W00031886A</t>
        </is>
      </c>
      <c r="D315" s="6">
        <f>IF(F315&gt;=5, F315-5, IF(F315&lt;5, 0, F315))</f>
        <v/>
      </c>
      <c r="E315">
        <f>VLOOKUP(B315,[1]Namshi!$A:$B,2,0)</f>
        <v/>
      </c>
      <c r="F315" s="4">
        <f>SUMIFS('Dubai Stock'!I:I,'Dubai Stock'!H:H,Final_UAE!B:B)</f>
        <v/>
      </c>
      <c r="H315" s="8" t="e">
        <v>#N/A</v>
      </c>
      <c r="I315" s="8" t="n"/>
    </row>
    <row r="316">
      <c r="A316" s="4" t="n">
        <v>33834</v>
      </c>
      <c r="B316" s="4" t="inlineStr">
        <is>
          <t>clstdai-acu-dfrb-p30-sn0525</t>
        </is>
      </c>
      <c r="C316" s="4" t="inlineStr">
        <is>
          <t>W00031886A</t>
        </is>
      </c>
      <c r="D316" s="6">
        <f>IF(F316&gt;=5, F316-5, IF(F316&lt;5, 0, F316))</f>
        <v/>
      </c>
      <c r="E316">
        <f>VLOOKUP(B316,[1]Namshi!$A:$B,2,0)</f>
        <v/>
      </c>
      <c r="F316" s="4">
        <f>SUMIFS('Dubai Stock'!I:I,'Dubai Stock'!H:H,Final_UAE!B:B)</f>
        <v/>
      </c>
      <c r="H316" s="8" t="e">
        <v>#N/A</v>
      </c>
      <c r="I316" s="8" t="n"/>
    </row>
    <row r="317">
      <c r="A317" s="4" t="n">
        <v>33834</v>
      </c>
      <c r="B317" s="4" t="inlineStr">
        <is>
          <t>clstdai-acu-omax-p30-sn1150</t>
        </is>
      </c>
      <c r="C317" s="4" t="inlineStr">
        <is>
          <t>W00031886A</t>
        </is>
      </c>
      <c r="D317" s="6">
        <f>IF(F317&gt;=5, F317-5, IF(F317&lt;5, 0, F317))</f>
        <v/>
      </c>
      <c r="E317">
        <f>VLOOKUP(B317,[1]Namshi!$A:$B,2,0)</f>
        <v/>
      </c>
      <c r="F317" s="4">
        <f>SUMIFS('Dubai Stock'!I:I,'Dubai Stock'!H:H,Final_UAE!B:B)</f>
        <v/>
      </c>
      <c r="H317" s="8" t="e">
        <v>#N/A</v>
      </c>
      <c r="I317" s="8" t="n"/>
    </row>
    <row r="318">
      <c r="A318" s="4" t="n">
        <v>33834</v>
      </c>
      <c r="B318" s="4" t="inlineStr">
        <is>
          <t>costdai-acu-dffr-p10-hazel-sn0250</t>
        </is>
      </c>
      <c r="C318" s="4" t="inlineStr">
        <is>
          <t>W00031886A</t>
        </is>
      </c>
      <c r="D318" s="6">
        <f>IF(F318&gt;=5, F318-5, IF(F318&lt;5, 0, F318))</f>
        <v/>
      </c>
      <c r="E318">
        <f>VLOOKUP(B318,[1]Namshi!$A:$B,2,0)</f>
        <v/>
      </c>
      <c r="F318" s="4">
        <f>SUMIFS('Dubai Stock'!I:I,'Dubai Stock'!H:H,Final_UAE!B:B)</f>
        <v/>
      </c>
      <c r="H318" s="8" t="e">
        <v>#N/A</v>
      </c>
      <c r="I318" s="8" t="n"/>
    </row>
    <row r="319">
      <c r="A319" s="4" t="n">
        <v>33834</v>
      </c>
      <c r="B319" s="4" t="inlineStr">
        <is>
          <t>su11304-30s-000203-1304-58</t>
        </is>
      </c>
      <c r="C319" s="4" t="inlineStr">
        <is>
          <t>W00031886A</t>
        </is>
      </c>
      <c r="D319" s="6">
        <f>IF(F319&gt;=5, F319-5, IF(F319&lt;5, 0, F319))</f>
        <v/>
      </c>
      <c r="E319">
        <f>VLOOKUP(B319,[1]Namshi!$A:$B,2,0)</f>
        <v/>
      </c>
      <c r="F319" s="4">
        <f>SUMIFS('Dubai Stock'!I:I,'Dubai Stock'!H:H,Final_UAE!B:B)</f>
        <v/>
      </c>
      <c r="H319" s="8" t="e">
        <v>#N/A</v>
      </c>
    </row>
    <row r="320">
      <c r="A320" s="4" t="n">
        <v>33834</v>
      </c>
      <c r="B320" s="4" t="inlineStr">
        <is>
          <t>sw30102-30s-000243-0102-57</t>
        </is>
      </c>
      <c r="C320" s="4" t="inlineStr">
        <is>
          <t>W00031886A</t>
        </is>
      </c>
      <c r="D320" s="6">
        <f>IF(F320&gt;=5, F320-5, IF(F320&lt;5, 0, F320))</f>
        <v/>
      </c>
      <c r="E320">
        <f>VLOOKUP(B320,[1]Namshi!$A:$B,2,0)</f>
        <v/>
      </c>
      <c r="F320" s="4">
        <f>SUMIFS('Dubai Stock'!I:I,'Dubai Stock'!H:H,Final_UAE!B:B)</f>
        <v/>
      </c>
      <c r="H320" s="8" t="e">
        <v>#N/A</v>
      </c>
    </row>
    <row r="321">
      <c r="A321" s="4" t="n">
        <v>33834</v>
      </c>
      <c r="B321" s="4" t="inlineStr">
        <is>
          <t>clstdai-eve-pure-p90-sn0750</t>
        </is>
      </c>
      <c r="C321" s="4" t="inlineStr">
        <is>
          <t>W00031886A</t>
        </is>
      </c>
      <c r="D321" s="6">
        <f>IF(F321&gt;=5, F321-5, IF(F321&lt;5, 0, F321))</f>
        <v/>
      </c>
      <c r="E321">
        <f>VLOOKUP(B321,[1]Namshi!$A:$B,2,0)</f>
        <v/>
      </c>
      <c r="F321" s="4">
        <f>SUMIFS('Dubai Stock'!I:I,'Dubai Stock'!H:H,Final_UAE!B:B)</f>
        <v/>
      </c>
      <c r="H321" s="8" t="n">
        <v>529</v>
      </c>
      <c r="I321" s="8" t="n">
        <v>259</v>
      </c>
    </row>
    <row r="322">
      <c r="A322" s="4" t="n">
        <v>33834</v>
      </c>
      <c r="B322" s="4" t="inlineStr">
        <is>
          <t>sm60106-30s-000235-0106-46</t>
        </is>
      </c>
      <c r="C322" s="4" t="inlineStr">
        <is>
          <t>W00031886A</t>
        </is>
      </c>
      <c r="D322" s="6">
        <f>IF(F322&gt;=5, F322-5, IF(F322&lt;5, 0, F322))</f>
        <v/>
      </c>
      <c r="E322">
        <f>VLOOKUP(B322,[1]Namshi!$A:$B,2,0)</f>
        <v/>
      </c>
      <c r="F322" s="4">
        <f>SUMIFS('Dubai Stock'!I:I,'Dubai Stock'!H:H,Final_UAE!B:B)</f>
        <v/>
      </c>
      <c r="H322" s="8" t="e">
        <v>#N/A</v>
      </c>
    </row>
    <row r="323">
      <c r="A323" s="4" t="n">
        <v>33834</v>
      </c>
      <c r="B323" s="4" t="inlineStr">
        <is>
          <t>sm40701-30s-000297-0701-54</t>
        </is>
      </c>
      <c r="C323" s="4" t="inlineStr">
        <is>
          <t>W00031886A</t>
        </is>
      </c>
      <c r="D323" s="6">
        <f>IF(F323&gt;=5, F323-5, IF(F323&lt;5, 0, F323))</f>
        <v/>
      </c>
      <c r="E323">
        <f>VLOOKUP(B323,[1]Namshi!$A:$B,2,0)</f>
        <v/>
      </c>
      <c r="F323" s="4">
        <f>SUMIFS('Dubai Stock'!I:I,'Dubai Stock'!H:H,Final_UAE!B:B)</f>
        <v/>
      </c>
      <c r="H323" s="8" t="e">
        <v>#N/A</v>
      </c>
    </row>
    <row r="324">
      <c r="A324" s="4" t="n">
        <v>33834</v>
      </c>
      <c r="B324" s="4" t="inlineStr">
        <is>
          <t>clstdai-dai-aqua-p30-sn0225</t>
        </is>
      </c>
      <c r="C324" s="4" t="inlineStr">
        <is>
          <t>W00031886A</t>
        </is>
      </c>
      <c r="D324" s="6">
        <f>IF(F324&gt;=5, F324-5, IF(F324&lt;5, 0, F324))</f>
        <v/>
      </c>
      <c r="E324">
        <f>VLOOKUP(B324,[1]Namshi!$A:$B,2,0)</f>
        <v/>
      </c>
      <c r="F324" s="4">
        <f>SUMIFS('Dubai Stock'!I:I,'Dubai Stock'!H:H,Final_UAE!B:B)</f>
        <v/>
      </c>
      <c r="H324" s="8" t="e">
        <v>#N/A</v>
      </c>
      <c r="I324" s="8" t="n"/>
    </row>
    <row r="325">
      <c r="A325" s="4" t="n">
        <v>33834</v>
      </c>
      <c r="B325" s="4" t="inlineStr">
        <is>
          <t>clstdai-dai-aqua-p90-sn0475</t>
        </is>
      </c>
      <c r="C325" s="4" t="inlineStr">
        <is>
          <t>W00031886A</t>
        </is>
      </c>
      <c r="D325" s="6">
        <f>IF(F325&gt;=5, F325-5, IF(F325&lt;5, 0, F325))</f>
        <v/>
      </c>
      <c r="E325">
        <f>VLOOKUP(B325,[1]Namshi!$A:$B,2,0)</f>
        <v/>
      </c>
      <c r="F325" s="4">
        <f>SUMIFS('Dubai Stock'!I:I,'Dubai Stock'!H:H,Final_UAE!B:B)</f>
        <v/>
      </c>
      <c r="H325" s="8" t="e">
        <v>#N/A</v>
      </c>
      <c r="I325" s="8" t="n"/>
    </row>
    <row r="326">
      <c r="A326" s="4" t="n">
        <v>33834</v>
      </c>
      <c r="B326" s="4" t="inlineStr">
        <is>
          <t>clstdai-acu-dfna-p90-sn0150</t>
        </is>
      </c>
      <c r="C326" s="4" t="inlineStr">
        <is>
          <t>W00031886A</t>
        </is>
      </c>
      <c r="D326" s="6">
        <f>IF(F326&gt;=5, F326-5, IF(F326&lt;5, 0, F326))</f>
        <v/>
      </c>
      <c r="E326">
        <f>VLOOKUP(B326,[1]Namshi!$A:$B,2,0)</f>
        <v/>
      </c>
      <c r="F326" s="4">
        <f>SUMIFS('Dubai Stock'!I:I,'Dubai Stock'!H:H,Final_UAE!B:B)</f>
        <v/>
      </c>
      <c r="H326" s="8" t="e">
        <v>#N/A</v>
      </c>
      <c r="I326" s="8" t="n"/>
    </row>
    <row r="327">
      <c r="A327" s="4" t="n">
        <v>33834</v>
      </c>
      <c r="B327" s="4" t="inlineStr">
        <is>
          <t>costmon-ama-2020-p02-charcoal-gray-sn0275</t>
        </is>
      </c>
      <c r="C327" s="4" t="inlineStr">
        <is>
          <t>W00031886A</t>
        </is>
      </c>
      <c r="D327" s="6">
        <f>IF(F327&gt;=5, F327-5, IF(F327&lt;5, 0, F327))</f>
        <v/>
      </c>
      <c r="E327">
        <f>VLOOKUP(B327,[1]Namshi!$A:$B,2,0)</f>
        <v/>
      </c>
      <c r="F327" s="4">
        <f>SUMIFS('Dubai Stock'!I:I,'Dubai Stock'!H:H,Final_UAE!B:B)</f>
        <v/>
      </c>
      <c r="H327" s="8" t="e">
        <v>#N/A</v>
      </c>
      <c r="I327" s="8" t="n"/>
    </row>
    <row r="328">
      <c r="A328" s="4" t="n">
        <v>33834</v>
      </c>
      <c r="B328" s="4" t="inlineStr">
        <is>
          <t>clstdai-dai-tot1-p30-sp0125</t>
        </is>
      </c>
      <c r="C328" s="4" t="inlineStr">
        <is>
          <t>W00031886A</t>
        </is>
      </c>
      <c r="D328" s="6">
        <f>IF(F328&gt;=5, F328-5, IF(F328&lt;5, 0, F328))</f>
        <v/>
      </c>
      <c r="E328">
        <f>VLOOKUP(B328,[1]Namshi!$A:$B,2,0)</f>
        <v/>
      </c>
      <c r="F328" s="4">
        <f>SUMIFS('Dubai Stock'!I:I,'Dubai Stock'!H:H,Final_UAE!B:B)</f>
        <v/>
      </c>
      <c r="H328" s="8" t="e">
        <v>#N/A</v>
      </c>
      <c r="I328" s="8" t="n"/>
    </row>
    <row r="329">
      <c r="A329" s="4" t="n">
        <v>33834</v>
      </c>
      <c r="B329" s="4" t="inlineStr">
        <is>
          <t>sw10506-30s-000288-2906-49</t>
        </is>
      </c>
      <c r="C329" s="4" t="inlineStr">
        <is>
          <t>W00031886A</t>
        </is>
      </c>
      <c r="D329" s="6">
        <f>IF(F329&gt;=5, F329-5, IF(F329&lt;5, 0, F329))</f>
        <v/>
      </c>
      <c r="E329">
        <f>VLOOKUP(B329,[1]Namshi!$A:$B,2,0)</f>
        <v/>
      </c>
      <c r="F329" s="4">
        <f>SUMIFS('Dubai Stock'!I:I,'Dubai Stock'!H:H,Final_UAE!B:B)</f>
        <v/>
      </c>
      <c r="H329" s="8" t="e">
        <v>#N/A</v>
      </c>
    </row>
    <row r="330">
      <c r="A330" s="4" t="n">
        <v>33834</v>
      </c>
      <c r="B330" s="4" t="inlineStr">
        <is>
          <t>clstdai-acu-mois-p120-sn0050</t>
        </is>
      </c>
      <c r="C330" s="4" t="inlineStr">
        <is>
          <t>W00031886A</t>
        </is>
      </c>
      <c r="D330" s="6">
        <f>IF(F330&gt;=5, F330-5, IF(F330&lt;5, 0, F330))</f>
        <v/>
      </c>
      <c r="E330">
        <f>VLOOKUP(B330,[1]Namshi!$A:$B,2,0)</f>
        <v/>
      </c>
      <c r="F330" s="4">
        <f>SUMIFS('Dubai Stock'!I:I,'Dubai Stock'!H:H,Final_UAE!B:B)</f>
        <v/>
      </c>
      <c r="H330" s="8" t="e">
        <v>#N/A</v>
      </c>
      <c r="I330" s="8" t="n"/>
    </row>
    <row r="331">
      <c r="A331" s="4" t="n">
        <v>33834</v>
      </c>
      <c r="B331" s="4" t="inlineStr">
        <is>
          <t>clstdai-eve-elit-p90-sn0700</t>
        </is>
      </c>
      <c r="C331" s="4" t="inlineStr">
        <is>
          <t>W00031886A</t>
        </is>
      </c>
      <c r="D331" s="6">
        <f>IF(F331&gt;=5, F331-5, IF(F331&lt;5, 0, F331))</f>
        <v/>
      </c>
      <c r="E331">
        <f>VLOOKUP(B331,[1]Namshi!$A:$B,2,0)</f>
        <v/>
      </c>
      <c r="F331" s="4">
        <f>SUMIFS('Dubai Stock'!I:I,'Dubai Stock'!H:H,Final_UAE!B:B)</f>
        <v/>
      </c>
      <c r="H331" s="8" t="n">
        <v>729</v>
      </c>
      <c r="I331" s="8" t="n">
        <v>357</v>
      </c>
    </row>
    <row r="332">
      <c r="A332" s="4" t="n">
        <v>33834</v>
      </c>
      <c r="B332" s="4" t="inlineStr">
        <is>
          <t>clstdai-acu-omax-p30-sp0350</t>
        </is>
      </c>
      <c r="C332" s="4" t="inlineStr">
        <is>
          <t>W00031886A</t>
        </is>
      </c>
      <c r="D332" s="6">
        <f>IF(F332&gt;=5, F332-5, IF(F332&lt;5, 0, F332))</f>
        <v/>
      </c>
      <c r="E332">
        <f>VLOOKUP(B332,[1]Namshi!$A:$B,2,0)</f>
        <v/>
      </c>
      <c r="F332" s="4">
        <f>SUMIFS('Dubai Stock'!I:I,'Dubai Stock'!H:H,Final_UAE!B:B)</f>
        <v/>
      </c>
      <c r="H332" s="8" t="e">
        <v>#N/A</v>
      </c>
      <c r="I332" s="8" t="n"/>
    </row>
    <row r="333">
      <c r="A333" s="4" t="n">
        <v>33834</v>
      </c>
      <c r="B333" s="4" t="inlineStr">
        <is>
          <t>cost3mo-lay-2023-p02-selene-green-sn0325</t>
        </is>
      </c>
      <c r="C333" s="4" t="inlineStr">
        <is>
          <t>W00031886A</t>
        </is>
      </c>
      <c r="D333" s="6">
        <f>IF(F333&gt;=5, F333-5, IF(F333&lt;5, 0, F333))</f>
        <v/>
      </c>
      <c r="E333">
        <f>VLOOKUP(B333,[1]Namshi!$A:$B,2,0)</f>
        <v/>
      </c>
      <c r="F333" s="4">
        <f>SUMIFS('Dubai Stock'!I:I,'Dubai Stock'!H:H,Final_UAE!B:B)</f>
        <v/>
      </c>
      <c r="H333" s="8" t="e">
        <v>#N/A</v>
      </c>
      <c r="I333" s="8" t="n"/>
    </row>
    <row r="334">
      <c r="A334" s="4" t="n">
        <v>33834</v>
      </c>
      <c r="B334" s="4" t="inlineStr">
        <is>
          <t>clstdai-eve-elit-p30-sn0950</t>
        </is>
      </c>
      <c r="C334" s="4" t="inlineStr">
        <is>
          <t>W00031886A</t>
        </is>
      </c>
      <c r="D334" s="6">
        <f>IF(F334&gt;=5, F334-5, IF(F334&lt;5, 0, F334))</f>
        <v/>
      </c>
      <c r="E334">
        <f>VLOOKUP(B334,[1]Namshi!$A:$B,2,0)</f>
        <v/>
      </c>
      <c r="F334" s="4">
        <f>SUMIFS('Dubai Stock'!I:I,'Dubai Stock'!H:H,Final_UAE!B:B)</f>
        <v/>
      </c>
      <c r="H334" s="8" t="n">
        <v>261</v>
      </c>
      <c r="I334" s="8" t="n">
        <v>146.3</v>
      </c>
    </row>
    <row r="335">
      <c r="A335" s="4" t="n">
        <v>33834</v>
      </c>
      <c r="B335" s="4" t="inlineStr">
        <is>
          <t>su60707-bla-000319-0707-54</t>
        </is>
      </c>
      <c r="C335" s="4" t="inlineStr">
        <is>
          <t>W00031886A</t>
        </is>
      </c>
      <c r="D335" s="6">
        <f>IF(F335&gt;=5, F335-5, IF(F335&lt;5, 0, F335))</f>
        <v/>
      </c>
      <c r="E335">
        <f>VLOOKUP(B335,[1]Namshi!$A:$B,2,0)</f>
        <v/>
      </c>
      <c r="F335" s="4">
        <f>SUMIFS('Dubai Stock'!I:I,'Dubai Stock'!H:H,Final_UAE!B:B)</f>
        <v/>
      </c>
      <c r="H335" s="8" t="e">
        <v>#N/A</v>
      </c>
    </row>
    <row r="336">
      <c r="A336" s="4" t="n">
        <v>33834</v>
      </c>
      <c r="B336" s="4" t="inlineStr">
        <is>
          <t>cost3mo-lay-2022-p02-crescent-gray-sn0450</t>
        </is>
      </c>
      <c r="C336" s="4" t="inlineStr">
        <is>
          <t>W00031886A</t>
        </is>
      </c>
      <c r="D336" s="6">
        <f>IF(F336&gt;=5, F336-5, IF(F336&lt;5, 0, F336))</f>
        <v/>
      </c>
      <c r="E336">
        <f>VLOOKUP(B336,[1]Namshi!$A:$B,2,0)</f>
        <v/>
      </c>
      <c r="F336" s="4">
        <f>SUMIFS('Dubai Stock'!I:I,'Dubai Stock'!H:H,Final_UAE!B:B)</f>
        <v/>
      </c>
      <c r="H336" s="8" t="e">
        <v>#N/A</v>
      </c>
      <c r="I336" s="8" t="n"/>
    </row>
    <row r="337">
      <c r="A337" s="4" t="n">
        <v>33834</v>
      </c>
      <c r="B337" s="4" t="inlineStr">
        <is>
          <t>su50702-bla-000249-0702-51</t>
        </is>
      </c>
      <c r="C337" s="4" t="inlineStr">
        <is>
          <t>W00031886A</t>
        </is>
      </c>
      <c r="D337" s="6">
        <f>IF(F337&gt;=5, F337-5, IF(F337&lt;5, 0, F337))</f>
        <v/>
      </c>
      <c r="E337">
        <f>VLOOKUP(B337,[1]Namshi!$A:$B,2,0)</f>
        <v/>
      </c>
      <c r="F337" s="4">
        <f>SUMIFS('Dubai Stock'!I:I,'Dubai Stock'!H:H,Final_UAE!B:B)</f>
        <v/>
      </c>
      <c r="H337" s="8" t="e">
        <v>#N/A</v>
      </c>
      <c r="I337" s="8" t="n"/>
    </row>
    <row r="338">
      <c r="A338" s="4" t="n">
        <v>33834</v>
      </c>
      <c r="B338" s="4" t="inlineStr">
        <is>
          <t>clstdai-eve-pure-p90-sp0175</t>
        </is>
      </c>
      <c r="C338" s="4" t="inlineStr">
        <is>
          <t>W00031886A</t>
        </is>
      </c>
      <c r="D338" s="6">
        <f>IF(F338&gt;=5, F338-5, IF(F338&lt;5, 0, F338))</f>
        <v/>
      </c>
      <c r="E338">
        <f>VLOOKUP(B338,[1]Namshi!$A:$B,2,0)</f>
        <v/>
      </c>
      <c r="F338" s="4">
        <f>SUMIFS('Dubai Stock'!I:I,'Dubai Stock'!H:H,Final_UAE!B:B)</f>
        <v/>
      </c>
      <c r="H338" s="8" t="n">
        <v>529</v>
      </c>
      <c r="I338" s="8" t="n">
        <v>259</v>
      </c>
    </row>
    <row r="339">
      <c r="A339" s="4" t="n">
        <v>33834</v>
      </c>
      <c r="B339" s="4" t="inlineStr">
        <is>
          <t>clstdai-acu-dfrb-p60-sn0275</t>
        </is>
      </c>
      <c r="C339" s="4" t="inlineStr">
        <is>
          <t>W00031886A</t>
        </is>
      </c>
      <c r="D339" s="6">
        <f>IF(F339&gt;=5, F339-5, IF(F339&lt;5, 0, F339))</f>
        <v/>
      </c>
      <c r="E339">
        <f>VLOOKUP(B339,[1]Namshi!$A:$B,2,0)</f>
        <v/>
      </c>
      <c r="F339" s="4">
        <f>SUMIFS('Dubai Stock'!I:I,'Dubai Stock'!H:H,Final_UAE!B:B)</f>
        <v/>
      </c>
      <c r="H339" s="8" t="e">
        <v>#N/A</v>
      </c>
      <c r="I339" s="8" t="n"/>
    </row>
    <row r="340">
      <c r="A340" s="4" t="n">
        <v>33834</v>
      </c>
      <c r="B340" s="4" t="inlineStr">
        <is>
          <t>cost3mo-lay-lens-p02-crystal-brown-sn0450</t>
        </is>
      </c>
      <c r="C340" s="4" t="inlineStr">
        <is>
          <t>W00031886A</t>
        </is>
      </c>
      <c r="D340" s="6">
        <f>IF(F340&gt;=5, F340-5, IF(F340&lt;5, 0, F340))</f>
        <v/>
      </c>
      <c r="E340">
        <f>VLOOKUP(B340,[1]Namshi!$A:$B,2,0)</f>
        <v/>
      </c>
      <c r="F340" s="4">
        <f>SUMIFS('Dubai Stock'!I:I,'Dubai Stock'!H:H,Final_UAE!B:B)</f>
        <v/>
      </c>
      <c r="H340" s="8" t="e">
        <v>#N/A</v>
      </c>
      <c r="I340" s="8" t="n"/>
    </row>
    <row r="341">
      <c r="A341" s="4" t="n">
        <v>33834</v>
      </c>
      <c r="B341" s="4" t="inlineStr">
        <is>
          <t>sw100107-30s-000414-0107-47</t>
        </is>
      </c>
      <c r="C341" s="4" t="inlineStr">
        <is>
          <t>W00031886A</t>
        </is>
      </c>
      <c r="D341" s="6">
        <f>IF(F341&gt;=5, F341-5, IF(F341&lt;5, 0, F341))</f>
        <v/>
      </c>
      <c r="E341">
        <f>VLOOKUP(B341,[1]Namshi!$A:$B,2,0)</f>
        <v/>
      </c>
      <c r="F341" s="4">
        <f>SUMIFS('Dubai Stock'!I:I,'Dubai Stock'!H:H,Final_UAE!B:B)</f>
        <v/>
      </c>
      <c r="H341" s="8" t="e">
        <v>#N/A</v>
      </c>
    </row>
    <row r="342">
      <c r="A342" s="4" t="n">
        <v>33834</v>
      </c>
      <c r="B342" s="4" t="inlineStr">
        <is>
          <t>costmon-ama-lens-p02-mocca-sn0425</t>
        </is>
      </c>
      <c r="C342" s="4" t="inlineStr">
        <is>
          <t>W00031886A</t>
        </is>
      </c>
      <c r="D342" s="6">
        <f>IF(F342&gt;=5, F342-5, IF(F342&lt;5, 0, F342))</f>
        <v/>
      </c>
      <c r="E342">
        <f>VLOOKUP(B342,[1]Namshi!$A:$B,2,0)</f>
        <v/>
      </c>
      <c r="F342" s="4">
        <f>SUMIFS('Dubai Stock'!I:I,'Dubai Stock'!H:H,Final_UAE!B:B)</f>
        <v/>
      </c>
      <c r="H342" s="8" t="e">
        <v>#N/A</v>
      </c>
      <c r="I342" s="8" t="n"/>
    </row>
    <row r="343">
      <c r="A343" s="4" t="n">
        <v>33834</v>
      </c>
      <c r="B343" s="4" t="inlineStr">
        <is>
          <t>clstbiw-acu-cle-p06-sn0850</t>
        </is>
      </c>
      <c r="C343" s="4" t="inlineStr">
        <is>
          <t>W00031886A</t>
        </is>
      </c>
      <c r="D343" s="6">
        <f>IF(F343&gt;=5, F343-5, IF(F343&lt;5, 0, F343))</f>
        <v/>
      </c>
      <c r="E343">
        <f>VLOOKUP(B343,[1]Namshi!$A:$B,2,0)</f>
        <v/>
      </c>
      <c r="F343" s="4">
        <f>SUMIFS('Dubai Stock'!I:I,'Dubai Stock'!H:H,Final_UAE!B:B)</f>
        <v/>
      </c>
      <c r="H343" s="8" t="e">
        <v>#N/A</v>
      </c>
      <c r="I343" s="8" t="n"/>
    </row>
    <row r="344">
      <c r="A344" s="4" t="n">
        <v>33834</v>
      </c>
      <c r="B344" s="4" t="inlineStr">
        <is>
          <t>clstbiw-acu-0002-p06-sn0325</t>
        </is>
      </c>
      <c r="C344" s="4" t="inlineStr">
        <is>
          <t>W00031886A</t>
        </is>
      </c>
      <c r="D344" s="6">
        <f>IF(F344&gt;=5, F344-5, IF(F344&lt;5, 0, F344))</f>
        <v/>
      </c>
      <c r="E344">
        <f>VLOOKUP(B344,[1]Namshi!$A:$B,2,0)</f>
        <v/>
      </c>
      <c r="F344" s="4">
        <f>SUMIFS('Dubai Stock'!I:I,'Dubai Stock'!H:H,Final_UAE!B:B)</f>
        <v/>
      </c>
      <c r="H344" s="8" t="e">
        <v>#N/A</v>
      </c>
      <c r="I344" s="8" t="n"/>
    </row>
    <row r="345">
      <c r="A345" s="4" t="n">
        <v>33834</v>
      </c>
      <c r="B345" s="4" t="inlineStr">
        <is>
          <t>cost3mo-lay-lens-p02-ocean-blue-sn0550</t>
        </is>
      </c>
      <c r="C345" s="4" t="inlineStr">
        <is>
          <t>W00031886A</t>
        </is>
      </c>
      <c r="D345" s="6">
        <f>IF(F345&gt;=5, F345-5, IF(F345&lt;5, 0, F345))</f>
        <v/>
      </c>
      <c r="E345">
        <f>VLOOKUP(B345,[1]Namshi!$A:$B,2,0)</f>
        <v/>
      </c>
      <c r="F345" s="4">
        <f>SUMIFS('Dubai Stock'!I:I,'Dubai Stock'!H:H,Final_UAE!B:B)</f>
        <v/>
      </c>
      <c r="H345" s="8" t="e">
        <v>#N/A</v>
      </c>
      <c r="I345" s="8" t="n"/>
    </row>
    <row r="346">
      <c r="A346" s="4" t="n">
        <v>33834</v>
      </c>
      <c r="B346" s="4" t="inlineStr">
        <is>
          <t>su51306-30s-000231-1306-62</t>
        </is>
      </c>
      <c r="C346" s="4" t="inlineStr">
        <is>
          <t>W00031886A</t>
        </is>
      </c>
      <c r="D346" s="6">
        <f>IF(F346&gt;=5, F346-5, IF(F346&lt;5, 0, F346))</f>
        <v/>
      </c>
      <c r="E346">
        <f>VLOOKUP(B346,[1]Namshi!$A:$B,2,0)</f>
        <v/>
      </c>
      <c r="F346" s="4">
        <f>SUMIFS('Dubai Stock'!I:I,'Dubai Stock'!H:H,Final_UAE!B:B)</f>
        <v/>
      </c>
      <c r="H346" s="8" t="e">
        <v>#N/A</v>
      </c>
    </row>
    <row r="347">
      <c r="A347" s="4" t="n">
        <v>33834</v>
      </c>
      <c r="B347" s="4" t="inlineStr">
        <is>
          <t>cost3mo-cel-natu-p01-real-shade-sp0150</t>
        </is>
      </c>
      <c r="C347" s="4" t="inlineStr">
        <is>
          <t>W00031886A</t>
        </is>
      </c>
      <c r="D347" s="6">
        <f>IF(F347&gt;=5, F347-5, IF(F347&lt;5, 0, F347))</f>
        <v/>
      </c>
      <c r="E347">
        <f>VLOOKUP(B347,[1]Namshi!$A:$B,2,0)</f>
        <v/>
      </c>
      <c r="F347" s="4">
        <f>SUMIFS('Dubai Stock'!I:I,'Dubai Stock'!H:H,Final_UAE!B:B)</f>
        <v/>
      </c>
      <c r="H347" s="8" t="e">
        <v>#N/A</v>
      </c>
      <c r="I347" s="8" t="n"/>
    </row>
    <row r="348">
      <c r="A348" s="4" t="n">
        <v>33834</v>
      </c>
      <c r="B348" s="4" t="inlineStr">
        <is>
          <t>cost3mo-lay-lens-p02-cloudy-gray-sn0350</t>
        </is>
      </c>
      <c r="C348" s="4" t="inlineStr">
        <is>
          <t>W00031886A</t>
        </is>
      </c>
      <c r="D348" s="6">
        <f>IF(F348&gt;=5, F348-5, IF(F348&lt;5, 0, F348))</f>
        <v/>
      </c>
      <c r="E348">
        <f>VLOOKUP(B348,[1]Namshi!$A:$B,2,0)</f>
        <v/>
      </c>
      <c r="F348" s="4">
        <f>SUMIFS('Dubai Stock'!I:I,'Dubai Stock'!H:H,Final_UAE!B:B)</f>
        <v/>
      </c>
      <c r="H348" s="8" t="e">
        <v>#N/A</v>
      </c>
      <c r="I348" s="8" t="n"/>
    </row>
    <row r="349">
      <c r="A349" s="4" t="n">
        <v>33834</v>
      </c>
      <c r="B349" s="4" t="inlineStr">
        <is>
          <t>cost3mo-cel-natu-p01-light-grey-sp0150</t>
        </is>
      </c>
      <c r="C349" s="4" t="inlineStr">
        <is>
          <t>W00031886A</t>
        </is>
      </c>
      <c r="D349" s="6">
        <f>IF(F349&gt;=5, F349-5, IF(F349&lt;5, 0, F349))</f>
        <v/>
      </c>
      <c r="E349">
        <f>VLOOKUP(B349,[1]Namshi!$A:$B,2,0)</f>
        <v/>
      </c>
      <c r="F349" s="4">
        <f>SUMIFS('Dubai Stock'!I:I,'Dubai Stock'!H:H,Final_UAE!B:B)</f>
        <v/>
      </c>
      <c r="H349" s="8" t="e">
        <v>#N/A</v>
      </c>
      <c r="I349" s="8" t="n"/>
    </row>
    <row r="350">
      <c r="A350" s="4" t="n">
        <v>33834</v>
      </c>
      <c r="B350" s="4" t="inlineStr">
        <is>
          <t>cost3mo-lay-2022-p02-royal-green-sn0400</t>
        </is>
      </c>
      <c r="C350" s="4" t="inlineStr">
        <is>
          <t>W00031886A</t>
        </is>
      </c>
      <c r="D350" s="6">
        <f>IF(F350&gt;=5, F350-5, IF(F350&lt;5, 0, F350))</f>
        <v/>
      </c>
      <c r="E350">
        <f>VLOOKUP(B350,[1]Namshi!$A:$B,2,0)</f>
        <v/>
      </c>
      <c r="F350" s="4">
        <f>SUMIFS('Dubai Stock'!I:I,'Dubai Stock'!H:H,Final_UAE!B:B)</f>
        <v/>
      </c>
      <c r="H350" s="8" t="e">
        <v>#N/A</v>
      </c>
      <c r="I350" s="8" t="n"/>
    </row>
    <row r="351">
      <c r="A351" s="4" t="n">
        <v>33834</v>
      </c>
      <c r="B351" s="4" t="inlineStr">
        <is>
          <t>cost3mo-lay-lens-p02-chestnut-brown-sn0250</t>
        </is>
      </c>
      <c r="C351" s="4" t="inlineStr">
        <is>
          <t>W00031886A</t>
        </is>
      </c>
      <c r="D351" s="6">
        <f>IF(F351&gt;=5, F351-5, IF(F351&lt;5, 0, F351))</f>
        <v/>
      </c>
      <c r="E351">
        <f>VLOOKUP(B351,[1]Namshi!$A:$B,2,0)</f>
        <v/>
      </c>
      <c r="F351" s="4">
        <f>SUMIFS('Dubai Stock'!I:I,'Dubai Stock'!H:H,Final_UAE!B:B)</f>
        <v/>
      </c>
      <c r="H351" s="8" t="e">
        <v>#N/A</v>
      </c>
      <c r="I351" s="8" t="n"/>
    </row>
    <row r="352">
      <c r="A352" s="4" t="n">
        <v>33834</v>
      </c>
      <c r="B352" s="4" t="inlineStr">
        <is>
          <t>sm20101-30s-000249-0101-53</t>
        </is>
      </c>
      <c r="C352" s="4" t="inlineStr">
        <is>
          <t>W00031886A</t>
        </is>
      </c>
      <c r="D352" s="6">
        <f>IF(F352&gt;=5, F352-5, IF(F352&lt;5, 0, F352))</f>
        <v/>
      </c>
      <c r="E352">
        <f>VLOOKUP(B352,[1]Namshi!$A:$B,2,0)</f>
        <v/>
      </c>
      <c r="F352" s="4">
        <f>SUMIFS('Dubai Stock'!I:I,'Dubai Stock'!H:H,Final_UAE!B:B)</f>
        <v/>
      </c>
      <c r="H352" s="8" t="e">
        <v>#N/A</v>
      </c>
    </row>
    <row r="353">
      <c r="A353" s="4" t="n">
        <v>33834</v>
      </c>
      <c r="B353" s="4" t="inlineStr">
        <is>
          <t>clstdai-eve-pure-p90-sn0575</t>
        </is>
      </c>
      <c r="C353" s="4" t="inlineStr">
        <is>
          <t>W00031886A</t>
        </is>
      </c>
      <c r="D353" s="6">
        <f>IF(F353&gt;=5, F353-5, IF(F353&lt;5, 0, F353))</f>
        <v/>
      </c>
      <c r="E353">
        <f>VLOOKUP(B353,[1]Namshi!$A:$B,2,0)</f>
        <v/>
      </c>
      <c r="F353" s="4">
        <f>SUMIFS('Dubai Stock'!I:I,'Dubai Stock'!H:H,Final_UAE!B:B)</f>
        <v/>
      </c>
      <c r="H353" s="8" t="n">
        <v>529</v>
      </c>
      <c r="I353" s="8" t="n">
        <v>259</v>
      </c>
    </row>
    <row r="354">
      <c r="A354" s="4" t="n">
        <v>33834</v>
      </c>
      <c r="B354" s="4" t="inlineStr">
        <is>
          <t>clstdai-lay-cont-p90-dazzle-brown-sn0325</t>
        </is>
      </c>
      <c r="C354" s="4" t="inlineStr">
        <is>
          <t>W00031886A</t>
        </is>
      </c>
      <c r="D354" s="6">
        <f>IF(F354&gt;=5, F354-5, IF(F354&lt;5, 0, F354))</f>
        <v/>
      </c>
      <c r="E354">
        <f>VLOOKUP(B354,[1]Namshi!$A:$B,2,0)</f>
        <v/>
      </c>
      <c r="F354" s="4">
        <f>SUMIFS('Dubai Stock'!I:I,'Dubai Stock'!H:H,Final_UAE!B:B)</f>
        <v/>
      </c>
      <c r="H354" s="8" t="e">
        <v>#N/A</v>
      </c>
      <c r="I354" s="8" t="n"/>
    </row>
    <row r="355">
      <c r="A355" s="4" t="n">
        <v>33834</v>
      </c>
      <c r="B355" s="4" t="inlineStr">
        <is>
          <t>clstdai-eve-pure-p30-sn0550</t>
        </is>
      </c>
      <c r="C355" s="4" t="inlineStr">
        <is>
          <t>W00031886A</t>
        </is>
      </c>
      <c r="D355" s="6">
        <f>IF(F355&gt;=5, F355-5, IF(F355&lt;5, 0, F355))</f>
        <v/>
      </c>
      <c r="E355">
        <f>VLOOKUP(B355,[1]Namshi!$A:$B,2,0)</f>
        <v/>
      </c>
      <c r="F355" s="4">
        <f>SUMIFS('Dubai Stock'!I:I,'Dubai Stock'!H:H,Final_UAE!B:B)</f>
        <v/>
      </c>
      <c r="H355" s="8" t="n">
        <v>186</v>
      </c>
      <c r="I355" s="8" t="n">
        <v>104.3</v>
      </c>
    </row>
    <row r="356">
      <c r="A356" s="4" t="n">
        <v>33834</v>
      </c>
      <c r="B356" s="4" t="inlineStr">
        <is>
          <t>cost3mo-lay-lens-p02-chestnut-brown-sn0375</t>
        </is>
      </c>
      <c r="C356" s="4" t="inlineStr">
        <is>
          <t>W00031886A</t>
        </is>
      </c>
      <c r="D356" s="6">
        <f>IF(F356&gt;=5, F356-5, IF(F356&lt;5, 0, F356))</f>
        <v/>
      </c>
      <c r="E356">
        <f>VLOOKUP(B356,[1]Namshi!$A:$B,2,0)</f>
        <v/>
      </c>
      <c r="F356" s="4">
        <f>SUMIFS('Dubai Stock'!I:I,'Dubai Stock'!H:H,Final_UAE!B:B)</f>
        <v/>
      </c>
      <c r="H356" s="8" t="e">
        <v>#N/A</v>
      </c>
      <c r="I356" s="8" t="n"/>
    </row>
    <row r="357">
      <c r="A357" s="4" t="n">
        <v>33834</v>
      </c>
      <c r="B357" s="4" t="inlineStr">
        <is>
          <t>sw50507-30s-000242-2901-58</t>
        </is>
      </c>
      <c r="C357" s="4" t="inlineStr">
        <is>
          <t>W00031886A</t>
        </is>
      </c>
      <c r="D357" s="6">
        <f>IF(F357&gt;=5, F357-5, IF(F357&lt;5, 0, F357))</f>
        <v/>
      </c>
      <c r="E357">
        <f>VLOOKUP(B357,[1]Namshi!$A:$B,2,0)</f>
        <v/>
      </c>
      <c r="F357" s="4">
        <f>SUMIFS('Dubai Stock'!I:I,'Dubai Stock'!H:H,Final_UAE!B:B)</f>
        <v/>
      </c>
      <c r="H357" s="8" t="e">
        <v>#N/A</v>
      </c>
    </row>
    <row r="358">
      <c r="A358" s="4" t="n">
        <v>33834</v>
      </c>
      <c r="B358" s="4" t="inlineStr">
        <is>
          <t>cost3mo-lay-2023-p02-selene-green-sn0075</t>
        </is>
      </c>
      <c r="C358" s="4" t="inlineStr">
        <is>
          <t>W00031886A</t>
        </is>
      </c>
      <c r="D358" s="6">
        <f>IF(F358&gt;=5, F358-5, IF(F358&lt;5, 0, F358))</f>
        <v/>
      </c>
      <c r="E358">
        <f>VLOOKUP(B358,[1]Namshi!$A:$B,2,0)</f>
        <v/>
      </c>
      <c r="F358" s="4">
        <f>SUMIFS('Dubai Stock'!I:I,'Dubai Stock'!H:H,Final_UAE!B:B)</f>
        <v/>
      </c>
      <c r="H358" s="8" t="e">
        <v>#N/A</v>
      </c>
      <c r="I358" s="8" t="n"/>
    </row>
    <row r="359">
      <c r="A359" s="4" t="n">
        <v>33834</v>
      </c>
      <c r="B359" s="4" t="inlineStr">
        <is>
          <t>fu72318-spc-000814-2318-52</t>
        </is>
      </c>
      <c r="C359" s="4" t="inlineStr">
        <is>
          <t>W00031886A</t>
        </is>
      </c>
      <c r="D359" s="6">
        <f>IF(F359&gt;=5, F359-5, IF(F359&lt;5, 0, F359))</f>
        <v/>
      </c>
      <c r="E359">
        <f>VLOOKUP(B359,[1]Namshi!$A:$B,2,0)</f>
        <v/>
      </c>
      <c r="F359" s="4">
        <f>SUMIFS('Dubai Stock'!I:I,'Dubai Stock'!H:H,Final_UAE!B:B)</f>
        <v/>
      </c>
      <c r="H359" s="8" t="e">
        <v>#N/A</v>
      </c>
      <c r="I359" s="8" t="n"/>
    </row>
    <row r="360">
      <c r="A360" s="4" t="n">
        <v>33834</v>
      </c>
      <c r="B360" s="4" t="inlineStr">
        <is>
          <t>cost3mo-lay-2024-p02-terra-brown-sn0200</t>
        </is>
      </c>
      <c r="C360" s="4" t="inlineStr">
        <is>
          <t>W00031886A</t>
        </is>
      </c>
      <c r="D360" s="6">
        <f>IF(F360&gt;=5, F360-5, IF(F360&lt;5, 0, F360))</f>
        <v/>
      </c>
      <c r="E360">
        <f>VLOOKUP(B360,[1]Namshi!$A:$B,2,0)</f>
        <v/>
      </c>
      <c r="F360" s="4">
        <f>SUMIFS('Dubai Stock'!I:I,'Dubai Stock'!H:H,Final_UAE!B:B)</f>
        <v/>
      </c>
      <c r="H360" s="8" t="e">
        <v>#N/A</v>
      </c>
      <c r="I360" s="8" t="n"/>
    </row>
    <row r="361">
      <c r="A361" s="4" t="n">
        <v>33834</v>
      </c>
      <c r="B361" s="4" t="inlineStr">
        <is>
          <t>su100107-bla-000322-0107-48</t>
        </is>
      </c>
      <c r="C361" s="4" t="inlineStr">
        <is>
          <t>W00031886A</t>
        </is>
      </c>
      <c r="D361" s="6">
        <f>IF(F361&gt;=5, F361-5, IF(F361&lt;5, 0, F361))</f>
        <v/>
      </c>
      <c r="E361">
        <f>VLOOKUP(B361,[1]Namshi!$A:$B,2,0)</f>
        <v/>
      </c>
      <c r="F361" s="4">
        <f>SUMIFS('Dubai Stock'!I:I,'Dubai Stock'!H:H,Final_UAE!B:B)</f>
        <v/>
      </c>
      <c r="H361" s="8" t="e">
        <v>#N/A</v>
      </c>
    </row>
    <row r="362">
      <c r="A362" s="4" t="n">
        <v>33834</v>
      </c>
      <c r="B362" s="4" t="inlineStr">
        <is>
          <t>cost3mo-lay-2022-p02-sweet-hazel-sn0125</t>
        </is>
      </c>
      <c r="C362" s="4" t="inlineStr">
        <is>
          <t>W00031886A</t>
        </is>
      </c>
      <c r="D362" s="6">
        <f>IF(F362&gt;=5, F362-5, IF(F362&lt;5, 0, F362))</f>
        <v/>
      </c>
      <c r="E362">
        <f>VLOOKUP(B362,[1]Namshi!$A:$B,2,0)</f>
        <v/>
      </c>
      <c r="F362" s="4">
        <f>SUMIFS('Dubai Stock'!I:I,'Dubai Stock'!H:H,Final_UAE!B:B)</f>
        <v/>
      </c>
      <c r="H362" s="8" t="e">
        <v>#N/A</v>
      </c>
      <c r="I362" s="8" t="n"/>
    </row>
    <row r="363">
      <c r="A363" s="4" t="n">
        <v>33834</v>
      </c>
      <c r="B363" s="4" t="inlineStr">
        <is>
          <t>sw30107-30s-000491-0107p-53</t>
        </is>
      </c>
      <c r="C363" s="4" t="inlineStr">
        <is>
          <t>W00031886A</t>
        </is>
      </c>
      <c r="D363" s="6">
        <f>IF(F363&gt;=5, F363-5, IF(F363&lt;5, 0, F363))</f>
        <v/>
      </c>
      <c r="E363">
        <f>VLOOKUP(B363,[1]Namshi!$A:$B,2,0)</f>
        <v/>
      </c>
      <c r="F363" s="4">
        <f>SUMIFS('Dubai Stock'!I:I,'Dubai Stock'!H:H,Final_UAE!B:B)</f>
        <v/>
      </c>
      <c r="H363" s="8" t="e">
        <v>#N/A</v>
      </c>
      <c r="I363" s="8" t="n"/>
    </row>
    <row r="364">
      <c r="A364" s="4" t="n">
        <v>33834</v>
      </c>
      <c r="B364" s="4" t="inlineStr">
        <is>
          <t>sw70507-bla-000251-0507-62</t>
        </is>
      </c>
      <c r="C364" s="4" t="inlineStr">
        <is>
          <t>W00031886A</t>
        </is>
      </c>
      <c r="D364" s="6">
        <f>IF(F364&gt;=5, F364-5, IF(F364&lt;5, 0, F364))</f>
        <v/>
      </c>
      <c r="E364">
        <f>VLOOKUP(B364,[1]Namshi!$A:$B,2,0)</f>
        <v/>
      </c>
      <c r="F364" s="4">
        <f>SUMIFS('Dubai Stock'!I:I,'Dubai Stock'!H:H,Final_UAE!B:B)</f>
        <v/>
      </c>
      <c r="H364" s="8" t="e">
        <v>#N/A</v>
      </c>
    </row>
    <row r="365">
      <c r="A365" s="4" t="n">
        <v>33834</v>
      </c>
      <c r="B365" s="4" t="inlineStr">
        <is>
          <t>cost3mo-lay-2021-p02-willow-green-sn0350</t>
        </is>
      </c>
      <c r="C365" s="4" t="inlineStr">
        <is>
          <t>W00031886A</t>
        </is>
      </c>
      <c r="D365" s="6">
        <f>IF(F365&gt;=5, F365-5, IF(F365&lt;5, 0, F365))</f>
        <v/>
      </c>
      <c r="E365">
        <f>VLOOKUP(B365,[1]Namshi!$A:$B,2,0)</f>
        <v/>
      </c>
      <c r="F365" s="4">
        <f>SUMIFS('Dubai Stock'!I:I,'Dubai Stock'!H:H,Final_UAE!B:B)</f>
        <v/>
      </c>
      <c r="H365" s="8" t="e">
        <v>#N/A</v>
      </c>
      <c r="I365" s="8" t="n"/>
    </row>
    <row r="366">
      <c r="A366" s="4" t="n">
        <v>33834</v>
      </c>
      <c r="B366" s="4" t="inlineStr">
        <is>
          <t>sm21202-30s-000207-1202-52</t>
        </is>
      </c>
      <c r="C366" s="4" t="inlineStr">
        <is>
          <t>W00031886A</t>
        </is>
      </c>
      <c r="D366" s="6">
        <f>IF(F366&gt;=5, F366-5, IF(F366&lt;5, 0, F366))</f>
        <v/>
      </c>
      <c r="E366">
        <f>VLOOKUP(B366,[1]Namshi!$A:$B,2,0)</f>
        <v/>
      </c>
      <c r="F366" s="4">
        <f>SUMIFS('Dubai Stock'!I:I,'Dubai Stock'!H:H,Final_UAE!B:B)</f>
        <v/>
      </c>
      <c r="H366" s="8" t="e">
        <v>#N/A</v>
      </c>
    </row>
    <row r="367">
      <c r="A367" s="4" t="n">
        <v>33834</v>
      </c>
      <c r="B367" s="4" t="inlineStr">
        <is>
          <t>clstdai-eve-elit-p30-sn0100</t>
        </is>
      </c>
      <c r="C367" s="4" t="inlineStr">
        <is>
          <t>W00031886A</t>
        </is>
      </c>
      <c r="D367" s="6">
        <f>IF(F367&gt;=5, F367-5, IF(F367&lt;5, 0, F367))</f>
        <v/>
      </c>
      <c r="E367">
        <f>VLOOKUP(B367,[1]Namshi!$A:$B,2,0)</f>
        <v/>
      </c>
      <c r="F367" s="4">
        <f>SUMIFS('Dubai Stock'!I:I,'Dubai Stock'!H:H,Final_UAE!B:B)</f>
        <v/>
      </c>
      <c r="H367" s="8" t="n">
        <v>261</v>
      </c>
      <c r="I367" s="8" t="n">
        <v>146.3</v>
      </c>
    </row>
    <row r="368">
      <c r="A368" s="4" t="n">
        <v>33834</v>
      </c>
      <c r="B368" s="4" t="inlineStr">
        <is>
          <t>clstdai-eve-elit-p90-sp0500</t>
        </is>
      </c>
      <c r="C368" s="4" t="inlineStr">
        <is>
          <t>W00031886A</t>
        </is>
      </c>
      <c r="D368" s="6">
        <f>IF(F368&gt;=5, F368-5, IF(F368&lt;5, 0, F368))</f>
        <v/>
      </c>
      <c r="E368">
        <f>VLOOKUP(B368,[1]Namshi!$A:$B,2,0)</f>
        <v/>
      </c>
      <c r="F368" s="4">
        <f>SUMIFS('Dubai Stock'!I:I,'Dubai Stock'!H:H,Final_UAE!B:B)</f>
        <v/>
      </c>
      <c r="H368" s="8" t="n">
        <v>729</v>
      </c>
      <c r="I368" s="8" t="n">
        <v>357</v>
      </c>
    </row>
    <row r="369">
      <c r="A369" s="4" t="n">
        <v>33834</v>
      </c>
      <c r="B369" s="4" t="inlineStr">
        <is>
          <t>cost3mo-lay-2021-p02-golden-gray-sp0000</t>
        </is>
      </c>
      <c r="C369" s="4" t="inlineStr">
        <is>
          <t>W00031886A</t>
        </is>
      </c>
      <c r="D369" s="6">
        <f>IF(F369&gt;=5, F369-5, IF(F369&lt;5, 0, F369))</f>
        <v/>
      </c>
      <c r="E369">
        <f>VLOOKUP(B369,[1]Namshi!$A:$B,2,0)</f>
        <v/>
      </c>
      <c r="F369" s="4">
        <f>SUMIFS('Dubai Stock'!I:I,'Dubai Stock'!H:H,Final_UAE!B:B)</f>
        <v/>
      </c>
      <c r="H369" s="8" t="e">
        <v>#N/A</v>
      </c>
      <c r="I369" s="8" t="n"/>
    </row>
    <row r="370">
      <c r="A370" s="4" t="n">
        <v>33834</v>
      </c>
      <c r="B370" s="4" t="inlineStr">
        <is>
          <t>clstdai-acu-mois-p60-sn0125</t>
        </is>
      </c>
      <c r="C370" s="4" t="inlineStr">
        <is>
          <t>W00031886A</t>
        </is>
      </c>
      <c r="D370" s="6">
        <f>IF(F370&gt;=5, F370-5, IF(F370&lt;5, 0, F370))</f>
        <v/>
      </c>
      <c r="E370">
        <f>VLOOKUP(B370,[1]Namshi!$A:$B,2,0)</f>
        <v/>
      </c>
      <c r="F370" s="4">
        <f>SUMIFS('Dubai Stock'!I:I,'Dubai Stock'!H:H,Final_UAE!B:B)</f>
        <v/>
      </c>
      <c r="H370" s="8" t="e">
        <v>#N/A</v>
      </c>
      <c r="I370" s="8" t="n"/>
    </row>
    <row r="371">
      <c r="A371" s="4" t="n">
        <v>33834</v>
      </c>
      <c r="B371" s="4" t="inlineStr">
        <is>
          <t>fc40618-bab-000249-0600-45</t>
        </is>
      </c>
      <c r="C371" s="4" t="inlineStr">
        <is>
          <t>W00031886A</t>
        </is>
      </c>
      <c r="D371" s="6">
        <f>IF(F371&gt;=5, F371-5, IF(F371&lt;5, 0, F371))</f>
        <v/>
      </c>
      <c r="E371">
        <f>VLOOKUP(B371,[1]Namshi!$A:$B,2,0)</f>
        <v/>
      </c>
      <c r="F371" s="4">
        <f>SUMIFS('Dubai Stock'!I:I,'Dubai Stock'!H:H,Final_UAE!B:B)</f>
        <v/>
      </c>
      <c r="H371" s="8" t="e">
        <v>#N/A</v>
      </c>
      <c r="I371" s="8" t="n"/>
    </row>
    <row r="372">
      <c r="A372" s="4" t="n">
        <v>33834</v>
      </c>
      <c r="B372" s="4" t="inlineStr">
        <is>
          <t>sw30808-bla-000256-0808-51</t>
        </is>
      </c>
      <c r="C372" s="4" t="inlineStr">
        <is>
          <t>W00031886A</t>
        </is>
      </c>
      <c r="D372" s="6">
        <f>IF(F372&gt;=5, F372-5, IF(F372&lt;5, 0, F372))</f>
        <v/>
      </c>
      <c r="E372">
        <f>VLOOKUP(B372,[1]Namshi!$A:$B,2,0)</f>
        <v/>
      </c>
      <c r="F372" s="4">
        <f>SUMIFS('Dubai Stock'!I:I,'Dubai Stock'!H:H,Final_UAE!B:B)</f>
        <v/>
      </c>
      <c r="H372" s="8" t="e">
        <v>#N/A</v>
      </c>
    </row>
    <row r="373">
      <c r="A373" s="4" t="n">
        <v>33834</v>
      </c>
      <c r="B373" s="4" t="inlineStr">
        <is>
          <t>sw32904-30s-000263-2904-56</t>
        </is>
      </c>
      <c r="C373" s="4" t="inlineStr">
        <is>
          <t>W00031886A</t>
        </is>
      </c>
      <c r="D373" s="6">
        <f>IF(F373&gt;=5, F373-5, IF(F373&lt;5, 0, F373))</f>
        <v/>
      </c>
      <c r="E373">
        <f>VLOOKUP(B373,[1]Namshi!$A:$B,2,0)</f>
        <v/>
      </c>
      <c r="F373" s="4">
        <f>SUMIFS('Dubai Stock'!I:I,'Dubai Stock'!H:H,Final_UAE!B:B)</f>
        <v/>
      </c>
      <c r="H373" s="8" t="e">
        <v>#N/A</v>
      </c>
    </row>
    <row r="374">
      <c r="A374" s="4" t="n">
        <v>33834</v>
      </c>
      <c r="B374" s="4" t="inlineStr">
        <is>
          <t>sacchan-30s-emmy-yellow-gold</t>
        </is>
      </c>
      <c r="C374" s="4" t="inlineStr">
        <is>
          <t>W00031886A</t>
        </is>
      </c>
      <c r="D374" s="6">
        <f>IF(F374&gt;=5, F374-5, IF(F374&lt;5, 0, F374))</f>
        <v/>
      </c>
      <c r="E374">
        <f>VLOOKUP(B374,[1]Namshi!$A:$B,2,0)</f>
        <v/>
      </c>
      <c r="F374" s="4">
        <f>SUMIFS('Dubai Stock'!I:I,'Dubai Stock'!H:H,Final_UAE!B:B)</f>
        <v/>
      </c>
      <c r="H374" s="8" t="e">
        <v>#N/A</v>
      </c>
      <c r="I374" s="8" t="n"/>
    </row>
    <row r="375">
      <c r="A375" s="4" t="n">
        <v>33834</v>
      </c>
      <c r="B375" s="4" t="inlineStr">
        <is>
          <t>fw72918-spc-000514-2900-53</t>
        </is>
      </c>
      <c r="C375" s="4" t="inlineStr">
        <is>
          <t>W00031886A</t>
        </is>
      </c>
      <c r="D375" s="6">
        <f>IF(F375&gt;=5, F375-5, IF(F375&lt;5, 0, F375))</f>
        <v/>
      </c>
      <c r="E375">
        <f>VLOOKUP(B375,[1]Namshi!$A:$B,2,0)</f>
        <v/>
      </c>
      <c r="F375" s="4">
        <f>SUMIFS('Dubai Stock'!I:I,'Dubai Stock'!H:H,Final_UAE!B:B)</f>
        <v/>
      </c>
      <c r="H375" s="8" t="e">
        <v>#N/A</v>
      </c>
      <c r="I375" s="8" t="n"/>
    </row>
    <row r="376">
      <c r="A376" s="4" t="n">
        <v>33834</v>
      </c>
      <c r="B376" s="4" t="inlineStr">
        <is>
          <t>cost3mo-lay-2023-p02-selene-green-sn0100</t>
        </is>
      </c>
      <c r="C376" s="4" t="inlineStr">
        <is>
          <t>W00031886A</t>
        </is>
      </c>
      <c r="D376" s="6">
        <f>IF(F376&gt;=5, F376-5, IF(F376&lt;5, 0, F376))</f>
        <v/>
      </c>
      <c r="E376">
        <f>VLOOKUP(B376,[1]Namshi!$A:$B,2,0)</f>
        <v/>
      </c>
      <c r="F376" s="4">
        <f>SUMIFS('Dubai Stock'!I:I,'Dubai Stock'!H:H,Final_UAE!B:B)</f>
        <v/>
      </c>
      <c r="H376" s="8" t="e">
        <v>#N/A</v>
      </c>
      <c r="I376" s="8" t="n"/>
    </row>
    <row r="377">
      <c r="A377" s="4" t="n">
        <v>33834</v>
      </c>
      <c r="B377" s="4" t="inlineStr">
        <is>
          <t>cost3mo-lay-2025-p02-emerald-glow-sn0375</t>
        </is>
      </c>
      <c r="C377" s="4" t="inlineStr">
        <is>
          <t>W00031886A</t>
        </is>
      </c>
      <c r="D377" s="6">
        <f>IF(F377&gt;=5, F377-5, IF(F377&lt;5, 0, F377))</f>
        <v/>
      </c>
      <c r="E377">
        <f>VLOOKUP(B377,[1]Namshi!$A:$B,2,0)</f>
        <v/>
      </c>
      <c r="F377" s="4">
        <f>SUMIFS('Dubai Stock'!I:I,'Dubai Stock'!H:H,Final_UAE!B:B)</f>
        <v/>
      </c>
      <c r="H377" s="8" t="e">
        <v>#N/A</v>
      </c>
      <c r="I377" s="8" t="n"/>
    </row>
    <row r="378">
      <c r="A378" s="4" t="n">
        <v>33834</v>
      </c>
      <c r="B378" s="4" t="inlineStr">
        <is>
          <t>clstdai-dai-aqua-p30-sn1400</t>
        </is>
      </c>
      <c r="C378" s="4" t="inlineStr">
        <is>
          <t>W00031886A</t>
        </is>
      </c>
      <c r="D378" s="6">
        <f>IF(F378&gt;=5, F378-5, IF(F378&lt;5, 0, F378))</f>
        <v/>
      </c>
      <c r="E378">
        <f>VLOOKUP(B378,[1]Namshi!$A:$B,2,0)</f>
        <v/>
      </c>
      <c r="F378" s="4">
        <f>SUMIFS('Dubai Stock'!I:I,'Dubai Stock'!H:H,Final_UAE!B:B)</f>
        <v/>
      </c>
      <c r="H378" s="8" t="e">
        <v>#N/A</v>
      </c>
      <c r="I378" s="8" t="n"/>
    </row>
    <row r="379">
      <c r="A379" s="4" t="n">
        <v>33834</v>
      </c>
      <c r="B379" s="4" t="inlineStr">
        <is>
          <t>clstdai-eve-pure-p30-sn0450</t>
        </is>
      </c>
      <c r="C379" s="4" t="inlineStr">
        <is>
          <t>W00031886A</t>
        </is>
      </c>
      <c r="D379" s="6">
        <f>IF(F379&gt;=5, F379-5, IF(F379&lt;5, 0, F379))</f>
        <v/>
      </c>
      <c r="E379">
        <f>VLOOKUP(B379,[1]Namshi!$A:$B,2,0)</f>
        <v/>
      </c>
      <c r="F379" s="4">
        <f>SUMIFS('Dubai Stock'!I:I,'Dubai Stock'!H:H,Final_UAE!B:B)</f>
        <v/>
      </c>
      <c r="H379" s="8" t="n">
        <v>186</v>
      </c>
      <c r="I379" s="8" t="n">
        <v>104.3</v>
      </c>
    </row>
    <row r="380">
      <c r="A380" s="4" t="n">
        <v>33834</v>
      </c>
      <c r="B380" s="4" t="inlineStr">
        <is>
          <t>sm100706-30s-000304-0706-54</t>
        </is>
      </c>
      <c r="C380" s="4" t="inlineStr">
        <is>
          <t>W00031886A</t>
        </is>
      </c>
      <c r="D380" s="6">
        <f>IF(F380&gt;=5, F380-5, IF(F380&lt;5, 0, F380))</f>
        <v/>
      </c>
      <c r="E380">
        <f>VLOOKUP(B380,[1]Namshi!$A:$B,2,0)</f>
        <v/>
      </c>
      <c r="F380" s="4">
        <f>SUMIFS('Dubai Stock'!I:I,'Dubai Stock'!H:H,Final_UAE!B:B)</f>
        <v/>
      </c>
      <c r="H380" s="8" t="e">
        <v>#N/A</v>
      </c>
    </row>
    <row r="381">
      <c r="A381" s="4" t="n">
        <v>33834</v>
      </c>
      <c r="B381" s="4" t="inlineStr">
        <is>
          <t>costmon-ama-lens-p02-mocca-sn0375</t>
        </is>
      </c>
      <c r="C381" s="4" t="inlineStr">
        <is>
          <t>W00031886A</t>
        </is>
      </c>
      <c r="D381" s="6">
        <f>IF(F381&gt;=5, F381-5, IF(F381&lt;5, 0, F381))</f>
        <v/>
      </c>
      <c r="E381">
        <f>VLOOKUP(B381,[1]Namshi!$A:$B,2,0)</f>
        <v/>
      </c>
      <c r="F381" s="4">
        <f>SUMIFS('Dubai Stock'!I:I,'Dubai Stock'!H:H,Final_UAE!B:B)</f>
        <v/>
      </c>
      <c r="H381" s="8" t="e">
        <v>#N/A</v>
      </c>
      <c r="I381" s="8" t="n"/>
    </row>
    <row r="382">
      <c r="A382" s="4" t="n">
        <v>33834</v>
      </c>
      <c r="B382" s="4" t="inlineStr">
        <is>
          <t>cost3mo-lay-lens-p02-chocolate-brown-sn0225</t>
        </is>
      </c>
      <c r="C382" s="4" t="inlineStr">
        <is>
          <t>W00031886A</t>
        </is>
      </c>
      <c r="D382" s="6">
        <f>IF(F382&gt;=5, F382-5, IF(F382&lt;5, 0, F382))</f>
        <v/>
      </c>
      <c r="E382">
        <f>VLOOKUP(B382,[1]Namshi!$A:$B,2,0)</f>
        <v/>
      </c>
      <c r="F382" s="4">
        <f>SUMIFS('Dubai Stock'!I:I,'Dubai Stock'!H:H,Final_UAE!B:B)</f>
        <v/>
      </c>
      <c r="H382" s="8" t="e">
        <v>#N/A</v>
      </c>
      <c r="I382" s="8" t="n"/>
    </row>
    <row r="383">
      <c r="A383" s="4" t="n">
        <v>33834</v>
      </c>
      <c r="B383" s="4" t="inlineStr">
        <is>
          <t>clstdai-acu-mois-p90-sn0100</t>
        </is>
      </c>
      <c r="C383" s="4" t="inlineStr">
        <is>
          <t>W00031886A</t>
        </is>
      </c>
      <c r="D383" s="6">
        <f>IF(F383&gt;=5, F383-5, IF(F383&lt;5, 0, F383))</f>
        <v/>
      </c>
      <c r="E383">
        <f>VLOOKUP(B383,[1]Namshi!$A:$B,2,0)</f>
        <v/>
      </c>
      <c r="F383" s="4">
        <f>SUMIFS('Dubai Stock'!I:I,'Dubai Stock'!H:H,Final_UAE!B:B)</f>
        <v/>
      </c>
      <c r="H383" s="8" t="e">
        <v>#N/A</v>
      </c>
      <c r="I383" s="8" t="n"/>
    </row>
    <row r="384">
      <c r="A384" s="4" t="n">
        <v>33834</v>
      </c>
      <c r="B384" s="4" t="inlineStr">
        <is>
          <t>fw52318-spc-000522-2300-52</t>
        </is>
      </c>
      <c r="C384" s="4" t="inlineStr">
        <is>
          <t>W00031886A</t>
        </is>
      </c>
      <c r="D384" s="6">
        <f>IF(F384&gt;=5, F384-5, IF(F384&lt;5, 0, F384))</f>
        <v/>
      </c>
      <c r="E384">
        <f>VLOOKUP(B384,[1]Namshi!$A:$B,2,0)</f>
        <v/>
      </c>
      <c r="F384" s="4">
        <f>SUMIFS('Dubai Stock'!I:I,'Dubai Stock'!H:H,Final_UAE!B:B)</f>
        <v/>
      </c>
      <c r="H384" s="8" t="e">
        <v>#N/A</v>
      </c>
      <c r="I384" s="8" t="n"/>
    </row>
    <row r="385">
      <c r="A385" s="4" t="n">
        <v>33834</v>
      </c>
      <c r="B385" s="4" t="inlineStr">
        <is>
          <t>su50707-30s-00237-0707p-51</t>
        </is>
      </c>
      <c r="C385" s="4" t="inlineStr">
        <is>
          <t>W00031886A</t>
        </is>
      </c>
      <c r="D385" s="6">
        <f>IF(F385&gt;=5, F385-5, IF(F385&lt;5, 0, F385))</f>
        <v/>
      </c>
      <c r="E385">
        <f>VLOOKUP(B385,[1]Namshi!$A:$B,2,0)</f>
        <v/>
      </c>
      <c r="F385" s="4">
        <f>SUMIFS('Dubai Stock'!I:I,'Dubai Stock'!H:H,Final_UAE!B:B)</f>
        <v/>
      </c>
      <c r="H385" s="8" t="e">
        <v>#N/A</v>
      </c>
    </row>
    <row r="386">
      <c r="A386" s="4" t="n">
        <v>33834</v>
      </c>
      <c r="B386" s="4" t="inlineStr">
        <is>
          <t>cost3mo-lay-2022-p02-royal-green-sn0300</t>
        </is>
      </c>
      <c r="C386" s="4" t="inlineStr">
        <is>
          <t>W00031886A</t>
        </is>
      </c>
      <c r="D386" s="6">
        <f>IF(F386&gt;=5, F386-5, IF(F386&lt;5, 0, F386))</f>
        <v/>
      </c>
      <c r="E386">
        <f>VLOOKUP(B386,[1]Namshi!$A:$B,2,0)</f>
        <v/>
      </c>
      <c r="F386" s="4">
        <f>SUMIFS('Dubai Stock'!I:I,'Dubai Stock'!H:H,Final_UAE!B:B)</f>
        <v/>
      </c>
      <c r="H386" s="8" t="e">
        <v>#N/A</v>
      </c>
      <c r="I386" s="8" t="n"/>
    </row>
    <row r="387">
      <c r="A387" s="4" t="n">
        <v>33834</v>
      </c>
      <c r="B387" s="4" t="inlineStr">
        <is>
          <t>clstdai-dai-aqua-p90-sn0850</t>
        </is>
      </c>
      <c r="C387" s="4" t="inlineStr">
        <is>
          <t>W00031886A</t>
        </is>
      </c>
      <c r="D387" s="6">
        <f>IF(F387&gt;=5, F387-5, IF(F387&lt;5, 0, F387))</f>
        <v/>
      </c>
      <c r="E387">
        <f>VLOOKUP(B387,[1]Namshi!$A:$B,2,0)</f>
        <v/>
      </c>
      <c r="F387" s="4">
        <f>SUMIFS('Dubai Stock'!I:I,'Dubai Stock'!H:H,Final_UAE!B:B)</f>
        <v/>
      </c>
      <c r="H387" s="8" t="e">
        <v>#N/A</v>
      </c>
      <c r="I387" s="8" t="n"/>
    </row>
    <row r="388">
      <c r="A388" s="4" t="n">
        <v>33834</v>
      </c>
      <c r="B388" s="4" t="inlineStr">
        <is>
          <t>fm52418-spc-000557-2400-49</t>
        </is>
      </c>
      <c r="C388" s="4" t="inlineStr">
        <is>
          <t>W00031886A</t>
        </is>
      </c>
      <c r="D388" s="6">
        <f>IF(F388&gt;=5, F388-5, IF(F388&lt;5, 0, F388))</f>
        <v/>
      </c>
      <c r="E388">
        <f>VLOOKUP(B388,[1]Namshi!$A:$B,2,0)</f>
        <v/>
      </c>
      <c r="F388" s="4">
        <f>SUMIFS('Dubai Stock'!I:I,'Dubai Stock'!H:H,Final_UAE!B:B)</f>
        <v/>
      </c>
      <c r="H388" s="8" t="e">
        <v>#N/A</v>
      </c>
      <c r="I388" s="8" t="n"/>
    </row>
    <row r="389">
      <c r="A389" s="4" t="n">
        <v>33834</v>
      </c>
      <c r="B389" s="4" t="inlineStr">
        <is>
          <t>su10101-bla-000270-0101-55</t>
        </is>
      </c>
      <c r="C389" s="4" t="inlineStr">
        <is>
          <t>W00031886A</t>
        </is>
      </c>
      <c r="D389" s="6">
        <f>IF(F389&gt;=5, F389-5, IF(F389&lt;5, 0, F389))</f>
        <v/>
      </c>
      <c r="E389">
        <f>VLOOKUP(B389,[1]Namshi!$A:$B,2,0)</f>
        <v/>
      </c>
      <c r="F389" s="4">
        <f>SUMIFS('Dubai Stock'!I:I,'Dubai Stock'!H:H,Final_UAE!B:B)</f>
        <v/>
      </c>
      <c r="H389" s="8" t="e">
        <v>#N/A</v>
      </c>
    </row>
    <row r="390">
      <c r="A390" s="4" t="n">
        <v>33834</v>
      </c>
      <c r="B390" s="4" t="inlineStr">
        <is>
          <t>sm50106-30s-000251-2906-51</t>
        </is>
      </c>
      <c r="C390" s="4" t="inlineStr">
        <is>
          <t>W00031886A</t>
        </is>
      </c>
      <c r="D390" s="6">
        <f>IF(F390&gt;=5, F390-5, IF(F390&lt;5, 0, F390))</f>
        <v/>
      </c>
      <c r="E390">
        <f>VLOOKUP(B390,[1]Namshi!$A:$B,2,0)</f>
        <v/>
      </c>
      <c r="F390" s="4">
        <f>SUMIFS('Dubai Stock'!I:I,'Dubai Stock'!H:H,Final_UAE!B:B)</f>
        <v/>
      </c>
      <c r="H390" s="8" t="e">
        <v>#N/A</v>
      </c>
    </row>
    <row r="391">
      <c r="A391" s="4" t="n">
        <v>33834</v>
      </c>
      <c r="B391" s="4" t="inlineStr">
        <is>
          <t>cost3mo-lay-2020-p02-hazel-brown-sn0175</t>
        </is>
      </c>
      <c r="C391" s="4" t="inlineStr">
        <is>
          <t>W00031886A</t>
        </is>
      </c>
      <c r="D391" s="6">
        <f>IF(F391&gt;=5, F391-5, IF(F391&lt;5, 0, F391))</f>
        <v/>
      </c>
      <c r="E391">
        <f>VLOOKUP(B391,[1]Namshi!$A:$B,2,0)</f>
        <v/>
      </c>
      <c r="F391" s="4">
        <f>SUMIFS('Dubai Stock'!I:I,'Dubai Stock'!H:H,Final_UAE!B:B)</f>
        <v/>
      </c>
      <c r="H391" s="8" t="e">
        <v>#N/A</v>
      </c>
      <c r="I391" s="8" t="n"/>
    </row>
    <row r="392">
      <c r="A392" s="4" t="n">
        <v>33834</v>
      </c>
      <c r="B392" s="4" t="inlineStr">
        <is>
          <t>clstdai-dai-tot1-p90-sn0300</t>
        </is>
      </c>
      <c r="C392" s="4" t="inlineStr">
        <is>
          <t>W00031886A</t>
        </is>
      </c>
      <c r="D392" s="6">
        <f>IF(F392&gt;=5, F392-5, IF(F392&lt;5, 0, F392))</f>
        <v/>
      </c>
      <c r="E392">
        <f>VLOOKUP(B392,[1]Namshi!$A:$B,2,0)</f>
        <v/>
      </c>
      <c r="F392" s="4">
        <f>SUMIFS('Dubai Stock'!I:I,'Dubai Stock'!H:H,Final_UAE!B:B)</f>
        <v/>
      </c>
      <c r="H392" s="8" t="e">
        <v>#N/A</v>
      </c>
      <c r="I392" s="8" t="n"/>
    </row>
    <row r="393">
      <c r="A393" s="4" t="n">
        <v>33834</v>
      </c>
      <c r="B393" s="4" t="inlineStr">
        <is>
          <t>clstdai-acu-dfna-p60-sn0400</t>
        </is>
      </c>
      <c r="C393" s="4" t="inlineStr">
        <is>
          <t>W00031886A</t>
        </is>
      </c>
      <c r="D393" s="6">
        <f>IF(F393&gt;=5, F393-5, IF(F393&lt;5, 0, F393))</f>
        <v/>
      </c>
      <c r="E393">
        <f>VLOOKUP(B393,[1]Namshi!$A:$B,2,0)</f>
        <v/>
      </c>
      <c r="F393" s="4">
        <f>SUMIFS('Dubai Stock'!I:I,'Dubai Stock'!H:H,Final_UAE!B:B)</f>
        <v/>
      </c>
      <c r="H393" s="8" t="e">
        <v>#N/A</v>
      </c>
      <c r="I393" s="8" t="n"/>
    </row>
    <row r="394">
      <c r="A394" s="4" t="n">
        <v>33834</v>
      </c>
      <c r="B394" s="4" t="inlineStr">
        <is>
          <t>clstdai-acu-dfvi-p30-sn0475</t>
        </is>
      </c>
      <c r="C394" s="4" t="inlineStr">
        <is>
          <t>W00031886A</t>
        </is>
      </c>
      <c r="D394" s="6">
        <f>IF(F394&gt;=5, F394-5, IF(F394&lt;5, 0, F394))</f>
        <v/>
      </c>
      <c r="E394">
        <f>VLOOKUP(B394,[1]Namshi!$A:$B,2,0)</f>
        <v/>
      </c>
      <c r="F394" s="4">
        <f>SUMIFS('Dubai Stock'!I:I,'Dubai Stock'!H:H,Final_UAE!B:B)</f>
        <v/>
      </c>
      <c r="H394" s="8" t="e">
        <v>#N/A</v>
      </c>
      <c r="I394" s="8" t="n"/>
    </row>
    <row r="395">
      <c r="A395" s="4" t="n">
        <v>33834</v>
      </c>
      <c r="B395" s="4" t="inlineStr">
        <is>
          <t>costdai-acu-dffr-p30-hazel-sn0650</t>
        </is>
      </c>
      <c r="C395" s="4" t="inlineStr">
        <is>
          <t>W00031886A</t>
        </is>
      </c>
      <c r="D395" s="6">
        <f>IF(F395&gt;=5, F395-5, IF(F395&lt;5, 0, F395))</f>
        <v/>
      </c>
      <c r="E395">
        <f>VLOOKUP(B395,[1]Namshi!$A:$B,2,0)</f>
        <v/>
      </c>
      <c r="F395" s="4">
        <f>SUMIFS('Dubai Stock'!I:I,'Dubai Stock'!H:H,Final_UAE!B:B)</f>
        <v/>
      </c>
      <c r="H395" s="8" t="e">
        <v>#N/A</v>
      </c>
      <c r="I395" s="8" t="n"/>
    </row>
    <row r="396">
      <c r="A396" s="4" t="n">
        <v>33834</v>
      </c>
      <c r="B396" s="4" t="inlineStr">
        <is>
          <t>clstdai-lay-cont-p60-dazzle-black-sn0325</t>
        </is>
      </c>
      <c r="C396" s="4" t="inlineStr">
        <is>
          <t>W00031886A</t>
        </is>
      </c>
      <c r="D396" s="6">
        <f>IF(F396&gt;=5, F396-5, IF(F396&lt;5, 0, F396))</f>
        <v/>
      </c>
      <c r="E396">
        <f>VLOOKUP(B396,[1]Namshi!$A:$B,2,0)</f>
        <v/>
      </c>
      <c r="F396" s="4">
        <f>SUMIFS('Dubai Stock'!I:I,'Dubai Stock'!H:H,Final_UAE!B:B)</f>
        <v/>
      </c>
      <c r="H396" s="8" t="e">
        <v>#N/A</v>
      </c>
      <c r="I396" s="8" t="n"/>
    </row>
    <row r="397">
      <c r="A397" s="4" t="n">
        <v>33834</v>
      </c>
      <c r="B397" s="4" t="inlineStr">
        <is>
          <t>clstbiw-acu-oasy-p06-sp0050</t>
        </is>
      </c>
      <c r="C397" s="4" t="inlineStr">
        <is>
          <t>W00031886A</t>
        </is>
      </c>
      <c r="D397" s="6">
        <f>IF(F397&gt;=5, F397-5, IF(F397&lt;5, 0, F397))</f>
        <v/>
      </c>
      <c r="E397">
        <f>VLOOKUP(B397,[1]Namshi!$A:$B,2,0)</f>
        <v/>
      </c>
      <c r="F397" s="4">
        <f>SUMIFS('Dubai Stock'!I:I,'Dubai Stock'!H:H,Final_UAE!B:B)</f>
        <v/>
      </c>
      <c r="H397" s="8" t="e">
        <v>#N/A</v>
      </c>
      <c r="I397" s="8" t="n"/>
    </row>
    <row r="398">
      <c r="A398" s="4" t="n">
        <v>33834</v>
      </c>
      <c r="B398" s="4" t="inlineStr">
        <is>
          <t>costmon-ama-2020-p02-pure-hazel-sn0075</t>
        </is>
      </c>
      <c r="C398" s="4" t="inlineStr">
        <is>
          <t>W00031886A</t>
        </is>
      </c>
      <c r="D398" s="6">
        <f>IF(F398&gt;=5, F398-5, IF(F398&lt;5, 0, F398))</f>
        <v/>
      </c>
      <c r="E398">
        <f>VLOOKUP(B398,[1]Namshi!$A:$B,2,0)</f>
        <v/>
      </c>
      <c r="F398" s="4">
        <f>SUMIFS('Dubai Stock'!I:I,'Dubai Stock'!H:H,Final_UAE!B:B)</f>
        <v/>
      </c>
      <c r="H398" s="8" t="e">
        <v>#N/A</v>
      </c>
      <c r="I398" s="8" t="n"/>
    </row>
    <row r="399">
      <c r="A399" s="4" t="n">
        <v>33834</v>
      </c>
      <c r="B399" s="4" t="inlineStr">
        <is>
          <t>cost3mo-cel-natu-p01-desert-grey-sp0400</t>
        </is>
      </c>
      <c r="C399" s="4" t="inlineStr">
        <is>
          <t>W00031886A</t>
        </is>
      </c>
      <c r="D399" s="6">
        <f>IF(F399&gt;=5, F399-5, IF(F399&lt;5, 0, F399))</f>
        <v/>
      </c>
      <c r="E399">
        <f>VLOOKUP(B399,[1]Namshi!$A:$B,2,0)</f>
        <v/>
      </c>
      <c r="F399" s="4">
        <f>SUMIFS('Dubai Stock'!I:I,'Dubai Stock'!H:H,Final_UAE!B:B)</f>
        <v/>
      </c>
      <c r="H399" s="8" t="e">
        <v>#N/A</v>
      </c>
      <c r="I399" s="8" t="n"/>
    </row>
    <row r="400">
      <c r="A400" s="4" t="n">
        <v>33834</v>
      </c>
      <c r="B400" s="4" t="inlineStr">
        <is>
          <t>clstbiw-acu-oasy-p18-sn0550</t>
        </is>
      </c>
      <c r="C400" s="4" t="inlineStr">
        <is>
          <t>W00031886A</t>
        </is>
      </c>
      <c r="D400" s="6">
        <f>IF(F400&gt;=5, F400-5, IF(F400&lt;5, 0, F400))</f>
        <v/>
      </c>
      <c r="E400">
        <f>VLOOKUP(B400,[1]Namshi!$A:$B,2,0)</f>
        <v/>
      </c>
      <c r="F400" s="4">
        <f>SUMIFS('Dubai Stock'!I:I,'Dubai Stock'!H:H,Final_UAE!B:B)</f>
        <v/>
      </c>
      <c r="H400" s="8" t="e">
        <v>#N/A</v>
      </c>
      <c r="I400" s="8" t="n"/>
    </row>
    <row r="401">
      <c r="A401" s="4" t="n">
        <v>33834</v>
      </c>
      <c r="B401" s="4" t="inlineStr">
        <is>
          <t>clstdai-sof-sdai-p30-sn0375</t>
        </is>
      </c>
      <c r="C401" s="4" t="inlineStr">
        <is>
          <t>W00031886A</t>
        </is>
      </c>
      <c r="D401" s="6">
        <f>IF(F401&gt;=5, F401-5, IF(F401&lt;5, 0, F401))</f>
        <v/>
      </c>
      <c r="E401">
        <f>VLOOKUP(B401,[1]Namshi!$A:$B,2,0)</f>
        <v/>
      </c>
      <c r="F401" s="4">
        <f>SUMIFS('Dubai Stock'!I:I,'Dubai Stock'!H:H,Final_UAE!B:B)</f>
        <v/>
      </c>
      <c r="H401" s="8" t="e">
        <v>#N/A</v>
      </c>
      <c r="I401" s="8" t="n"/>
    </row>
    <row r="402">
      <c r="A402" s="4" t="n">
        <v>33834</v>
      </c>
      <c r="B402" s="4" t="inlineStr">
        <is>
          <t>clstmon-sof-sl59-p06-sn0150</t>
        </is>
      </c>
      <c r="C402" s="4" t="inlineStr">
        <is>
          <t>W00031886A</t>
        </is>
      </c>
      <c r="D402" s="6">
        <f>IF(F402&gt;=5, F402-5, IF(F402&lt;5, 0, F402))</f>
        <v/>
      </c>
      <c r="E402">
        <f>VLOOKUP(B402,[1]Namshi!$A:$B,2,0)</f>
        <v/>
      </c>
      <c r="F402" s="4">
        <f>SUMIFS('Dubai Stock'!I:I,'Dubai Stock'!H:H,Final_UAE!B:B)</f>
        <v/>
      </c>
      <c r="H402" s="8" t="e">
        <v>#N/A</v>
      </c>
      <c r="I402" s="8" t="n"/>
    </row>
    <row r="403">
      <c r="A403" s="4" t="n">
        <v>33834</v>
      </c>
      <c r="B403" s="4" t="inlineStr">
        <is>
          <t>sw30710-30s-000270-1010-53</t>
        </is>
      </c>
      <c r="C403" s="4" t="inlineStr">
        <is>
          <t>W00031886A</t>
        </is>
      </c>
      <c r="D403" s="6">
        <f>IF(F403&gt;=5, F403-5, IF(F403&lt;5, 0, F403))</f>
        <v/>
      </c>
      <c r="E403">
        <f>VLOOKUP(B403,[1]Namshi!$A:$B,2,0)</f>
        <v/>
      </c>
      <c r="F403" s="4">
        <f>SUMIFS('Dubai Stock'!I:I,'Dubai Stock'!H:H,Final_UAE!B:B)</f>
        <v/>
      </c>
      <c r="H403" s="8" t="e">
        <v>#N/A</v>
      </c>
    </row>
    <row r="404">
      <c r="A404" s="4" t="n">
        <v>33834</v>
      </c>
      <c r="B404" s="4" t="inlineStr">
        <is>
          <t>clstdai-acu-omax-p90-sp0300</t>
        </is>
      </c>
      <c r="C404" s="4" t="inlineStr">
        <is>
          <t>W00031886A</t>
        </is>
      </c>
      <c r="D404" s="6">
        <f>IF(F404&gt;=5, F404-5, IF(F404&lt;5, 0, F404))</f>
        <v/>
      </c>
      <c r="E404">
        <f>VLOOKUP(B404,[1]Namshi!$A:$B,2,0)</f>
        <v/>
      </c>
      <c r="F404" s="4">
        <f>SUMIFS('Dubai Stock'!I:I,'Dubai Stock'!H:H,Final_UAE!B:B)</f>
        <v/>
      </c>
      <c r="H404" s="8" t="e">
        <v>#N/A</v>
      </c>
      <c r="I404" s="8" t="n"/>
    </row>
    <row r="405">
      <c r="A405" s="4" t="n">
        <v>33834</v>
      </c>
      <c r="B405" s="4" t="inlineStr">
        <is>
          <t>clstdai-acu-omax-p30-sn1050</t>
        </is>
      </c>
      <c r="C405" s="4" t="inlineStr">
        <is>
          <t>W00031886A</t>
        </is>
      </c>
      <c r="D405" s="6">
        <f>IF(F405&gt;=5, F405-5, IF(F405&lt;5, 0, F405))</f>
        <v/>
      </c>
      <c r="E405">
        <f>VLOOKUP(B405,[1]Namshi!$A:$B,2,0)</f>
        <v/>
      </c>
      <c r="F405" s="4">
        <f>SUMIFS('Dubai Stock'!I:I,'Dubai Stock'!H:H,Final_UAE!B:B)</f>
        <v/>
      </c>
      <c r="H405" s="8" t="e">
        <v>#N/A</v>
      </c>
      <c r="I405" s="8" t="n"/>
    </row>
    <row r="406">
      <c r="A406" s="4" t="n">
        <v>33834</v>
      </c>
      <c r="B406" s="4" t="inlineStr">
        <is>
          <t>costdai-ama-dail-p10-honey-sn0325</t>
        </is>
      </c>
      <c r="C406" s="4" t="inlineStr">
        <is>
          <t>W00031886A</t>
        </is>
      </c>
      <c r="D406" s="6">
        <f>IF(F406&gt;=5, F406-5, IF(F406&lt;5, 0, F406))</f>
        <v/>
      </c>
      <c r="E406">
        <f>VLOOKUP(B406,[1]Namshi!$A:$B,2,0)</f>
        <v/>
      </c>
      <c r="F406" s="4">
        <f>SUMIFS('Dubai Stock'!I:I,'Dubai Stock'!H:H,Final_UAE!B:B)</f>
        <v/>
      </c>
      <c r="H406" s="8" t="e">
        <v>#N/A</v>
      </c>
      <c r="I406" s="8" t="n"/>
    </row>
    <row r="407">
      <c r="A407" s="4" t="n">
        <v>33834</v>
      </c>
      <c r="B407" s="4" t="inlineStr">
        <is>
          <t>clstmon-ava-avai-p06-sp0325</t>
        </is>
      </c>
      <c r="C407" s="4" t="inlineStr">
        <is>
          <t>W00031886A</t>
        </is>
      </c>
      <c r="D407" s="6">
        <f>IF(F407&gt;=5, F407-5, IF(F407&lt;5, 0, F407))</f>
        <v/>
      </c>
      <c r="E407">
        <f>VLOOKUP(B407,[1]Namshi!$A:$B,2,0)</f>
        <v/>
      </c>
      <c r="F407" s="4">
        <f>SUMIFS('Dubai Stock'!I:I,'Dubai Stock'!H:H,Final_UAE!B:B)</f>
        <v/>
      </c>
      <c r="H407" s="8" t="e">
        <v>#N/A</v>
      </c>
      <c r="I407" s="8" t="n"/>
    </row>
    <row r="408">
      <c r="A408" s="4" t="n">
        <v>33834</v>
      </c>
      <c r="B408" s="4" t="inlineStr">
        <is>
          <t>sacchan-30s-chain135-blk-bluebell-black</t>
        </is>
      </c>
      <c r="C408" s="4" t="inlineStr">
        <is>
          <t>W00031886A</t>
        </is>
      </c>
      <c r="D408" s="6">
        <f>IF(F408&gt;=5, F408-5, IF(F408&lt;5, 0, F408))</f>
        <v/>
      </c>
      <c r="E408">
        <f>VLOOKUP(B408,[1]Namshi!$A:$B,2,0)</f>
        <v/>
      </c>
      <c r="F408" s="4">
        <f>SUMIFS('Dubai Stock'!I:I,'Dubai Stock'!H:H,Final_UAE!B:B)</f>
        <v/>
      </c>
      <c r="H408" s="8" t="e">
        <v>#N/A</v>
      </c>
      <c r="I408" s="8" t="n"/>
    </row>
    <row r="409">
      <c r="A409" s="4" t="n">
        <v>33834</v>
      </c>
      <c r="B409" s="4" t="inlineStr">
        <is>
          <t>cost3mo-lay-lens-p02-ocean-blue-sn0150</t>
        </is>
      </c>
      <c r="C409" s="4" t="inlineStr">
        <is>
          <t>W00031886A</t>
        </is>
      </c>
      <c r="D409" s="6">
        <f>IF(F409&gt;=5, F409-5, IF(F409&lt;5, 0, F409))</f>
        <v/>
      </c>
      <c r="E409">
        <f>VLOOKUP(B409,[1]Namshi!$A:$B,2,0)</f>
        <v/>
      </c>
      <c r="F409" s="4">
        <f>SUMIFS('Dubai Stock'!I:I,'Dubai Stock'!H:H,Final_UAE!B:B)</f>
        <v/>
      </c>
      <c r="H409" s="8" t="e">
        <v>#N/A</v>
      </c>
      <c r="I409" s="8" t="n"/>
    </row>
    <row r="410">
      <c r="A410" s="4" t="n">
        <v>33834</v>
      </c>
      <c r="B410" s="4" t="inlineStr">
        <is>
          <t>sw30506-bla-000215-2706-61</t>
        </is>
      </c>
      <c r="C410" s="4" t="inlineStr">
        <is>
          <t>W00031886A</t>
        </is>
      </c>
      <c r="D410" s="6">
        <f>IF(F410&gt;=5, F410-5, IF(F410&lt;5, 0, F410))</f>
        <v/>
      </c>
      <c r="E410">
        <f>VLOOKUP(B410,[1]Namshi!$A:$B,2,0)</f>
        <v/>
      </c>
      <c r="F410" s="4">
        <f>SUMIFS('Dubai Stock'!I:I,'Dubai Stock'!H:H,Final_UAE!B:B)</f>
        <v/>
      </c>
      <c r="H410" s="8" t="e">
        <v>#N/A</v>
      </c>
    </row>
    <row r="411">
      <c r="A411" s="4" t="n">
        <v>33834</v>
      </c>
      <c r="B411" s="4" t="inlineStr">
        <is>
          <t>su20404-30s-000232-0404-63</t>
        </is>
      </c>
      <c r="C411" s="4" t="inlineStr">
        <is>
          <t>W00031886A</t>
        </is>
      </c>
      <c r="D411" s="6">
        <f>IF(F411&gt;=5, F411-5, IF(F411&lt;5, 0, F411))</f>
        <v/>
      </c>
      <c r="E411">
        <f>VLOOKUP(B411,[1]Namshi!$A:$B,2,0)</f>
        <v/>
      </c>
      <c r="F411" s="4">
        <f>SUMIFS('Dubai Stock'!I:I,'Dubai Stock'!H:H,Final_UAE!B:B)</f>
        <v/>
      </c>
      <c r="H411" s="8" t="e">
        <v>#N/A</v>
      </c>
    </row>
    <row r="412">
      <c r="A412" s="4" t="n">
        <v>33834</v>
      </c>
      <c r="B412" s="4" t="inlineStr">
        <is>
          <t>fw40918-spc-000698-0918-51</t>
        </is>
      </c>
      <c r="C412" s="4" t="inlineStr">
        <is>
          <t>W00031886A</t>
        </is>
      </c>
      <c r="D412" s="6">
        <f>IF(F412&gt;=5, F412-5, IF(F412&lt;5, 0, F412))</f>
        <v/>
      </c>
      <c r="E412">
        <f>VLOOKUP(B412,[1]Namshi!$A:$B,2,0)</f>
        <v/>
      </c>
      <c r="F412" s="4">
        <f>SUMIFS('Dubai Stock'!I:I,'Dubai Stock'!H:H,Final_UAE!B:B)</f>
        <v/>
      </c>
      <c r="H412" s="8" t="e">
        <v>#N/A</v>
      </c>
      <c r="I412" s="8" t="n"/>
    </row>
    <row r="413">
      <c r="A413" s="4" t="n">
        <v>33834</v>
      </c>
      <c r="B413" s="4" t="inlineStr">
        <is>
          <t>cost3mo-lay-2022-p02-sage-gray-sn0275</t>
        </is>
      </c>
      <c r="C413" s="4" t="inlineStr">
        <is>
          <t>W00031886A</t>
        </is>
      </c>
      <c r="D413" s="6">
        <f>IF(F413&gt;=5, F413-5, IF(F413&lt;5, 0, F413))</f>
        <v/>
      </c>
      <c r="E413">
        <f>VLOOKUP(B413,[1]Namshi!$A:$B,2,0)</f>
        <v/>
      </c>
      <c r="F413" s="4">
        <f>SUMIFS('Dubai Stock'!I:I,'Dubai Stock'!H:H,Final_UAE!B:B)</f>
        <v/>
      </c>
      <c r="H413" s="8" t="e">
        <v>#N/A</v>
      </c>
      <c r="I413" s="8" t="n"/>
    </row>
    <row r="414">
      <c r="A414" s="4" t="n">
        <v>33834</v>
      </c>
      <c r="B414" s="4" t="inlineStr">
        <is>
          <t>clstdai-acu-mois-p120-sn0375</t>
        </is>
      </c>
      <c r="C414" s="4" t="inlineStr">
        <is>
          <t>W00031886A</t>
        </is>
      </c>
      <c r="D414" s="6">
        <f>IF(F414&gt;=5, F414-5, IF(F414&lt;5, 0, F414))</f>
        <v/>
      </c>
      <c r="E414">
        <f>VLOOKUP(B414,[1]Namshi!$A:$B,2,0)</f>
        <v/>
      </c>
      <c r="F414" s="4">
        <f>SUMIFS('Dubai Stock'!I:I,'Dubai Stock'!H:H,Final_UAE!B:B)</f>
        <v/>
      </c>
      <c r="H414" s="8" t="e">
        <v>#N/A</v>
      </c>
      <c r="I414" s="8" t="n"/>
    </row>
    <row r="415">
      <c r="A415" s="4" t="n">
        <v>33834</v>
      </c>
      <c r="B415" s="4" t="inlineStr">
        <is>
          <t>clstdai-eve-elit-p90-sp0250</t>
        </is>
      </c>
      <c r="C415" s="4" t="inlineStr">
        <is>
          <t>W00031886A</t>
        </is>
      </c>
      <c r="D415" s="6">
        <f>IF(F415&gt;=5, F415-5, IF(F415&lt;5, 0, F415))</f>
        <v/>
      </c>
      <c r="E415">
        <f>VLOOKUP(B415,[1]Namshi!$A:$B,2,0)</f>
        <v/>
      </c>
      <c r="F415" s="4">
        <f>SUMIFS('Dubai Stock'!I:I,'Dubai Stock'!H:H,Final_UAE!B:B)</f>
        <v/>
      </c>
      <c r="H415" s="8" t="n">
        <v>729</v>
      </c>
      <c r="I415" s="8" t="n">
        <v>357</v>
      </c>
    </row>
    <row r="416">
      <c r="A416" s="4" t="n">
        <v>33834</v>
      </c>
      <c r="B416" s="4" t="inlineStr">
        <is>
          <t>cost3mo-lay-2023-p02-selene-green-sn0350</t>
        </is>
      </c>
      <c r="C416" s="4" t="inlineStr">
        <is>
          <t>W00031886A</t>
        </is>
      </c>
      <c r="D416" s="6">
        <f>IF(F416&gt;=5, F416-5, IF(F416&lt;5, 0, F416))</f>
        <v/>
      </c>
      <c r="E416">
        <f>VLOOKUP(B416,[1]Namshi!$A:$B,2,0)</f>
        <v/>
      </c>
      <c r="F416" s="4">
        <f>SUMIFS('Dubai Stock'!I:I,'Dubai Stock'!H:H,Final_UAE!B:B)</f>
        <v/>
      </c>
      <c r="H416" s="8" t="e">
        <v>#N/A</v>
      </c>
      <c r="I416" s="8" t="n"/>
    </row>
    <row r="417">
      <c r="A417" s="4" t="n">
        <v>33834</v>
      </c>
      <c r="B417" s="4" t="inlineStr">
        <is>
          <t>clstdai-eve-pure-p90-sn0100</t>
        </is>
      </c>
      <c r="C417" s="4" t="inlineStr">
        <is>
          <t>W00031886A</t>
        </is>
      </c>
      <c r="D417" s="6">
        <f>IF(F417&gt;=5, F417-5, IF(F417&lt;5, 0, F417))</f>
        <v/>
      </c>
      <c r="E417">
        <f>VLOOKUP(B417,[1]Namshi!$A:$B,2,0)</f>
        <v/>
      </c>
      <c r="F417" s="4">
        <f>SUMIFS('Dubai Stock'!I:I,'Dubai Stock'!H:H,Final_UAE!B:B)</f>
        <v/>
      </c>
      <c r="H417" s="8" t="n">
        <v>529</v>
      </c>
      <c r="I417" s="8" t="n">
        <v>259</v>
      </c>
    </row>
    <row r="418">
      <c r="A418" s="4" t="n">
        <v>33834</v>
      </c>
      <c r="B418" s="4" t="inlineStr">
        <is>
          <t>clstdai-acu-mois-p90-sn0650</t>
        </is>
      </c>
      <c r="C418" s="4" t="inlineStr">
        <is>
          <t>W00031886A</t>
        </is>
      </c>
      <c r="D418" s="6">
        <f>IF(F418&gt;=5, F418-5, IF(F418&lt;5, 0, F418))</f>
        <v/>
      </c>
      <c r="E418">
        <f>VLOOKUP(B418,[1]Namshi!$A:$B,2,0)</f>
        <v/>
      </c>
      <c r="F418" s="4">
        <f>SUMIFS('Dubai Stock'!I:I,'Dubai Stock'!H:H,Final_UAE!B:B)</f>
        <v/>
      </c>
      <c r="H418" s="8" t="e">
        <v>#N/A</v>
      </c>
      <c r="I418" s="8" t="n"/>
    </row>
    <row r="419">
      <c r="A419" s="4" t="n">
        <v>33834</v>
      </c>
      <c r="B419" s="4" t="inlineStr">
        <is>
          <t>cost3mo-lay-lens-p02-cloudy-gray-sn0375</t>
        </is>
      </c>
      <c r="C419" s="4" t="inlineStr">
        <is>
          <t>W00031886A</t>
        </is>
      </c>
      <c r="D419" s="6">
        <f>IF(F419&gt;=5, F419-5, IF(F419&lt;5, 0, F419))</f>
        <v/>
      </c>
      <c r="E419">
        <f>VLOOKUP(B419,[1]Namshi!$A:$B,2,0)</f>
        <v/>
      </c>
      <c r="F419" s="4">
        <f>SUMIFS('Dubai Stock'!I:I,'Dubai Stock'!H:H,Final_UAE!B:B)</f>
        <v/>
      </c>
      <c r="H419" s="8" t="e">
        <v>#N/A</v>
      </c>
      <c r="I419" s="8" t="n"/>
    </row>
    <row r="420">
      <c r="A420" s="4" t="n">
        <v>33834</v>
      </c>
      <c r="B420" s="4" t="inlineStr">
        <is>
          <t>clstdai-dai-tot1-p90-sn0350</t>
        </is>
      </c>
      <c r="C420" s="4" t="inlineStr">
        <is>
          <t>W00031886A</t>
        </is>
      </c>
      <c r="D420" s="6">
        <f>IF(F420&gt;=5, F420-5, IF(F420&lt;5, 0, F420))</f>
        <v/>
      </c>
      <c r="E420">
        <f>VLOOKUP(B420,[1]Namshi!$A:$B,2,0)</f>
        <v/>
      </c>
      <c r="F420" s="4">
        <f>SUMIFS('Dubai Stock'!I:I,'Dubai Stock'!H:H,Final_UAE!B:B)</f>
        <v/>
      </c>
      <c r="H420" s="8" t="e">
        <v>#N/A</v>
      </c>
      <c r="I420" s="8" t="n"/>
    </row>
    <row r="421">
      <c r="A421" s="4" t="n">
        <v>33834</v>
      </c>
      <c r="B421" s="4" t="inlineStr">
        <is>
          <t>cost3mo-lay-2022-p02-sage-gray-sn0100</t>
        </is>
      </c>
      <c r="C421" s="4" t="inlineStr">
        <is>
          <t>W00031886A</t>
        </is>
      </c>
      <c r="D421" s="6">
        <f>IF(F421&gt;=5, F421-5, IF(F421&lt;5, 0, F421))</f>
        <v/>
      </c>
      <c r="E421">
        <f>VLOOKUP(B421,[1]Namshi!$A:$B,2,0)</f>
        <v/>
      </c>
      <c r="F421" s="4">
        <f>SUMIFS('Dubai Stock'!I:I,'Dubai Stock'!H:H,Final_UAE!B:B)</f>
        <v/>
      </c>
      <c r="H421" s="8" t="e">
        <v>#N/A</v>
      </c>
      <c r="I421" s="8" t="n"/>
    </row>
    <row r="422">
      <c r="A422" s="4" t="n">
        <v>33834</v>
      </c>
      <c r="B422" s="4" t="inlineStr">
        <is>
          <t>clstdai-acu-dfvi-p90-sn0750</t>
        </is>
      </c>
      <c r="C422" s="4" t="inlineStr">
        <is>
          <t>W00031886A</t>
        </is>
      </c>
      <c r="D422" s="6">
        <f>IF(F422&gt;=5, F422-5, IF(F422&lt;5, 0, F422))</f>
        <v/>
      </c>
      <c r="E422">
        <f>VLOOKUP(B422,[1]Namshi!$A:$B,2,0)</f>
        <v/>
      </c>
      <c r="F422" s="4">
        <f>SUMIFS('Dubai Stock'!I:I,'Dubai Stock'!H:H,Final_UAE!B:B)</f>
        <v/>
      </c>
      <c r="H422" s="8" t="e">
        <v>#N/A</v>
      </c>
      <c r="I422" s="8" t="n"/>
    </row>
    <row r="423">
      <c r="A423" s="4" t="n">
        <v>33834</v>
      </c>
      <c r="B423" s="4" t="inlineStr">
        <is>
          <t>clstdai-acu-oasy-p30-sn1000</t>
        </is>
      </c>
      <c r="C423" s="4" t="inlineStr">
        <is>
          <t>W00031886A</t>
        </is>
      </c>
      <c r="D423" s="6">
        <f>IF(F423&gt;=5, F423-5, IF(F423&lt;5, 0, F423))</f>
        <v/>
      </c>
      <c r="E423">
        <f>VLOOKUP(B423,[1]Namshi!$A:$B,2,0)</f>
        <v/>
      </c>
      <c r="F423" s="4">
        <f>SUMIFS('Dubai Stock'!I:I,'Dubai Stock'!H:H,Final_UAE!B:B)</f>
        <v/>
      </c>
      <c r="H423" s="8" t="e">
        <v>#N/A</v>
      </c>
      <c r="I423" s="8" t="n"/>
    </row>
    <row r="424">
      <c r="A424" s="4" t="n">
        <v>33834</v>
      </c>
      <c r="B424" s="4" t="inlineStr">
        <is>
          <t>cost3mo-lay-2021-p02-sunkiss-brown-sn0175</t>
        </is>
      </c>
      <c r="C424" s="4" t="inlineStr">
        <is>
          <t>W00031886A</t>
        </is>
      </c>
      <c r="D424" s="6">
        <f>IF(F424&gt;=5, F424-5, IF(F424&lt;5, 0, F424))</f>
        <v/>
      </c>
      <c r="E424">
        <f>VLOOKUP(B424,[1]Namshi!$A:$B,2,0)</f>
        <v/>
      </c>
      <c r="F424" s="4">
        <f>SUMIFS('Dubai Stock'!I:I,'Dubai Stock'!H:H,Final_UAE!B:B)</f>
        <v/>
      </c>
      <c r="H424" s="8" t="e">
        <v>#N/A</v>
      </c>
      <c r="I424" s="8" t="n"/>
    </row>
    <row r="425">
      <c r="A425" s="4" t="n">
        <v>33834</v>
      </c>
      <c r="B425" s="4" t="inlineStr">
        <is>
          <t>clstdai-acu-dfvi-p30-sn0900</t>
        </is>
      </c>
      <c r="C425" s="4" t="inlineStr">
        <is>
          <t>W00031886A</t>
        </is>
      </c>
      <c r="D425" s="6">
        <f>IF(F425&gt;=5, F425-5, IF(F425&lt;5, 0, F425))</f>
        <v/>
      </c>
      <c r="E425">
        <f>VLOOKUP(B425,[1]Namshi!$A:$B,2,0)</f>
        <v/>
      </c>
      <c r="F425" s="4">
        <f>SUMIFS('Dubai Stock'!I:I,'Dubai Stock'!H:H,Final_UAE!B:B)</f>
        <v/>
      </c>
      <c r="H425" s="8" t="e">
        <v>#N/A</v>
      </c>
      <c r="I425" s="8" t="n"/>
    </row>
    <row r="426">
      <c r="A426" s="4" t="n">
        <v>33834</v>
      </c>
      <c r="B426" s="4" t="inlineStr">
        <is>
          <t>cost3mo-lay-lens-p02-ocean-blue-sn0600</t>
        </is>
      </c>
      <c r="C426" s="4" t="inlineStr">
        <is>
          <t>W00031886A</t>
        </is>
      </c>
      <c r="D426" s="6">
        <f>IF(F426&gt;=5, F426-5, IF(F426&lt;5, 0, F426))</f>
        <v/>
      </c>
      <c r="E426">
        <f>VLOOKUP(B426,[1]Namshi!$A:$B,2,0)</f>
        <v/>
      </c>
      <c r="F426" s="4">
        <f>SUMIFS('Dubai Stock'!I:I,'Dubai Stock'!H:H,Final_UAE!B:B)</f>
        <v/>
      </c>
      <c r="H426" s="8" t="e">
        <v>#N/A</v>
      </c>
      <c r="I426" s="8" t="n"/>
    </row>
    <row r="427">
      <c r="A427" s="4" t="n">
        <v>33834</v>
      </c>
      <c r="B427" s="4" t="inlineStr">
        <is>
          <t>sw50101-bla-000262-0101-56</t>
        </is>
      </c>
      <c r="C427" s="4" t="inlineStr">
        <is>
          <t>W00031886A</t>
        </is>
      </c>
      <c r="D427" s="6">
        <f>IF(F427&gt;=5, F427-5, IF(F427&lt;5, 0, F427))</f>
        <v/>
      </c>
      <c r="E427">
        <f>VLOOKUP(B427,[1]Namshi!$A:$B,2,0)</f>
        <v/>
      </c>
      <c r="F427" s="4">
        <f>SUMIFS('Dubai Stock'!I:I,'Dubai Stock'!H:H,Final_UAE!B:B)</f>
        <v/>
      </c>
      <c r="H427" s="8" t="e">
        <v>#N/A</v>
      </c>
    </row>
    <row r="428">
      <c r="A428" s="4" t="n">
        <v>33834</v>
      </c>
      <c r="B428" s="4" t="inlineStr">
        <is>
          <t>costmon-ama-lens-p02-dark-sepia-sn0550</t>
        </is>
      </c>
      <c r="C428" s="4" t="inlineStr">
        <is>
          <t>W00031886A</t>
        </is>
      </c>
      <c r="D428" s="6">
        <f>IF(F428&gt;=5, F428-5, IF(F428&lt;5, 0, F428))</f>
        <v/>
      </c>
      <c r="E428">
        <f>VLOOKUP(B428,[1]Namshi!$A:$B,2,0)</f>
        <v/>
      </c>
      <c r="F428" s="4">
        <f>SUMIFS('Dubai Stock'!I:I,'Dubai Stock'!H:H,Final_UAE!B:B)</f>
        <v/>
      </c>
      <c r="H428" s="8" t="e">
        <v>#N/A</v>
      </c>
      <c r="I428" s="8" t="n"/>
    </row>
    <row r="429">
      <c r="A429" s="4" t="n">
        <v>33834</v>
      </c>
      <c r="B429" s="4" t="inlineStr">
        <is>
          <t>fw22418-spc-000545-2400-51</t>
        </is>
      </c>
      <c r="C429" s="4" t="inlineStr">
        <is>
          <t>W00031886A</t>
        </is>
      </c>
      <c r="D429" s="6">
        <f>IF(F429&gt;=5, F429-5, IF(F429&lt;5, 0, F429))</f>
        <v/>
      </c>
      <c r="E429">
        <f>VLOOKUP(B429,[1]Namshi!$A:$B,2,0)</f>
        <v/>
      </c>
      <c r="F429" s="4">
        <f>SUMIFS('Dubai Stock'!I:I,'Dubai Stock'!H:H,Final_UAE!B:B)</f>
        <v/>
      </c>
      <c r="H429" s="8" t="e">
        <v>#N/A</v>
      </c>
      <c r="I429" s="8" t="n"/>
    </row>
    <row r="430">
      <c r="A430" s="4" t="n">
        <v>33834</v>
      </c>
      <c r="B430" s="4" t="inlineStr">
        <is>
          <t>costdai-ama-dail-p10-moon-stone-sn0350</t>
        </is>
      </c>
      <c r="C430" s="4" t="inlineStr">
        <is>
          <t>W00031886A</t>
        </is>
      </c>
      <c r="D430" s="6">
        <f>IF(F430&gt;=5, F430-5, IF(F430&lt;5, 0, F430))</f>
        <v/>
      </c>
      <c r="E430">
        <f>VLOOKUP(B430,[1]Namshi!$A:$B,2,0)</f>
        <v/>
      </c>
      <c r="F430" s="4">
        <f>SUMIFS('Dubai Stock'!I:I,'Dubai Stock'!H:H,Final_UAE!B:B)</f>
        <v/>
      </c>
      <c r="H430" s="8" t="e">
        <v>#N/A</v>
      </c>
      <c r="I430" s="8" t="n"/>
    </row>
    <row r="431">
      <c r="A431" s="4" t="n">
        <v>33834</v>
      </c>
      <c r="B431" s="4" t="inlineStr">
        <is>
          <t>clstdai-acu-dfrb-p30-sn0800</t>
        </is>
      </c>
      <c r="C431" s="4" t="inlineStr">
        <is>
          <t>W00031886A</t>
        </is>
      </c>
      <c r="D431" s="6">
        <f>IF(F431&gt;=5, F431-5, IF(F431&lt;5, 0, F431))</f>
        <v/>
      </c>
      <c r="E431">
        <f>VLOOKUP(B431,[1]Namshi!$A:$B,2,0)</f>
        <v/>
      </c>
      <c r="F431" s="4">
        <f>SUMIFS('Dubai Stock'!I:I,'Dubai Stock'!H:H,Final_UAE!B:B)</f>
        <v/>
      </c>
      <c r="H431" s="8" t="e">
        <v>#N/A</v>
      </c>
      <c r="I431" s="8" t="n"/>
    </row>
    <row r="432">
      <c r="A432" s="4" t="n">
        <v>33834</v>
      </c>
      <c r="B432" s="4" t="inlineStr">
        <is>
          <t>PSKU_33834_88765481974021415809_X</t>
        </is>
      </c>
      <c r="C432" s="4" t="inlineStr">
        <is>
          <t>W00031886A</t>
        </is>
      </c>
      <c r="D432" s="6">
        <f>IF(F432&gt;=5, F432-5, IF(F432&lt;5, 0, F432))</f>
        <v/>
      </c>
      <c r="E432">
        <f>VLOOKUP(B432,[1]Namshi!$A:$B,2,0)</f>
        <v/>
      </c>
      <c r="F432" s="4">
        <f>SUMIFS('Dubai Stock'!I:I,'Dubai Stock'!H:H,Final_UAE!B:B)</f>
        <v/>
      </c>
      <c r="H432" s="8" t="e">
        <v>#N/A</v>
      </c>
      <c r="I432" s="8" t="n"/>
    </row>
    <row r="433">
      <c r="A433" s="4" t="n">
        <v>33834</v>
      </c>
      <c r="B433" s="4" t="inlineStr">
        <is>
          <t>clstdai-dai-aqua-p90-sp0425</t>
        </is>
      </c>
      <c r="C433" s="4" t="inlineStr">
        <is>
          <t>W00031886A</t>
        </is>
      </c>
      <c r="D433" s="6">
        <f>IF(F433&gt;=5, F433-5, IF(F433&lt;5, 0, F433))</f>
        <v/>
      </c>
      <c r="E433">
        <f>VLOOKUP(B433,[1]Namshi!$A:$B,2,0)</f>
        <v/>
      </c>
      <c r="F433" s="4">
        <f>SUMIFS('Dubai Stock'!I:I,'Dubai Stock'!H:H,Final_UAE!B:B)</f>
        <v/>
      </c>
      <c r="H433" s="8" t="e">
        <v>#N/A</v>
      </c>
      <c r="I433" s="8" t="n"/>
    </row>
    <row r="434">
      <c r="A434" s="4" t="n">
        <v>33834</v>
      </c>
      <c r="B434" s="4" t="inlineStr">
        <is>
          <t>clstdai-dai-aqua-p90-sn0650</t>
        </is>
      </c>
      <c r="C434" s="4" t="inlineStr">
        <is>
          <t>W00031886A</t>
        </is>
      </c>
      <c r="D434" s="6">
        <f>IF(F434&gt;=5, F434-5, IF(F434&lt;5, 0, F434))</f>
        <v/>
      </c>
      <c r="E434">
        <f>VLOOKUP(B434,[1]Namshi!$A:$B,2,0)</f>
        <v/>
      </c>
      <c r="F434" s="4">
        <f>SUMIFS('Dubai Stock'!I:I,'Dubai Stock'!H:H,Final_UAE!B:B)</f>
        <v/>
      </c>
      <c r="H434" s="8" t="e">
        <v>#N/A</v>
      </c>
      <c r="I434" s="8" t="n"/>
    </row>
    <row r="435">
      <c r="A435" s="4" t="n">
        <v>33834</v>
      </c>
      <c r="B435" s="4" t="inlineStr">
        <is>
          <t>clstbiw-acu-cle-p06-sn0475</t>
        </is>
      </c>
      <c r="C435" s="4" t="inlineStr">
        <is>
          <t>W00031886A</t>
        </is>
      </c>
      <c r="D435" s="6">
        <f>IF(F435&gt;=5, F435-5, IF(F435&lt;5, 0, F435))</f>
        <v/>
      </c>
      <c r="E435">
        <f>VLOOKUP(B435,[1]Namshi!$A:$B,2,0)</f>
        <v/>
      </c>
      <c r="F435" s="4">
        <f>SUMIFS('Dubai Stock'!I:I,'Dubai Stock'!H:H,Final_UAE!B:B)</f>
        <v/>
      </c>
      <c r="H435" s="8" t="e">
        <v>#N/A</v>
      </c>
      <c r="I435" s="8" t="n"/>
    </row>
    <row r="436">
      <c r="A436" s="4" t="n">
        <v>33834</v>
      </c>
      <c r="B436" s="4" t="inlineStr">
        <is>
          <t>clstdai-dai-aqua-p90-sn1300</t>
        </is>
      </c>
      <c r="C436" s="4" t="inlineStr">
        <is>
          <t>W00031886A</t>
        </is>
      </c>
      <c r="D436" s="6">
        <f>IF(F436&gt;=5, F436-5, IF(F436&lt;5, 0, F436))</f>
        <v/>
      </c>
      <c r="E436">
        <f>VLOOKUP(B436,[1]Namshi!$A:$B,2,0)</f>
        <v/>
      </c>
      <c r="F436" s="4">
        <f>SUMIFS('Dubai Stock'!I:I,'Dubai Stock'!H:H,Final_UAE!B:B)</f>
        <v/>
      </c>
      <c r="H436" s="8" t="e">
        <v>#N/A</v>
      </c>
      <c r="I436" s="8" t="n"/>
    </row>
    <row r="437">
      <c r="A437" s="4" t="n">
        <v>33834</v>
      </c>
      <c r="B437" s="4" t="inlineStr">
        <is>
          <t>fw100518-spc-000300-0500-52</t>
        </is>
      </c>
      <c r="C437" s="4" t="inlineStr">
        <is>
          <t>W00031886A</t>
        </is>
      </c>
      <c r="D437" s="6">
        <f>IF(F437&gt;=5, F437-5, IF(F437&lt;5, 0, F437))</f>
        <v/>
      </c>
      <c r="E437">
        <f>VLOOKUP(B437,[1]Namshi!$A:$B,2,0)</f>
        <v/>
      </c>
      <c r="F437" s="4">
        <f>SUMIFS('Dubai Stock'!I:I,'Dubai Stock'!H:H,Final_UAE!B:B)</f>
        <v/>
      </c>
      <c r="H437" s="8" t="e">
        <v>#N/A</v>
      </c>
      <c r="I437" s="8" t="n"/>
    </row>
    <row r="438">
      <c r="A438" s="4" t="n">
        <v>33834</v>
      </c>
      <c r="B438" s="4" t="inlineStr">
        <is>
          <t>su20106-bla-000238-0506-49</t>
        </is>
      </c>
      <c r="C438" s="4" t="inlineStr">
        <is>
          <t>W00031886A</t>
        </is>
      </c>
      <c r="D438" s="6">
        <f>IF(F438&gt;=5, F438-5, IF(F438&lt;5, 0, F438))</f>
        <v/>
      </c>
      <c r="E438">
        <f>VLOOKUP(B438,[1]Namshi!$A:$B,2,0)</f>
        <v/>
      </c>
      <c r="F438" s="4">
        <f>SUMIFS('Dubai Stock'!I:I,'Dubai Stock'!H:H,Final_UAE!B:B)</f>
        <v/>
      </c>
      <c r="H438" s="8" t="e">
        <v>#N/A</v>
      </c>
    </row>
    <row r="439">
      <c r="A439" s="4" t="n">
        <v>33834</v>
      </c>
      <c r="B439" s="4" t="inlineStr">
        <is>
          <t>costdai-acu-dffr-p10-grayzel-sn0050</t>
        </is>
      </c>
      <c r="C439" s="4" t="inlineStr">
        <is>
          <t>W00031886A</t>
        </is>
      </c>
      <c r="D439" s="6">
        <f>IF(F439&gt;=5, F439-5, IF(F439&lt;5, 0, F439))</f>
        <v/>
      </c>
      <c r="E439">
        <f>VLOOKUP(B439,[1]Namshi!$A:$B,2,0)</f>
        <v/>
      </c>
      <c r="F439" s="4">
        <f>SUMIFS('Dubai Stock'!I:I,'Dubai Stock'!H:H,Final_UAE!B:B)</f>
        <v/>
      </c>
      <c r="H439" s="8" t="e">
        <v>#N/A</v>
      </c>
      <c r="I439" s="8" t="n"/>
    </row>
    <row r="440">
      <c r="A440" s="4" t="n">
        <v>33834</v>
      </c>
      <c r="B440" s="4" t="inlineStr">
        <is>
          <t>cost3mo-lay-lens-p02-golden-brown-sn0450</t>
        </is>
      </c>
      <c r="C440" s="4" t="inlineStr">
        <is>
          <t>W00031886A</t>
        </is>
      </c>
      <c r="D440" s="6">
        <f>IF(F440&gt;=5, F440-5, IF(F440&lt;5, 0, F440))</f>
        <v/>
      </c>
      <c r="E440">
        <f>VLOOKUP(B440,[1]Namshi!$A:$B,2,0)</f>
        <v/>
      </c>
      <c r="F440" s="4">
        <f>SUMIFS('Dubai Stock'!I:I,'Dubai Stock'!H:H,Final_UAE!B:B)</f>
        <v/>
      </c>
      <c r="H440" s="8" t="e">
        <v>#N/A</v>
      </c>
      <c r="I440" s="8" t="n"/>
    </row>
    <row r="441">
      <c r="A441" s="4" t="n">
        <v>33834</v>
      </c>
      <c r="B441" s="4" t="inlineStr">
        <is>
          <t>clstdai-acu-oasy-p90-sn0700</t>
        </is>
      </c>
      <c r="C441" s="4" t="inlineStr">
        <is>
          <t>W00031886A</t>
        </is>
      </c>
      <c r="D441" s="6">
        <f>IF(F441&gt;=5, F441-5, IF(F441&lt;5, 0, F441))</f>
        <v/>
      </c>
      <c r="E441">
        <f>VLOOKUP(B441,[1]Namshi!$A:$B,2,0)</f>
        <v/>
      </c>
      <c r="F441" s="4">
        <f>SUMIFS('Dubai Stock'!I:I,'Dubai Stock'!H:H,Final_UAE!B:B)</f>
        <v/>
      </c>
      <c r="H441" s="8" t="e">
        <v>#N/A</v>
      </c>
      <c r="I441" s="8" t="n"/>
    </row>
    <row r="442">
      <c r="A442" s="4" t="n">
        <v>33834</v>
      </c>
      <c r="B442" s="4" t="inlineStr">
        <is>
          <t>clstbiw-acu-oasy-p06-sn0075</t>
        </is>
      </c>
      <c r="C442" s="4" t="inlineStr">
        <is>
          <t>W00031886A</t>
        </is>
      </c>
      <c r="D442" s="6">
        <f>IF(F442&gt;=5, F442-5, IF(F442&lt;5, 0, F442))</f>
        <v/>
      </c>
      <c r="E442">
        <f>VLOOKUP(B442,[1]Namshi!$A:$B,2,0)</f>
        <v/>
      </c>
      <c r="F442" s="4">
        <f>SUMIFS('Dubai Stock'!I:I,'Dubai Stock'!H:H,Final_UAE!B:B)</f>
        <v/>
      </c>
      <c r="H442" s="8" t="e">
        <v>#N/A</v>
      </c>
      <c r="I442" s="8" t="n"/>
    </row>
    <row r="443">
      <c r="A443" s="4" t="n">
        <v>33834</v>
      </c>
      <c r="B443" s="4" t="inlineStr">
        <is>
          <t>clstdai-acu-omax-p30-sn0650</t>
        </is>
      </c>
      <c r="C443" s="4" t="inlineStr">
        <is>
          <t>W00031886A</t>
        </is>
      </c>
      <c r="D443" s="6">
        <f>IF(F443&gt;=5, F443-5, IF(F443&lt;5, 0, F443))</f>
        <v/>
      </c>
      <c r="E443">
        <f>VLOOKUP(B443,[1]Namshi!$A:$B,2,0)</f>
        <v/>
      </c>
      <c r="F443" s="4">
        <f>SUMIFS('Dubai Stock'!I:I,'Dubai Stock'!H:H,Final_UAE!B:B)</f>
        <v/>
      </c>
      <c r="H443" s="8" t="e">
        <v>#N/A</v>
      </c>
      <c r="I443" s="8" t="n"/>
    </row>
    <row r="444">
      <c r="A444" s="4" t="n">
        <v>33834</v>
      </c>
      <c r="B444" s="4" t="inlineStr">
        <is>
          <t>clstbiw-acu-cle-p06-sn0750</t>
        </is>
      </c>
      <c r="C444" s="4" t="inlineStr">
        <is>
          <t>W00031886A</t>
        </is>
      </c>
      <c r="D444" s="6">
        <f>IF(F444&gt;=5, F444-5, IF(F444&lt;5, 0, F444))</f>
        <v/>
      </c>
      <c r="E444">
        <f>VLOOKUP(B444,[1]Namshi!$A:$B,2,0)</f>
        <v/>
      </c>
      <c r="F444" s="4">
        <f>SUMIFS('Dubai Stock'!I:I,'Dubai Stock'!H:H,Final_UAE!B:B)</f>
        <v/>
      </c>
      <c r="H444" s="8" t="e">
        <v>#N/A</v>
      </c>
      <c r="I444" s="8" t="n"/>
    </row>
    <row r="445">
      <c r="A445" s="4" t="n">
        <v>33834</v>
      </c>
      <c r="B445" s="4" t="inlineStr">
        <is>
          <t>clstdai-lay-cont-p10-dazzle-black-sn0500</t>
        </is>
      </c>
      <c r="C445" s="4" t="inlineStr">
        <is>
          <t>W00031886A</t>
        </is>
      </c>
      <c r="D445" s="6">
        <f>IF(F445&gt;=5, F445-5, IF(F445&lt;5, 0, F445))</f>
        <v/>
      </c>
      <c r="E445">
        <f>VLOOKUP(B445,[1]Namshi!$A:$B,2,0)</f>
        <v/>
      </c>
      <c r="F445" s="4">
        <f>SUMIFS('Dubai Stock'!I:I,'Dubai Stock'!H:H,Final_UAE!B:B)</f>
        <v/>
      </c>
      <c r="H445" s="8" t="e">
        <v>#N/A</v>
      </c>
      <c r="I445" s="8" t="n"/>
    </row>
    <row r="446">
      <c r="A446" s="4" t="n">
        <v>33834</v>
      </c>
      <c r="B446" s="4" t="inlineStr">
        <is>
          <t>cost3mo-lay-2025-p02-desert-topaz-sn0275</t>
        </is>
      </c>
      <c r="C446" s="4" t="inlineStr">
        <is>
          <t>W00031886A</t>
        </is>
      </c>
      <c r="D446" s="6">
        <f>IF(F446&gt;=5, F446-5, IF(F446&lt;5, 0, F446))</f>
        <v/>
      </c>
      <c r="E446">
        <f>VLOOKUP(B446,[1]Namshi!$A:$B,2,0)</f>
        <v/>
      </c>
      <c r="F446" s="4">
        <f>SUMIFS('Dubai Stock'!I:I,'Dubai Stock'!H:H,Final_UAE!B:B)</f>
        <v/>
      </c>
      <c r="H446" s="8" t="e">
        <v>#N/A</v>
      </c>
      <c r="I446" s="8" t="n"/>
    </row>
    <row r="447">
      <c r="A447" s="4" t="n">
        <v>33834</v>
      </c>
      <c r="B447" s="4" t="inlineStr">
        <is>
          <t>clstdai-acu-mois-p30-sp0250</t>
        </is>
      </c>
      <c r="C447" s="4" t="inlineStr">
        <is>
          <t>W00031886A</t>
        </is>
      </c>
      <c r="D447" s="6">
        <f>IF(F447&gt;=5, F447-5, IF(F447&lt;5, 0, F447))</f>
        <v/>
      </c>
      <c r="E447">
        <f>VLOOKUP(B447,[1]Namshi!$A:$B,2,0)</f>
        <v/>
      </c>
      <c r="F447" s="4">
        <f>SUMIFS('Dubai Stock'!I:I,'Dubai Stock'!H:H,Final_UAE!B:B)</f>
        <v/>
      </c>
      <c r="H447" s="8" t="e">
        <v>#N/A</v>
      </c>
      <c r="I447" s="8" t="n"/>
    </row>
    <row r="448">
      <c r="A448" s="4" t="n">
        <v>33834</v>
      </c>
      <c r="B448" s="4" t="inlineStr">
        <is>
          <t>costmon-ama-2024-p02-barbie-brown-sn0250</t>
        </is>
      </c>
      <c r="C448" s="4" t="inlineStr">
        <is>
          <t>W00031886A</t>
        </is>
      </c>
      <c r="D448" s="6">
        <f>IF(F448&gt;=5, F448-5, IF(F448&lt;5, 0, F448))</f>
        <v/>
      </c>
      <c r="E448">
        <f>VLOOKUP(B448,[1]Namshi!$A:$B,2,0)</f>
        <v/>
      </c>
      <c r="F448" s="4">
        <f>SUMIFS('Dubai Stock'!I:I,'Dubai Stock'!H:H,Final_UAE!B:B)</f>
        <v/>
      </c>
      <c r="H448" s="8" t="e">
        <v>#N/A</v>
      </c>
      <c r="I448" s="8" t="n"/>
    </row>
    <row r="449">
      <c r="A449" s="4" t="n">
        <v>33834</v>
      </c>
      <c r="B449" s="4" t="inlineStr">
        <is>
          <t>sw30107-bla-000256-0101-51</t>
        </is>
      </c>
      <c r="C449" s="4" t="inlineStr">
        <is>
          <t>W00031886A</t>
        </is>
      </c>
      <c r="D449" s="6">
        <f>IF(F449&gt;=5, F449-5, IF(F449&lt;5, 0, F449))</f>
        <v/>
      </c>
      <c r="E449">
        <f>VLOOKUP(B449,[1]Namshi!$A:$B,2,0)</f>
        <v/>
      </c>
      <c r="F449" s="4">
        <f>SUMIFS('Dubai Stock'!I:I,'Dubai Stock'!H:H,Final_UAE!B:B)</f>
        <v/>
      </c>
      <c r="H449" s="8" t="e">
        <v>#N/A</v>
      </c>
    </row>
    <row r="450">
      <c r="A450" s="4" t="n">
        <v>33834</v>
      </c>
      <c r="B450" s="4" t="inlineStr">
        <is>
          <t>clstdai-lay-cont-p10-dazzle-black-sn0175</t>
        </is>
      </c>
      <c r="C450" s="4" t="inlineStr">
        <is>
          <t>W00031886A</t>
        </is>
      </c>
      <c r="D450" s="6">
        <f>IF(F450&gt;=5, F450-5, IF(F450&lt;5, 0, F450))</f>
        <v/>
      </c>
      <c r="E450">
        <f>VLOOKUP(B450,[1]Namshi!$A:$B,2,0)</f>
        <v/>
      </c>
      <c r="F450" s="4">
        <f>SUMIFS('Dubai Stock'!I:I,'Dubai Stock'!H:H,Final_UAE!B:B)</f>
        <v/>
      </c>
      <c r="H450" s="8" t="e">
        <v>#N/A</v>
      </c>
      <c r="I450" s="8" t="n"/>
    </row>
    <row r="451">
      <c r="A451" s="4" t="n">
        <v>33834</v>
      </c>
      <c r="B451" s="4" t="inlineStr">
        <is>
          <t>cost3mo-lay-2021-p02-willow-green-sn0300</t>
        </is>
      </c>
      <c r="C451" s="4" t="inlineStr">
        <is>
          <t>W00031886A</t>
        </is>
      </c>
      <c r="D451" s="6">
        <f>IF(F451&gt;=5, F451-5, IF(F451&lt;5, 0, F451))</f>
        <v/>
      </c>
      <c r="E451">
        <f>VLOOKUP(B451,[1]Namshi!$A:$B,2,0)</f>
        <v/>
      </c>
      <c r="F451" s="4">
        <f>SUMIFS('Dubai Stock'!I:I,'Dubai Stock'!H:H,Final_UAE!B:B)</f>
        <v/>
      </c>
      <c r="H451" s="8" t="e">
        <v>#N/A</v>
      </c>
      <c r="I451" s="8" t="n"/>
    </row>
    <row r="452">
      <c r="A452" s="4" t="n">
        <v>33834</v>
      </c>
      <c r="B452" s="4" t="inlineStr">
        <is>
          <t>costmon-ama-2022-p02-dream-sn0375</t>
        </is>
      </c>
      <c r="C452" s="4" t="inlineStr">
        <is>
          <t>W00031886A</t>
        </is>
      </c>
      <c r="D452" s="6">
        <f>IF(F452&gt;=5, F452-5, IF(F452&lt;5, 0, F452))</f>
        <v/>
      </c>
      <c r="E452">
        <f>VLOOKUP(B452,[1]Namshi!$A:$B,2,0)</f>
        <v/>
      </c>
      <c r="F452" s="4">
        <f>SUMIFS('Dubai Stock'!I:I,'Dubai Stock'!H:H,Final_UAE!B:B)</f>
        <v/>
      </c>
      <c r="H452" s="8" t="e">
        <v>#N/A</v>
      </c>
      <c r="I452" s="8" t="n"/>
    </row>
    <row r="453">
      <c r="A453" s="4" t="n">
        <v>33834</v>
      </c>
      <c r="B453" s="4" t="inlineStr">
        <is>
          <t>clstdai-lay-cont-p10-dazzle-brown-sn0125</t>
        </is>
      </c>
      <c r="C453" s="4" t="inlineStr">
        <is>
          <t>W00031886A</t>
        </is>
      </c>
      <c r="D453" s="6">
        <f>IF(F453&gt;=5, F453-5, IF(F453&lt;5, 0, F453))</f>
        <v/>
      </c>
      <c r="E453">
        <f>VLOOKUP(B453,[1]Namshi!$A:$B,2,0)</f>
        <v/>
      </c>
      <c r="F453" s="4">
        <f>SUMIFS('Dubai Stock'!I:I,'Dubai Stock'!H:H,Final_UAE!B:B)</f>
        <v/>
      </c>
      <c r="H453" s="8" t="e">
        <v>#N/A</v>
      </c>
      <c r="I453" s="8" t="n"/>
    </row>
    <row r="454">
      <c r="A454" s="4" t="n">
        <v>33834</v>
      </c>
      <c r="B454" s="4" t="inlineStr">
        <is>
          <t>sw40101-bla-000232-0101-52</t>
        </is>
      </c>
      <c r="C454" s="4" t="inlineStr">
        <is>
          <t>W00031886A</t>
        </is>
      </c>
      <c r="D454" s="6">
        <f>IF(F454&gt;=5, F454-5, IF(F454&lt;5, 0, F454))</f>
        <v/>
      </c>
      <c r="E454">
        <f>VLOOKUP(B454,[1]Namshi!$A:$B,2,0)</f>
        <v/>
      </c>
      <c r="F454" s="4">
        <f>SUMIFS('Dubai Stock'!I:I,'Dubai Stock'!H:H,Final_UAE!B:B)</f>
        <v/>
      </c>
      <c r="H454" s="8" t="e">
        <v>#N/A</v>
      </c>
    </row>
    <row r="455">
      <c r="A455" s="4" t="n">
        <v>33834</v>
      </c>
      <c r="B455" s="4" t="inlineStr">
        <is>
          <t>clstdai-lay-cont-p90-dazzle-brown-sn0500</t>
        </is>
      </c>
      <c r="C455" s="4" t="inlineStr">
        <is>
          <t>W00031886A</t>
        </is>
      </c>
      <c r="D455" s="6">
        <f>IF(F455&gt;=5, F455-5, IF(F455&lt;5, 0, F455))</f>
        <v/>
      </c>
      <c r="E455">
        <f>VLOOKUP(B455,[1]Namshi!$A:$B,2,0)</f>
        <v/>
      </c>
      <c r="F455" s="4">
        <f>SUMIFS('Dubai Stock'!I:I,'Dubai Stock'!H:H,Final_UAE!B:B)</f>
        <v/>
      </c>
      <c r="H455" s="8" t="e">
        <v>#N/A</v>
      </c>
      <c r="I455" s="8" t="n"/>
    </row>
    <row r="456">
      <c r="A456" s="4" t="n">
        <v>33834</v>
      </c>
      <c r="B456" s="4" t="inlineStr">
        <is>
          <t>sacchan-30s-chain138-grn-starla-green-blue-green</t>
        </is>
      </c>
      <c r="C456" s="4" t="inlineStr">
        <is>
          <t>W00031886A</t>
        </is>
      </c>
      <c r="D456" s="6">
        <f>IF(F456&gt;=5, F456-5, IF(F456&lt;5, 0, F456))</f>
        <v/>
      </c>
      <c r="E456">
        <f>VLOOKUP(B456,[1]Namshi!$A:$B,2,0)</f>
        <v/>
      </c>
      <c r="F456" s="4">
        <f>SUMIFS('Dubai Stock'!I:I,'Dubai Stock'!H:H,Final_UAE!B:B)</f>
        <v/>
      </c>
      <c r="H456" s="8" t="e">
        <v>#N/A</v>
      </c>
      <c r="I456" s="8" t="n"/>
    </row>
    <row r="457">
      <c r="A457" s="4" t="n">
        <v>33834</v>
      </c>
      <c r="B457" s="4" t="inlineStr">
        <is>
          <t>sw30404-bla-000243-0404-58</t>
        </is>
      </c>
      <c r="C457" s="4" t="inlineStr">
        <is>
          <t>W00031886A</t>
        </is>
      </c>
      <c r="D457" s="6">
        <f>IF(F457&gt;=5, F457-5, IF(F457&lt;5, 0, F457))</f>
        <v/>
      </c>
      <c r="E457">
        <f>VLOOKUP(B457,[1]Namshi!$A:$B,2,0)</f>
        <v/>
      </c>
      <c r="F457" s="4">
        <f>SUMIFS('Dubai Stock'!I:I,'Dubai Stock'!H:H,Final_UAE!B:B)</f>
        <v/>
      </c>
      <c r="H457" s="8" t="e">
        <v>#N/A</v>
      </c>
    </row>
    <row r="458">
      <c r="A458" s="4" t="n">
        <v>33834</v>
      </c>
      <c r="B458" s="4" t="inlineStr">
        <is>
          <t>sm50702-30s-000248-0702-53</t>
        </is>
      </c>
      <c r="C458" s="4" t="inlineStr">
        <is>
          <t>W00031886A</t>
        </is>
      </c>
      <c r="D458" s="6">
        <f>IF(F458&gt;=5, F458-5, IF(F458&lt;5, 0, F458))</f>
        <v/>
      </c>
      <c r="E458">
        <f>VLOOKUP(B458,[1]Namshi!$A:$B,2,0)</f>
        <v/>
      </c>
      <c r="F458" s="4">
        <f>SUMIFS('Dubai Stock'!I:I,'Dubai Stock'!H:H,Final_UAE!B:B)</f>
        <v/>
      </c>
      <c r="H458" s="8" t="e">
        <v>#N/A</v>
      </c>
    </row>
    <row r="459">
      <c r="A459" s="4" t="n">
        <v>33834</v>
      </c>
      <c r="B459" s="4" t="inlineStr">
        <is>
          <t>cost3mo-lay-2024-p02-terra-brown-sn0050</t>
        </is>
      </c>
      <c r="C459" s="4" t="inlineStr">
        <is>
          <t>W00031886A</t>
        </is>
      </c>
      <c r="D459" s="6">
        <f>IF(F459&gt;=5, F459-5, IF(F459&lt;5, 0, F459))</f>
        <v/>
      </c>
      <c r="E459">
        <f>VLOOKUP(B459,[1]Namshi!$A:$B,2,0)</f>
        <v/>
      </c>
      <c r="F459" s="4">
        <f>SUMIFS('Dubai Stock'!I:I,'Dubai Stock'!H:H,Final_UAE!B:B)</f>
        <v/>
      </c>
      <c r="H459" s="8" t="e">
        <v>#N/A</v>
      </c>
      <c r="I459" s="8" t="n"/>
    </row>
    <row r="460">
      <c r="A460" s="4" t="n">
        <v>33834</v>
      </c>
      <c r="B460" s="4" t="inlineStr">
        <is>
          <t>sc22007-bab-000500-2007-40</t>
        </is>
      </c>
      <c r="C460" s="4" t="inlineStr">
        <is>
          <t>W00031886A</t>
        </is>
      </c>
      <c r="D460" s="6">
        <f>IF(F460&gt;=5, F460-5, IF(F460&lt;5, 0, F460))</f>
        <v/>
      </c>
      <c r="E460">
        <f>VLOOKUP(B460,[1]Namshi!$A:$B,2,0)</f>
        <v/>
      </c>
      <c r="F460" s="4">
        <f>SUMIFS('Dubai Stock'!I:I,'Dubai Stock'!H:H,Final_UAE!B:B)</f>
        <v/>
      </c>
      <c r="H460" s="8" t="e">
        <v>#N/A</v>
      </c>
    </row>
    <row r="461">
      <c r="A461" s="4" t="n">
        <v>33834</v>
      </c>
      <c r="B461" s="4" t="inlineStr">
        <is>
          <t>sw51104-30s-000429-1107-48</t>
        </is>
      </c>
      <c r="C461" s="4" t="inlineStr">
        <is>
          <t>W00031886A</t>
        </is>
      </c>
      <c r="D461" s="6">
        <f>IF(F461&gt;=5, F461-5, IF(F461&lt;5, 0, F461))</f>
        <v/>
      </c>
      <c r="E461">
        <f>VLOOKUP(B461,[1]Namshi!$A:$B,2,0)</f>
        <v/>
      </c>
      <c r="F461" s="4">
        <f>SUMIFS('Dubai Stock'!I:I,'Dubai Stock'!H:H,Final_UAE!B:B)</f>
        <v/>
      </c>
      <c r="H461" s="8" t="e">
        <v>#N/A</v>
      </c>
    </row>
    <row r="462">
      <c r="A462" s="4" t="n">
        <v>33834</v>
      </c>
      <c r="B462" s="4" t="inlineStr">
        <is>
          <t>clstdai-dai-tot1-p90-sn0175</t>
        </is>
      </c>
      <c r="C462" s="4" t="inlineStr">
        <is>
          <t>W00031886A</t>
        </is>
      </c>
      <c r="D462" s="6">
        <f>IF(F462&gt;=5, F462-5, IF(F462&lt;5, 0, F462))</f>
        <v/>
      </c>
      <c r="E462">
        <f>VLOOKUP(B462,[1]Namshi!$A:$B,2,0)</f>
        <v/>
      </c>
      <c r="F462" s="4">
        <f>SUMIFS('Dubai Stock'!I:I,'Dubai Stock'!H:H,Final_UAE!B:B)</f>
        <v/>
      </c>
      <c r="H462" s="8" t="e">
        <v>#N/A</v>
      </c>
      <c r="I462" s="8" t="n"/>
    </row>
    <row r="463">
      <c r="A463" s="4" t="n">
        <v>33834</v>
      </c>
      <c r="B463" s="4" t="inlineStr">
        <is>
          <t>cost3mo-lay-2023-p02-sable-brown-sn0275</t>
        </is>
      </c>
      <c r="C463" s="4" t="inlineStr">
        <is>
          <t>W00031886A</t>
        </is>
      </c>
      <c r="D463" s="6">
        <f>IF(F463&gt;=5, F463-5, IF(F463&lt;5, 0, F463))</f>
        <v/>
      </c>
      <c r="E463">
        <f>VLOOKUP(B463,[1]Namshi!$A:$B,2,0)</f>
        <v/>
      </c>
      <c r="F463" s="4">
        <f>SUMIFS('Dubai Stock'!I:I,'Dubai Stock'!H:H,Final_UAE!B:B)</f>
        <v/>
      </c>
      <c r="H463" s="8" t="e">
        <v>#N/A</v>
      </c>
      <c r="I463" s="8" t="n"/>
    </row>
    <row r="464">
      <c r="A464" s="4" t="n">
        <v>33834</v>
      </c>
      <c r="B464" s="4" t="inlineStr">
        <is>
          <t>clstdai-dai-aqua-p90-sn0150</t>
        </is>
      </c>
      <c r="C464" s="4" t="inlineStr">
        <is>
          <t>W00031886A</t>
        </is>
      </c>
      <c r="D464" s="6">
        <f>IF(F464&gt;=5, F464-5, IF(F464&lt;5, 0, F464))</f>
        <v/>
      </c>
      <c r="E464">
        <f>VLOOKUP(B464,[1]Namshi!$A:$B,2,0)</f>
        <v/>
      </c>
      <c r="F464" s="4">
        <f>SUMIFS('Dubai Stock'!I:I,'Dubai Stock'!H:H,Final_UAE!B:B)</f>
        <v/>
      </c>
      <c r="H464" s="8" t="e">
        <v>#N/A</v>
      </c>
      <c r="I464" s="8" t="n"/>
    </row>
    <row r="465">
      <c r="A465" s="4" t="n">
        <v>33834</v>
      </c>
      <c r="B465" s="4" t="inlineStr">
        <is>
          <t>sw100907-bla-000315-0907-52</t>
        </is>
      </c>
      <c r="C465" s="4" t="inlineStr">
        <is>
          <t>W00031886A</t>
        </is>
      </c>
      <c r="D465" s="6">
        <f>IF(F465&gt;=5, F465-5, IF(F465&lt;5, 0, F465))</f>
        <v/>
      </c>
      <c r="E465">
        <f>VLOOKUP(B465,[1]Namshi!$A:$B,2,0)</f>
        <v/>
      </c>
      <c r="F465" s="4">
        <f>SUMIFS('Dubai Stock'!I:I,'Dubai Stock'!H:H,Final_UAE!B:B)</f>
        <v/>
      </c>
      <c r="H465" s="8" t="e">
        <v>#N/A</v>
      </c>
    </row>
    <row r="466">
      <c r="A466" s="4" t="n">
        <v>33834</v>
      </c>
      <c r="B466" s="4" t="inlineStr">
        <is>
          <t>sm70107-30s-000252-0107-56</t>
        </is>
      </c>
      <c r="C466" s="4" t="inlineStr">
        <is>
          <t>W00031886A</t>
        </is>
      </c>
      <c r="D466" s="6">
        <f>IF(F466&gt;=5, F466-5, IF(F466&lt;5, 0, F466))</f>
        <v/>
      </c>
      <c r="E466">
        <f>VLOOKUP(B466,[1]Namshi!$A:$B,2,0)</f>
        <v/>
      </c>
      <c r="F466" s="4">
        <f>SUMIFS('Dubai Stock'!I:I,'Dubai Stock'!H:H,Final_UAE!B:B)</f>
        <v/>
      </c>
      <c r="H466" s="8" t="e">
        <v>#N/A</v>
      </c>
    </row>
    <row r="467">
      <c r="A467" s="4" t="n">
        <v>33834</v>
      </c>
      <c r="B467" s="4" t="inlineStr">
        <is>
          <t>clstbiw-acu-0002-p06-sp0075</t>
        </is>
      </c>
      <c r="C467" s="4" t="inlineStr">
        <is>
          <t>W00031886A</t>
        </is>
      </c>
      <c r="D467" s="6">
        <f>IF(F467&gt;=5, F467-5, IF(F467&lt;5, 0, F467))</f>
        <v/>
      </c>
      <c r="E467">
        <f>VLOOKUP(B467,[1]Namshi!$A:$B,2,0)</f>
        <v/>
      </c>
      <c r="F467" s="4">
        <f>SUMIFS('Dubai Stock'!I:I,'Dubai Stock'!H:H,Final_UAE!B:B)</f>
        <v/>
      </c>
      <c r="H467" s="8" t="e">
        <v>#N/A</v>
      </c>
      <c r="I467" s="8" t="n"/>
    </row>
    <row r="468">
      <c r="A468" s="4" t="n">
        <v>33834</v>
      </c>
      <c r="B468" s="4" t="inlineStr">
        <is>
          <t>fm52918-spc-000818-2918-55</t>
        </is>
      </c>
      <c r="C468" s="4" t="inlineStr">
        <is>
          <t>W00031886A</t>
        </is>
      </c>
      <c r="D468" s="6">
        <f>IF(F468&gt;=5, F468-5, IF(F468&lt;5, 0, F468))</f>
        <v/>
      </c>
      <c r="E468">
        <f>VLOOKUP(B468,[1]Namshi!$A:$B,2,0)</f>
        <v/>
      </c>
      <c r="F468" s="4">
        <f>SUMIFS('Dubai Stock'!I:I,'Dubai Stock'!H:H,Final_UAE!B:B)</f>
        <v/>
      </c>
      <c r="H468" s="8" t="e">
        <v>#N/A</v>
      </c>
      <c r="I468" s="8" t="n"/>
    </row>
    <row r="469">
      <c r="A469" s="4" t="n">
        <v>33834</v>
      </c>
      <c r="B469" s="4" t="inlineStr">
        <is>
          <t>clstdai-acu-dfna-p30-sn0750</t>
        </is>
      </c>
      <c r="C469" s="4" t="inlineStr">
        <is>
          <t>W00031886A</t>
        </is>
      </c>
      <c r="D469" s="6">
        <f>IF(F469&gt;=5, F469-5, IF(F469&lt;5, 0, F469))</f>
        <v/>
      </c>
      <c r="E469">
        <f>VLOOKUP(B469,[1]Namshi!$A:$B,2,0)</f>
        <v/>
      </c>
      <c r="F469" s="4">
        <f>SUMIFS('Dubai Stock'!I:I,'Dubai Stock'!H:H,Final_UAE!B:B)</f>
        <v/>
      </c>
      <c r="H469" s="8" t="e">
        <v>#N/A</v>
      </c>
      <c r="I469" s="8" t="n"/>
    </row>
    <row r="470">
      <c r="A470" s="4" t="n">
        <v>33834</v>
      </c>
      <c r="B470" s="4" t="inlineStr">
        <is>
          <t>clstdai-acu-dfvi-p30-sn0500</t>
        </is>
      </c>
      <c r="C470" s="4" t="inlineStr">
        <is>
          <t>W00031886A</t>
        </is>
      </c>
      <c r="D470" s="6">
        <f>IF(F470&gt;=5, F470-5, IF(F470&lt;5, 0, F470))</f>
        <v/>
      </c>
      <c r="E470">
        <f>VLOOKUP(B470,[1]Namshi!$A:$B,2,0)</f>
        <v/>
      </c>
      <c r="F470" s="4">
        <f>SUMIFS('Dubai Stock'!I:I,'Dubai Stock'!H:H,Final_UAE!B:B)</f>
        <v/>
      </c>
      <c r="H470" s="8" t="e">
        <v>#N/A</v>
      </c>
      <c r="I470" s="8" t="n"/>
    </row>
    <row r="471">
      <c r="A471" s="4" t="n">
        <v>33834</v>
      </c>
      <c r="B471" s="4" t="inlineStr">
        <is>
          <t>costdai-acu-dffr-p10-grayzel-sn0650</t>
        </is>
      </c>
      <c r="C471" s="4" t="inlineStr">
        <is>
          <t>W00031886A</t>
        </is>
      </c>
      <c r="D471" s="6">
        <f>IF(F471&gt;=5, F471-5, IF(F471&lt;5, 0, F471))</f>
        <v/>
      </c>
      <c r="E471">
        <f>VLOOKUP(B471,[1]Namshi!$A:$B,2,0)</f>
        <v/>
      </c>
      <c r="F471" s="4">
        <f>SUMIFS('Dubai Stock'!I:I,'Dubai Stock'!H:H,Final_UAE!B:B)</f>
        <v/>
      </c>
      <c r="H471" s="8" t="e">
        <v>#N/A</v>
      </c>
      <c r="I471" s="8" t="n"/>
    </row>
    <row r="472">
      <c r="A472" s="4" t="n">
        <v>33834</v>
      </c>
      <c r="B472" s="4" t="inlineStr">
        <is>
          <t>clstdai-lay-cont-p60-dazzle-brown-sn0550</t>
        </is>
      </c>
      <c r="C472" s="4" t="inlineStr">
        <is>
          <t>W00031886A</t>
        </is>
      </c>
      <c r="D472" s="6">
        <f>IF(F472&gt;=5, F472-5, IF(F472&lt;5, 0, F472))</f>
        <v/>
      </c>
      <c r="E472">
        <f>VLOOKUP(B472,[1]Namshi!$A:$B,2,0)</f>
        <v/>
      </c>
      <c r="F472" s="4">
        <f>SUMIFS('Dubai Stock'!I:I,'Dubai Stock'!H:H,Final_UAE!B:B)</f>
        <v/>
      </c>
      <c r="H472" s="8" t="e">
        <v>#N/A</v>
      </c>
      <c r="I472" s="8" t="n"/>
    </row>
    <row r="473">
      <c r="A473" s="4" t="n">
        <v>33834</v>
      </c>
      <c r="B473" s="4" t="inlineStr">
        <is>
          <t>cost3mo-lay-lens-p02-ocean-blue-sn0400</t>
        </is>
      </c>
      <c r="C473" s="4" t="inlineStr">
        <is>
          <t>W00031886A</t>
        </is>
      </c>
      <c r="D473" s="6">
        <f>IF(F473&gt;=5, F473-5, IF(F473&lt;5, 0, F473))</f>
        <v/>
      </c>
      <c r="E473">
        <f>VLOOKUP(B473,[1]Namshi!$A:$B,2,0)</f>
        <v/>
      </c>
      <c r="F473" s="4">
        <f>SUMIFS('Dubai Stock'!I:I,'Dubai Stock'!H:H,Final_UAE!B:B)</f>
        <v/>
      </c>
      <c r="H473" s="8" t="e">
        <v>#N/A</v>
      </c>
      <c r="I473" s="8" t="n"/>
    </row>
    <row r="474">
      <c r="A474" s="4" t="n">
        <v>33834</v>
      </c>
      <c r="B474" s="4" t="inlineStr">
        <is>
          <t>clstdai-acu-dfvi-p30-sn0100</t>
        </is>
      </c>
      <c r="C474" s="4" t="inlineStr">
        <is>
          <t>W00031886A</t>
        </is>
      </c>
      <c r="D474" s="6">
        <f>IF(F474&gt;=5, F474-5, IF(F474&lt;5, 0, F474))</f>
        <v/>
      </c>
      <c r="E474">
        <f>VLOOKUP(B474,[1]Namshi!$A:$B,2,0)</f>
        <v/>
      </c>
      <c r="F474" s="4">
        <f>SUMIFS('Dubai Stock'!I:I,'Dubai Stock'!H:H,Final_UAE!B:B)</f>
        <v/>
      </c>
      <c r="H474" s="8" t="e">
        <v>#N/A</v>
      </c>
      <c r="I474" s="8" t="n"/>
    </row>
    <row r="475">
      <c r="A475" s="4" t="n">
        <v>33834</v>
      </c>
      <c r="B475" s="4" t="inlineStr">
        <is>
          <t>costdai-acu-dffr-p30-green-sn0300</t>
        </is>
      </c>
      <c r="C475" s="4" t="inlineStr">
        <is>
          <t>W00031886A</t>
        </is>
      </c>
      <c r="D475" s="6">
        <f>IF(F475&gt;=5, F475-5, IF(F475&lt;5, 0, F475))</f>
        <v/>
      </c>
      <c r="E475">
        <f>VLOOKUP(B475,[1]Namshi!$A:$B,2,0)</f>
        <v/>
      </c>
      <c r="F475" s="4">
        <f>SUMIFS('Dubai Stock'!I:I,'Dubai Stock'!H:H,Final_UAE!B:B)</f>
        <v/>
      </c>
      <c r="H475" s="8" t="e">
        <v>#N/A</v>
      </c>
      <c r="I475" s="8" t="n"/>
    </row>
    <row r="476">
      <c r="A476" s="4" t="n">
        <v>33834</v>
      </c>
      <c r="B476" s="4" t="inlineStr">
        <is>
          <t>sm70404-30s-000246-0404-61</t>
        </is>
      </c>
      <c r="C476" s="4" t="inlineStr">
        <is>
          <t>W00031886A</t>
        </is>
      </c>
      <c r="D476" s="6">
        <f>IF(F476&gt;=5, F476-5, IF(F476&lt;5, 0, F476))</f>
        <v/>
      </c>
      <c r="E476">
        <f>VLOOKUP(B476,[1]Namshi!$A:$B,2,0)</f>
        <v/>
      </c>
      <c r="F476" s="4">
        <f>SUMIFS('Dubai Stock'!I:I,'Dubai Stock'!H:H,Final_UAE!B:B)</f>
        <v/>
      </c>
      <c r="H476" s="8" t="e">
        <v>#N/A</v>
      </c>
    </row>
    <row r="477">
      <c r="A477" s="4" t="n">
        <v>33834</v>
      </c>
      <c r="B477" s="4" t="inlineStr">
        <is>
          <t>clstdai-lay-cont-p30-dazzle-brown-sn0750</t>
        </is>
      </c>
      <c r="C477" s="4" t="inlineStr">
        <is>
          <t>W00031886A</t>
        </is>
      </c>
      <c r="D477" s="6">
        <f>IF(F477&gt;=5, F477-5, IF(F477&lt;5, 0, F477))</f>
        <v/>
      </c>
      <c r="E477">
        <f>VLOOKUP(B477,[1]Namshi!$A:$B,2,0)</f>
        <v/>
      </c>
      <c r="F477" s="4">
        <f>SUMIFS('Dubai Stock'!I:I,'Dubai Stock'!H:H,Final_UAE!B:B)</f>
        <v/>
      </c>
      <c r="H477" s="8" t="e">
        <v>#N/A</v>
      </c>
      <c r="I477" s="8" t="n"/>
    </row>
    <row r="478">
      <c r="A478" s="4" t="n">
        <v>33834</v>
      </c>
      <c r="B478" s="4" t="inlineStr">
        <is>
          <t>su50506-bla-000105-2706-59</t>
        </is>
      </c>
      <c r="C478" s="4" t="inlineStr">
        <is>
          <t>W00031886A</t>
        </is>
      </c>
      <c r="D478" s="6">
        <f>IF(F478&gt;=5, F478-5, IF(F478&lt;5, 0, F478))</f>
        <v/>
      </c>
      <c r="E478">
        <f>VLOOKUP(B478,[1]Namshi!$A:$B,2,0)</f>
        <v/>
      </c>
      <c r="F478" s="4">
        <f>SUMIFS('Dubai Stock'!I:I,'Dubai Stock'!H:H,Final_UAE!B:B)</f>
        <v/>
      </c>
      <c r="H478" s="8" t="e">
        <v>#N/A</v>
      </c>
    </row>
    <row r="479">
      <c r="A479" s="4" t="n">
        <v>33834</v>
      </c>
      <c r="B479" s="4" t="inlineStr">
        <is>
          <t>clstdai-eve-elit-p90-sn0275</t>
        </is>
      </c>
      <c r="C479" s="4" t="inlineStr">
        <is>
          <t>W00031886A</t>
        </is>
      </c>
      <c r="D479" s="6">
        <f>IF(F479&gt;=5, F479-5, IF(F479&lt;5, 0, F479))</f>
        <v/>
      </c>
      <c r="E479">
        <f>VLOOKUP(B479,[1]Namshi!$A:$B,2,0)</f>
        <v/>
      </c>
      <c r="F479" s="4">
        <f>SUMIFS('Dubai Stock'!I:I,'Dubai Stock'!H:H,Final_UAE!B:B)</f>
        <v/>
      </c>
      <c r="H479" s="8" t="n">
        <v>729</v>
      </c>
      <c r="I479" s="8" t="n">
        <v>357</v>
      </c>
    </row>
    <row r="480">
      <c r="A480" s="4" t="n">
        <v>33834</v>
      </c>
      <c r="B480" s="4" t="inlineStr">
        <is>
          <t>clstdai-dai-aqua-p90-sn0550</t>
        </is>
      </c>
      <c r="C480" s="4" t="inlineStr">
        <is>
          <t>W00031886A</t>
        </is>
      </c>
      <c r="D480" s="6">
        <f>IF(F480&gt;=5, F480-5, IF(F480&lt;5, 0, F480))</f>
        <v/>
      </c>
      <c r="E480">
        <f>VLOOKUP(B480,[1]Namshi!$A:$B,2,0)</f>
        <v/>
      </c>
      <c r="F480" s="4">
        <f>SUMIFS('Dubai Stock'!I:I,'Dubai Stock'!H:H,Final_UAE!B:B)</f>
        <v/>
      </c>
      <c r="H480" s="8" t="e">
        <v>#N/A</v>
      </c>
      <c r="I480" s="8" t="n"/>
    </row>
    <row r="481">
      <c r="A481" s="4" t="n">
        <v>33834</v>
      </c>
      <c r="B481" s="4" t="inlineStr">
        <is>
          <t>clstmon-sof-sl59-p06-sn0175</t>
        </is>
      </c>
      <c r="C481" s="4" t="inlineStr">
        <is>
          <t>W00031886A</t>
        </is>
      </c>
      <c r="D481" s="6">
        <f>IF(F481&gt;=5, F481-5, IF(F481&lt;5, 0, F481))</f>
        <v/>
      </c>
      <c r="E481">
        <f>VLOOKUP(B481,[1]Namshi!$A:$B,2,0)</f>
        <v/>
      </c>
      <c r="F481" s="4">
        <f>SUMIFS('Dubai Stock'!I:I,'Dubai Stock'!H:H,Final_UAE!B:B)</f>
        <v/>
      </c>
      <c r="H481" s="8" t="e">
        <v>#N/A</v>
      </c>
      <c r="I481" s="8" t="n"/>
    </row>
    <row r="482">
      <c r="A482" s="4" t="n">
        <v>33834</v>
      </c>
      <c r="B482" s="4" t="inlineStr">
        <is>
          <t>fm40418-spc-000561-0400-52</t>
        </is>
      </c>
      <c r="C482" s="4" t="inlineStr">
        <is>
          <t>W00031886A</t>
        </is>
      </c>
      <c r="D482" s="6">
        <f>IF(F482&gt;=5, F482-5, IF(F482&lt;5, 0, F482))</f>
        <v/>
      </c>
      <c r="E482">
        <f>VLOOKUP(B482,[1]Namshi!$A:$B,2,0)</f>
        <v/>
      </c>
      <c r="F482" s="4">
        <f>SUMIFS('Dubai Stock'!I:I,'Dubai Stock'!H:H,Final_UAE!B:B)</f>
        <v/>
      </c>
      <c r="H482" s="8" t="e">
        <v>#N/A</v>
      </c>
      <c r="I482" s="8" t="n"/>
    </row>
    <row r="483">
      <c r="A483" s="4" t="n">
        <v>33834</v>
      </c>
      <c r="B483" s="4" t="inlineStr">
        <is>
          <t>clstdai-acu-oasy-p120-sn1100</t>
        </is>
      </c>
      <c r="C483" s="4" t="inlineStr">
        <is>
          <t>W00031886A</t>
        </is>
      </c>
      <c r="D483" s="6">
        <f>IF(F483&gt;=5, F483-5, IF(F483&lt;5, 0, F483))</f>
        <v/>
      </c>
      <c r="E483">
        <f>VLOOKUP(B483,[1]Namshi!$A:$B,2,0)</f>
        <v/>
      </c>
      <c r="F483" s="4">
        <f>SUMIFS('Dubai Stock'!I:I,'Dubai Stock'!H:H,Final_UAE!B:B)</f>
        <v/>
      </c>
      <c r="H483" s="8" t="e">
        <v>#N/A</v>
      </c>
      <c r="I483" s="8" t="n"/>
    </row>
    <row r="484">
      <c r="A484" s="4" t="n">
        <v>33834</v>
      </c>
      <c r="B484" s="4" t="inlineStr">
        <is>
          <t>clstdai-acu-oasy-p30-sn0475</t>
        </is>
      </c>
      <c r="C484" s="4" t="inlineStr">
        <is>
          <t>W00031886A</t>
        </is>
      </c>
      <c r="D484" s="6">
        <f>IF(F484&gt;=5, F484-5, IF(F484&lt;5, 0, F484))</f>
        <v/>
      </c>
      <c r="E484">
        <f>VLOOKUP(B484,[1]Namshi!$A:$B,2,0)</f>
        <v/>
      </c>
      <c r="F484" s="4">
        <f>SUMIFS('Dubai Stock'!I:I,'Dubai Stock'!H:H,Final_UAE!B:B)</f>
        <v/>
      </c>
      <c r="H484" s="8" t="e">
        <v>#N/A</v>
      </c>
      <c r="I484" s="8" t="n"/>
    </row>
    <row r="485">
      <c r="A485" s="4" t="n">
        <v>33834</v>
      </c>
      <c r="B485" s="4" t="inlineStr">
        <is>
          <t>sc20904-bab-000517-1504d-43</t>
        </is>
      </c>
      <c r="C485" s="4" t="inlineStr">
        <is>
          <t>W00031886A</t>
        </is>
      </c>
      <c r="D485" s="6">
        <f>IF(F485&gt;=5, F485-5, IF(F485&lt;5, 0, F485))</f>
        <v/>
      </c>
      <c r="E485">
        <f>VLOOKUP(B485,[1]Namshi!$A:$B,2,0)</f>
        <v/>
      </c>
      <c r="F485" s="4">
        <f>SUMIFS('Dubai Stock'!I:I,'Dubai Stock'!H:H,Final_UAE!B:B)</f>
        <v/>
      </c>
      <c r="H485" s="8" t="e">
        <v>#N/A</v>
      </c>
    </row>
    <row r="486">
      <c r="A486" s="4" t="n">
        <v>33834</v>
      </c>
      <c r="B486" s="4" t="inlineStr">
        <is>
          <t>fm20118-spc-000610-0118-48</t>
        </is>
      </c>
      <c r="C486" s="4" t="inlineStr">
        <is>
          <t>W00031886A</t>
        </is>
      </c>
      <c r="D486" s="6">
        <f>IF(F486&gt;=5, F486-5, IF(F486&lt;5, 0, F486))</f>
        <v/>
      </c>
      <c r="E486">
        <f>VLOOKUP(B486,[1]Namshi!$A:$B,2,0)</f>
        <v/>
      </c>
      <c r="F486" s="4">
        <f>SUMIFS('Dubai Stock'!I:I,'Dubai Stock'!H:H,Final_UAE!B:B)</f>
        <v/>
      </c>
      <c r="H486" s="8" t="e">
        <v>#N/A</v>
      </c>
      <c r="I486" s="8" t="n"/>
    </row>
    <row r="487">
      <c r="A487" s="4" t="n">
        <v>33834</v>
      </c>
      <c r="B487" s="4" t="inlineStr">
        <is>
          <t>clstdai-lay-cont-p10-dazzle-brown-sn0800</t>
        </is>
      </c>
      <c r="C487" s="4" t="inlineStr">
        <is>
          <t>W00031886A</t>
        </is>
      </c>
      <c r="D487" s="6">
        <f>IF(F487&gt;=5, F487-5, IF(F487&lt;5, 0, F487))</f>
        <v/>
      </c>
      <c r="E487">
        <f>VLOOKUP(B487,[1]Namshi!$A:$B,2,0)</f>
        <v/>
      </c>
      <c r="F487" s="4">
        <f>SUMIFS('Dubai Stock'!I:I,'Dubai Stock'!H:H,Final_UAE!B:B)</f>
        <v/>
      </c>
      <c r="H487" s="8" t="e">
        <v>#N/A</v>
      </c>
      <c r="I487" s="8" t="n"/>
    </row>
    <row r="488">
      <c r="A488" s="4" t="n">
        <v>33834</v>
      </c>
      <c r="B488" s="4" t="inlineStr">
        <is>
          <t>cltobiw-acu-oasy-p06-sn0750-cn0075-a040</t>
        </is>
      </c>
      <c r="C488" s="4" t="inlineStr">
        <is>
          <t>W00031886A</t>
        </is>
      </c>
      <c r="D488" s="6">
        <f>IF(F488&gt;=5, F488-5, IF(F488&lt;5, 0, F488))</f>
        <v/>
      </c>
      <c r="E488">
        <f>VLOOKUP(B488,[1]Namshi!$A:$B,2,0)</f>
        <v/>
      </c>
      <c r="F488" s="4">
        <f>SUMIFS('Dubai Stock'!I:I,'Dubai Stock'!H:H,Final_UAE!B:B)</f>
        <v/>
      </c>
      <c r="H488" s="8" t="e">
        <v>#N/A</v>
      </c>
      <c r="I488" s="8" t="n"/>
    </row>
    <row r="489">
      <c r="A489" s="4" t="n">
        <v>33834</v>
      </c>
      <c r="B489" s="4" t="inlineStr">
        <is>
          <t>costmon-ama-2020-p02-charcoal-gray-sn0150</t>
        </is>
      </c>
      <c r="C489" s="4" t="inlineStr">
        <is>
          <t>W00031886A</t>
        </is>
      </c>
      <c r="D489" s="6">
        <f>IF(F489&gt;=5, F489-5, IF(F489&lt;5, 0, F489))</f>
        <v/>
      </c>
      <c r="E489">
        <f>VLOOKUP(B489,[1]Namshi!$A:$B,2,0)</f>
        <v/>
      </c>
      <c r="F489" s="4">
        <f>SUMIFS('Dubai Stock'!I:I,'Dubai Stock'!H:H,Final_UAE!B:B)</f>
        <v/>
      </c>
      <c r="H489" s="8" t="e">
        <v>#N/A</v>
      </c>
      <c r="I489" s="8" t="n"/>
    </row>
    <row r="490">
      <c r="A490" s="4" t="n">
        <v>33834</v>
      </c>
      <c r="B490" s="4" t="inlineStr">
        <is>
          <t>sunglasses-30Sundays-30s-00448-1806p</t>
        </is>
      </c>
      <c r="C490" s="4" t="inlineStr">
        <is>
          <t>W00031886A</t>
        </is>
      </c>
      <c r="D490" s="6">
        <f>IF(F490&gt;=5, F490-5, IF(F490&lt;5, 0, F490))</f>
        <v/>
      </c>
      <c r="E490">
        <f>VLOOKUP(B490,[1]Namshi!$A:$B,2,0)</f>
        <v/>
      </c>
      <c r="F490" s="4">
        <f>SUMIFS('Dubai Stock'!I:I,'Dubai Stock'!H:H,Final_UAE!B:B)</f>
        <v/>
      </c>
      <c r="H490" s="8" t="e">
        <v>#N/A</v>
      </c>
      <c r="I490" s="8" t="n"/>
    </row>
    <row r="491">
      <c r="A491" s="4" t="n">
        <v>33834</v>
      </c>
      <c r="B491" s="4" t="inlineStr">
        <is>
          <t>cost3mo-lay-lens-p02-chocolate-brown-sn0050</t>
        </is>
      </c>
      <c r="C491" s="4" t="inlineStr">
        <is>
          <t>W00031886A</t>
        </is>
      </c>
      <c r="D491" s="6">
        <f>IF(F491&gt;=5, F491-5, IF(F491&lt;5, 0, F491))</f>
        <v/>
      </c>
      <c r="E491">
        <f>VLOOKUP(B491,[1]Namshi!$A:$B,2,0)</f>
        <v/>
      </c>
      <c r="F491" s="4">
        <f>SUMIFS('Dubai Stock'!I:I,'Dubai Stock'!H:H,Final_UAE!B:B)</f>
        <v/>
      </c>
      <c r="H491" s="8" t="e">
        <v>#N/A</v>
      </c>
      <c r="I491" s="8" t="n"/>
    </row>
    <row r="492">
      <c r="A492" s="4" t="n">
        <v>33834</v>
      </c>
      <c r="B492" s="4" t="inlineStr">
        <is>
          <t>costdai-acu-dffr-p10-hazel-sn0225</t>
        </is>
      </c>
      <c r="C492" s="4" t="inlineStr">
        <is>
          <t>W00031886A</t>
        </is>
      </c>
      <c r="D492" s="6">
        <f>IF(F492&gt;=5, F492-5, IF(F492&lt;5, 0, F492))</f>
        <v/>
      </c>
      <c r="E492">
        <f>VLOOKUP(B492,[1]Namshi!$A:$B,2,0)</f>
        <v/>
      </c>
      <c r="F492" s="4">
        <f>SUMIFS('Dubai Stock'!I:I,'Dubai Stock'!H:H,Final_UAE!B:B)</f>
        <v/>
      </c>
      <c r="H492" s="8" t="e">
        <v>#N/A</v>
      </c>
      <c r="I492" s="8" t="n"/>
    </row>
    <row r="493">
      <c r="A493" s="4" t="n">
        <v>33834</v>
      </c>
      <c r="B493" s="4" t="inlineStr">
        <is>
          <t>sw30707-30s-000455-0707-54</t>
        </is>
      </c>
      <c r="C493" s="4" t="inlineStr">
        <is>
          <t>W00031886A</t>
        </is>
      </c>
      <c r="D493" s="6">
        <f>IF(F493&gt;=5, F493-5, IF(F493&lt;5, 0, F493))</f>
        <v/>
      </c>
      <c r="E493">
        <f>VLOOKUP(B493,[1]Namshi!$A:$B,2,0)</f>
        <v/>
      </c>
      <c r="F493" s="4">
        <f>SUMIFS('Dubai Stock'!I:I,'Dubai Stock'!H:H,Final_UAE!B:B)</f>
        <v/>
      </c>
      <c r="H493" s="8" t="e">
        <v>#N/A</v>
      </c>
    </row>
    <row r="494">
      <c r="A494" s="4" t="n">
        <v>33834</v>
      </c>
      <c r="B494" s="4" t="inlineStr">
        <is>
          <t>costdai-acu-dffr-p30-grayzel-sn0150</t>
        </is>
      </c>
      <c r="C494" s="4" t="inlineStr">
        <is>
          <t>W00031886A</t>
        </is>
      </c>
      <c r="D494" s="6">
        <f>IF(F494&gt;=5, F494-5, IF(F494&lt;5, 0, F494))</f>
        <v/>
      </c>
      <c r="E494">
        <f>VLOOKUP(B494,[1]Namshi!$A:$B,2,0)</f>
        <v/>
      </c>
      <c r="F494" s="4">
        <f>SUMIFS('Dubai Stock'!I:I,'Dubai Stock'!H:H,Final_UAE!B:B)</f>
        <v/>
      </c>
      <c r="H494" s="8" t="e">
        <v>#N/A</v>
      </c>
      <c r="I494" s="8" t="n"/>
    </row>
    <row r="495">
      <c r="A495" s="4" t="n">
        <v>33834</v>
      </c>
      <c r="B495" s="4" t="inlineStr">
        <is>
          <t>cost3mo-lay-2021-p02-stardust-gray-sn0450</t>
        </is>
      </c>
      <c r="C495" s="4" t="inlineStr">
        <is>
          <t>W00031886A</t>
        </is>
      </c>
      <c r="D495" s="6">
        <f>IF(F495&gt;=5, F495-5, IF(F495&lt;5, 0, F495))</f>
        <v/>
      </c>
      <c r="E495">
        <f>VLOOKUP(B495,[1]Namshi!$A:$B,2,0)</f>
        <v/>
      </c>
      <c r="F495" s="4">
        <f>SUMIFS('Dubai Stock'!I:I,'Dubai Stock'!H:H,Final_UAE!B:B)</f>
        <v/>
      </c>
      <c r="H495" s="8" t="e">
        <v>#N/A</v>
      </c>
      <c r="I495" s="8" t="n"/>
    </row>
    <row r="496">
      <c r="A496" s="4" t="n">
        <v>33834</v>
      </c>
      <c r="B496" s="4" t="inlineStr">
        <is>
          <t>clstdai-acu-oasy-p90-sn0800</t>
        </is>
      </c>
      <c r="C496" s="4" t="inlineStr">
        <is>
          <t>W00031886A</t>
        </is>
      </c>
      <c r="D496" s="6">
        <f>IF(F496&gt;=5, F496-5, IF(F496&lt;5, 0, F496))</f>
        <v/>
      </c>
      <c r="E496">
        <f>VLOOKUP(B496,[1]Namshi!$A:$B,2,0)</f>
        <v/>
      </c>
      <c r="F496" s="4">
        <f>SUMIFS('Dubai Stock'!I:I,'Dubai Stock'!H:H,Final_UAE!B:B)</f>
        <v/>
      </c>
      <c r="H496" s="8" t="e">
        <v>#N/A</v>
      </c>
      <c r="I496" s="8" t="n"/>
    </row>
    <row r="497">
      <c r="A497" s="4" t="n">
        <v>33834</v>
      </c>
      <c r="B497" s="4" t="inlineStr">
        <is>
          <t>clstdai-acu-dfrb-p90-sn0300</t>
        </is>
      </c>
      <c r="C497" s="4" t="inlineStr">
        <is>
          <t>W00031886A</t>
        </is>
      </c>
      <c r="D497" s="6">
        <f>IF(F497&gt;=5, F497-5, IF(F497&lt;5, 0, F497))</f>
        <v/>
      </c>
      <c r="E497">
        <f>VLOOKUP(B497,[1]Namshi!$A:$B,2,0)</f>
        <v/>
      </c>
      <c r="F497" s="4">
        <f>SUMIFS('Dubai Stock'!I:I,'Dubai Stock'!H:H,Final_UAE!B:B)</f>
        <v/>
      </c>
      <c r="H497" s="8" t="e">
        <v>#N/A</v>
      </c>
      <c r="I497" s="8" t="n"/>
    </row>
    <row r="498">
      <c r="A498" s="4" t="n">
        <v>33834</v>
      </c>
      <c r="B498" s="4" t="inlineStr">
        <is>
          <t>costdai-ama-dail-p10-amber-sn0350</t>
        </is>
      </c>
      <c r="C498" s="4" t="inlineStr">
        <is>
          <t>W00031886A</t>
        </is>
      </c>
      <c r="D498" s="6">
        <f>IF(F498&gt;=5, F498-5, IF(F498&lt;5, 0, F498))</f>
        <v/>
      </c>
      <c r="E498">
        <f>VLOOKUP(B498,[1]Namshi!$A:$B,2,0)</f>
        <v/>
      </c>
      <c r="F498" s="4">
        <f>SUMIFS('Dubai Stock'!I:I,'Dubai Stock'!H:H,Final_UAE!B:B)</f>
        <v/>
      </c>
      <c r="H498" s="8" t="e">
        <v>#N/A</v>
      </c>
      <c r="I498" s="8" t="n"/>
    </row>
    <row r="499">
      <c r="A499" s="4" t="n">
        <v>33834</v>
      </c>
      <c r="B499" s="4" t="inlineStr">
        <is>
          <t>cost3mo-lay-2022-p02-crescent-gray-sn0600</t>
        </is>
      </c>
      <c r="C499" s="4" t="inlineStr">
        <is>
          <t>W00031886A</t>
        </is>
      </c>
      <c r="D499" s="6">
        <f>IF(F499&gt;=5, F499-5, IF(F499&lt;5, 0, F499))</f>
        <v/>
      </c>
      <c r="E499">
        <f>VLOOKUP(B499,[1]Namshi!$A:$B,2,0)</f>
        <v/>
      </c>
      <c r="F499" s="4">
        <f>SUMIFS('Dubai Stock'!I:I,'Dubai Stock'!H:H,Final_UAE!B:B)</f>
        <v/>
      </c>
      <c r="H499" s="8" t="e">
        <v>#N/A</v>
      </c>
      <c r="I499" s="8" t="n"/>
    </row>
    <row r="500">
      <c r="A500" s="4" t="n">
        <v>33834</v>
      </c>
      <c r="B500" s="4" t="inlineStr">
        <is>
          <t>clstdai-sof-sdai-p90-sn0150</t>
        </is>
      </c>
      <c r="C500" s="4" t="inlineStr">
        <is>
          <t>W00031886A</t>
        </is>
      </c>
      <c r="D500" s="6">
        <f>IF(F500&gt;=5, F500-5, IF(F500&lt;5, 0, F500))</f>
        <v/>
      </c>
      <c r="E500">
        <f>VLOOKUP(B500,[1]Namshi!$A:$B,2,0)</f>
        <v/>
      </c>
      <c r="F500" s="4">
        <f>SUMIFS('Dubai Stock'!I:I,'Dubai Stock'!H:H,Final_UAE!B:B)</f>
        <v/>
      </c>
      <c r="H500" s="8" t="e">
        <v>#N/A</v>
      </c>
      <c r="I500" s="8" t="n"/>
    </row>
    <row r="501">
      <c r="A501" s="4" t="n">
        <v>33834</v>
      </c>
      <c r="B501" s="4" t="inlineStr">
        <is>
          <t>sw40107-bla-000302-0107-54</t>
        </is>
      </c>
      <c r="C501" s="4" t="inlineStr">
        <is>
          <t>W00031886A</t>
        </is>
      </c>
      <c r="D501" s="6">
        <f>IF(F501&gt;=5, F501-5, IF(F501&lt;5, 0, F501))</f>
        <v/>
      </c>
      <c r="E501">
        <f>VLOOKUP(B501,[1]Namshi!$A:$B,2,0)</f>
        <v/>
      </c>
      <c r="F501" s="4">
        <f>SUMIFS('Dubai Stock'!I:I,'Dubai Stock'!H:H,Final_UAE!B:B)</f>
        <v/>
      </c>
      <c r="H501" s="8" t="e">
        <v>#N/A</v>
      </c>
      <c r="I501" s="8" t="n"/>
    </row>
    <row r="502">
      <c r="A502" s="4" t="n">
        <v>33834</v>
      </c>
      <c r="B502" s="4" t="inlineStr">
        <is>
          <t>sw30107-bla-000248-0101-52</t>
        </is>
      </c>
      <c r="C502" s="4" t="inlineStr">
        <is>
          <t>W00031886A</t>
        </is>
      </c>
      <c r="D502" s="6">
        <f>IF(F502&gt;=5, F502-5, IF(F502&lt;5, 0, F502))</f>
        <v/>
      </c>
      <c r="E502">
        <f>VLOOKUP(B502,[1]Namshi!$A:$B,2,0)</f>
        <v/>
      </c>
      <c r="F502" s="4">
        <f>SUMIFS('Dubai Stock'!I:I,'Dubai Stock'!H:H,Final_UAE!B:B)</f>
        <v/>
      </c>
      <c r="H502" s="8" t="e">
        <v>#N/A</v>
      </c>
    </row>
    <row r="503">
      <c r="A503" s="4" t="n">
        <v>33834</v>
      </c>
      <c r="B503" s="4" t="inlineStr">
        <is>
          <t>costmon-ama-2023-p02-chai-sn0100</t>
        </is>
      </c>
      <c r="C503" s="4" t="inlineStr">
        <is>
          <t>W00031886A</t>
        </is>
      </c>
      <c r="D503" s="6">
        <f>IF(F503&gt;=5, F503-5, IF(F503&lt;5, 0, F503))</f>
        <v/>
      </c>
      <c r="E503">
        <f>VLOOKUP(B503,[1]Namshi!$A:$B,2,0)</f>
        <v/>
      </c>
      <c r="F503" s="4">
        <f>SUMIFS('Dubai Stock'!I:I,'Dubai Stock'!H:H,Final_UAE!B:B)</f>
        <v/>
      </c>
      <c r="H503" s="8" t="e">
        <v>#N/A</v>
      </c>
      <c r="I503" s="8" t="n"/>
    </row>
    <row r="504">
      <c r="A504" s="4" t="n">
        <v>33834</v>
      </c>
      <c r="B504" s="4" t="inlineStr">
        <is>
          <t>clstdai-acu-omax-p30-sp0150</t>
        </is>
      </c>
      <c r="C504" s="4" t="inlineStr">
        <is>
          <t>W00031886A</t>
        </is>
      </c>
      <c r="D504" s="6">
        <f>IF(F504&gt;=5, F504-5, IF(F504&lt;5, 0, F504))</f>
        <v/>
      </c>
      <c r="E504">
        <f>VLOOKUP(B504,[1]Namshi!$A:$B,2,0)</f>
        <v/>
      </c>
      <c r="F504" s="4">
        <f>SUMIFS('Dubai Stock'!I:I,'Dubai Stock'!H:H,Final_UAE!B:B)</f>
        <v/>
      </c>
      <c r="H504" s="8" t="e">
        <v>#N/A</v>
      </c>
      <c r="I504" s="8" t="n"/>
    </row>
    <row r="505">
      <c r="A505" s="4" t="n">
        <v>33834</v>
      </c>
      <c r="B505" s="4" t="inlineStr">
        <is>
          <t>clstdai-eve-elit-p30-sn0475</t>
        </is>
      </c>
      <c r="C505" s="4" t="inlineStr">
        <is>
          <t>W00031886A</t>
        </is>
      </c>
      <c r="D505" s="6">
        <f>IF(F505&gt;=5, F505-5, IF(F505&lt;5, 0, F505))</f>
        <v/>
      </c>
      <c r="E505">
        <f>VLOOKUP(B505,[1]Namshi!$A:$B,2,0)</f>
        <v/>
      </c>
      <c r="F505" s="4">
        <f>SUMIFS('Dubai Stock'!I:I,'Dubai Stock'!H:H,Final_UAE!B:B)</f>
        <v/>
      </c>
      <c r="H505" s="8" t="n">
        <v>261</v>
      </c>
      <c r="I505" s="8" t="n">
        <v>146.3</v>
      </c>
    </row>
    <row r="506">
      <c r="A506" s="4" t="n">
        <v>33834</v>
      </c>
      <c r="B506" s="4" t="inlineStr">
        <is>
          <t>clstdai-lay-cont-p60-dazzle-brown-sn0125</t>
        </is>
      </c>
      <c r="C506" s="4" t="inlineStr">
        <is>
          <t>W00031886A</t>
        </is>
      </c>
      <c r="D506" s="6">
        <f>IF(F506&gt;=5, F506-5, IF(F506&lt;5, 0, F506))</f>
        <v/>
      </c>
      <c r="E506">
        <f>VLOOKUP(B506,[1]Namshi!$A:$B,2,0)</f>
        <v/>
      </c>
      <c r="F506" s="4">
        <f>SUMIFS('Dubai Stock'!I:I,'Dubai Stock'!H:H,Final_UAE!B:B)</f>
        <v/>
      </c>
      <c r="H506" s="8" t="e">
        <v>#N/A</v>
      </c>
      <c r="I506" s="8" t="n"/>
    </row>
    <row r="507">
      <c r="A507" s="4" t="n">
        <v>33834</v>
      </c>
      <c r="B507" s="4" t="inlineStr">
        <is>
          <t>costmon-ama-2022-p02-dream-sn0550</t>
        </is>
      </c>
      <c r="C507" s="4" t="inlineStr">
        <is>
          <t>W00031886A</t>
        </is>
      </c>
      <c r="D507" s="6">
        <f>IF(F507&gt;=5, F507-5, IF(F507&lt;5, 0, F507))</f>
        <v/>
      </c>
      <c r="E507">
        <f>VLOOKUP(B507,[1]Namshi!$A:$B,2,0)</f>
        <v/>
      </c>
      <c r="F507" s="4">
        <f>SUMIFS('Dubai Stock'!I:I,'Dubai Stock'!H:H,Final_UAE!B:B)</f>
        <v/>
      </c>
      <c r="H507" s="8" t="e">
        <v>#N/A</v>
      </c>
      <c r="I507" s="8" t="n"/>
    </row>
    <row r="508">
      <c r="A508" s="4" t="n">
        <v>33834</v>
      </c>
      <c r="B508" s="4" t="inlineStr">
        <is>
          <t>clstdai-dai-tot1-p90-sp0250</t>
        </is>
      </c>
      <c r="C508" s="4" t="inlineStr">
        <is>
          <t>W00031886A</t>
        </is>
      </c>
      <c r="D508" s="6">
        <f>IF(F508&gt;=5, F508-5, IF(F508&lt;5, 0, F508))</f>
        <v/>
      </c>
      <c r="E508">
        <f>VLOOKUP(B508,[1]Namshi!$A:$B,2,0)</f>
        <v/>
      </c>
      <c r="F508" s="4">
        <f>SUMIFS('Dubai Stock'!I:I,'Dubai Stock'!H:H,Final_UAE!B:B)</f>
        <v/>
      </c>
      <c r="H508" s="8" t="e">
        <v>#N/A</v>
      </c>
      <c r="I508" s="8" t="n"/>
    </row>
    <row r="509">
      <c r="A509" s="4" t="n">
        <v>33834</v>
      </c>
      <c r="B509" s="4" t="inlineStr">
        <is>
          <t>costmon-ama-lens-p02-mocca-sn0550</t>
        </is>
      </c>
      <c r="C509" s="4" t="inlineStr">
        <is>
          <t>W00031886A</t>
        </is>
      </c>
      <c r="D509" s="6">
        <f>IF(F509&gt;=5, F509-5, IF(F509&lt;5, 0, F509))</f>
        <v/>
      </c>
      <c r="E509">
        <f>VLOOKUP(B509,[1]Namshi!$A:$B,2,0)</f>
        <v/>
      </c>
      <c r="F509" s="4">
        <f>SUMIFS('Dubai Stock'!I:I,'Dubai Stock'!H:H,Final_UAE!B:B)</f>
        <v/>
      </c>
      <c r="H509" s="8" t="e">
        <v>#N/A</v>
      </c>
      <c r="I509" s="8" t="n"/>
    </row>
    <row r="510">
      <c r="A510" s="4" t="n">
        <v>33834</v>
      </c>
      <c r="B510" s="4" t="inlineStr">
        <is>
          <t>costmon-ama-lens-p02-crocodile-green-sn0425</t>
        </is>
      </c>
      <c r="C510" s="4" t="inlineStr">
        <is>
          <t>W00031886A</t>
        </is>
      </c>
      <c r="D510" s="6">
        <f>IF(F510&gt;=5, F510-5, IF(F510&lt;5, 0, F510))</f>
        <v/>
      </c>
      <c r="E510">
        <f>VLOOKUP(B510,[1]Namshi!$A:$B,2,0)</f>
        <v/>
      </c>
      <c r="F510" s="4">
        <f>SUMIFS('Dubai Stock'!I:I,'Dubai Stock'!H:H,Final_UAE!B:B)</f>
        <v/>
      </c>
      <c r="H510" s="8" t="e">
        <v>#N/A</v>
      </c>
      <c r="I510" s="8" t="n"/>
    </row>
    <row r="511">
      <c r="A511" s="4" t="n">
        <v>33834</v>
      </c>
      <c r="B511" s="4" t="inlineStr">
        <is>
          <t>clstdai-lay-cont-p10-dazzle-black-sn0850</t>
        </is>
      </c>
      <c r="C511" s="4" t="inlineStr">
        <is>
          <t>W00031886A</t>
        </is>
      </c>
      <c r="D511" s="6">
        <f>IF(F511&gt;=5, F511-5, IF(F511&lt;5, 0, F511))</f>
        <v/>
      </c>
      <c r="E511">
        <f>VLOOKUP(B511,[1]Namshi!$A:$B,2,0)</f>
        <v/>
      </c>
      <c r="F511" s="4">
        <f>SUMIFS('Dubai Stock'!I:I,'Dubai Stock'!H:H,Final_UAE!B:B)</f>
        <v/>
      </c>
      <c r="H511" s="8" t="e">
        <v>#N/A</v>
      </c>
      <c r="I511" s="8" t="n"/>
    </row>
    <row r="512">
      <c r="A512" s="4" t="n">
        <v>33834</v>
      </c>
      <c r="B512" s="4" t="inlineStr">
        <is>
          <t>clstdai-eve-elit-p90-sn0475</t>
        </is>
      </c>
      <c r="C512" s="4" t="inlineStr">
        <is>
          <t>W00031886A</t>
        </is>
      </c>
      <c r="D512" s="6">
        <f>IF(F512&gt;=5, F512-5, IF(F512&lt;5, 0, F512))</f>
        <v/>
      </c>
      <c r="E512">
        <f>VLOOKUP(B512,[1]Namshi!$A:$B,2,0)</f>
        <v/>
      </c>
      <c r="F512" s="4">
        <f>SUMIFS('Dubai Stock'!I:I,'Dubai Stock'!H:H,Final_UAE!B:B)</f>
        <v/>
      </c>
      <c r="H512" s="8" t="n">
        <v>729</v>
      </c>
      <c r="I512" s="8" t="n">
        <v>357</v>
      </c>
    </row>
    <row r="513">
      <c r="A513" s="4" t="n">
        <v>33834</v>
      </c>
      <c r="B513" s="4" t="inlineStr">
        <is>
          <t>fc20218-bab-000252-0200-42</t>
        </is>
      </c>
      <c r="C513" s="4" t="inlineStr">
        <is>
          <t>W00031886A</t>
        </is>
      </c>
      <c r="D513" s="6">
        <f>IF(F513&gt;=5, F513-5, IF(F513&lt;5, 0, F513))</f>
        <v/>
      </c>
      <c r="E513">
        <f>VLOOKUP(B513,[1]Namshi!$A:$B,2,0)</f>
        <v/>
      </c>
      <c r="F513" s="4">
        <f>SUMIFS('Dubai Stock'!I:I,'Dubai Stock'!H:H,Final_UAE!B:B)</f>
        <v/>
      </c>
      <c r="H513" s="8" t="e">
        <v>#N/A</v>
      </c>
      <c r="I513" s="8" t="n"/>
    </row>
    <row r="514">
      <c r="A514" s="4" t="n">
        <v>33834</v>
      </c>
      <c r="B514" s="4" t="inlineStr">
        <is>
          <t>clstmon-ava-avai-p06-sn0350</t>
        </is>
      </c>
      <c r="C514" s="4" t="inlineStr">
        <is>
          <t>W00031886A</t>
        </is>
      </c>
      <c r="D514" s="6">
        <f>IF(F514&gt;=5, F514-5, IF(F514&lt;5, 0, F514))</f>
        <v/>
      </c>
      <c r="E514">
        <f>VLOOKUP(B514,[1]Namshi!$A:$B,2,0)</f>
        <v/>
      </c>
      <c r="F514" s="4">
        <f>SUMIFS('Dubai Stock'!I:I,'Dubai Stock'!H:H,Final_UAE!B:B)</f>
        <v/>
      </c>
      <c r="H514" s="8" t="e">
        <v>#N/A</v>
      </c>
      <c r="I514" s="8" t="n"/>
    </row>
    <row r="515">
      <c r="A515" s="4" t="n">
        <v>33834</v>
      </c>
      <c r="B515" s="4" t="inlineStr">
        <is>
          <t>sw40107-bla-000209-0107-51</t>
        </is>
      </c>
      <c r="C515" s="4" t="inlineStr">
        <is>
          <t>W00031886A</t>
        </is>
      </c>
      <c r="D515" s="6">
        <f>IF(F515&gt;=5, F515-5, IF(F515&lt;5, 0, F515))</f>
        <v/>
      </c>
      <c r="E515">
        <f>VLOOKUP(B515,[1]Namshi!$A:$B,2,0)</f>
        <v/>
      </c>
      <c r="F515" s="4">
        <f>SUMIFS('Dubai Stock'!I:I,'Dubai Stock'!H:H,Final_UAE!B:B)</f>
        <v/>
      </c>
      <c r="H515" s="8" t="e">
        <v>#N/A</v>
      </c>
    </row>
    <row r="516">
      <c r="A516" s="4" t="n">
        <v>33834</v>
      </c>
      <c r="B516" s="4" t="inlineStr">
        <is>
          <t>clstdai-sof-sdai-p30-sn0425</t>
        </is>
      </c>
      <c r="C516" s="4" t="inlineStr">
        <is>
          <t>W00031886A</t>
        </is>
      </c>
      <c r="D516" s="6">
        <f>IF(F516&gt;=5, F516-5, IF(F516&lt;5, 0, F516))</f>
        <v/>
      </c>
      <c r="E516">
        <f>VLOOKUP(B516,[1]Namshi!$A:$B,2,0)</f>
        <v/>
      </c>
      <c r="F516" s="4">
        <f>SUMIFS('Dubai Stock'!I:I,'Dubai Stock'!H:H,Final_UAE!B:B)</f>
        <v/>
      </c>
      <c r="H516" s="8" t="e">
        <v>#N/A</v>
      </c>
      <c r="I516" s="8" t="n"/>
    </row>
    <row r="517">
      <c r="A517" s="4" t="n">
        <v>33834</v>
      </c>
      <c r="B517" s="4" t="inlineStr">
        <is>
          <t>sw62906-bla-000300-2906-53</t>
        </is>
      </c>
      <c r="C517" s="4" t="inlineStr">
        <is>
          <t>W00031886A</t>
        </is>
      </c>
      <c r="D517" s="6">
        <f>IF(F517&gt;=5, F517-5, IF(F517&lt;5, 0, F517))</f>
        <v/>
      </c>
      <c r="E517">
        <f>VLOOKUP(B517,[1]Namshi!$A:$B,2,0)</f>
        <v/>
      </c>
      <c r="F517" s="4">
        <f>SUMIFS('Dubai Stock'!I:I,'Dubai Stock'!H:H,Final_UAE!B:B)</f>
        <v/>
      </c>
      <c r="H517" s="8" t="e">
        <v>#N/A</v>
      </c>
      <c r="I517" s="8" t="n"/>
    </row>
    <row r="518">
      <c r="A518" s="4" t="n">
        <v>33834</v>
      </c>
      <c r="B518" s="4" t="inlineStr">
        <is>
          <t>clstdai-cla-iris-p30-alicia-brown-sn0400</t>
        </is>
      </c>
      <c r="C518" s="4" t="inlineStr">
        <is>
          <t>W00031886A</t>
        </is>
      </c>
      <c r="D518" s="6">
        <f>IF(F518&gt;=5, F518-5, IF(F518&lt;5, 0, F518))</f>
        <v/>
      </c>
      <c r="E518">
        <f>VLOOKUP(B518,[1]Namshi!$A:$B,2,0)</f>
        <v/>
      </c>
      <c r="F518" s="4">
        <f>SUMIFS('Dubai Stock'!I:I,'Dubai Stock'!H:H,Final_UAE!B:B)</f>
        <v/>
      </c>
      <c r="H518" s="8" t="e">
        <v>#N/A</v>
      </c>
      <c r="I518" s="8" t="n"/>
    </row>
    <row r="519">
      <c r="A519" s="4" t="n">
        <v>33834</v>
      </c>
      <c r="B519" s="4" t="inlineStr">
        <is>
          <t>clstdai-acu-omax-p30-sp0550</t>
        </is>
      </c>
      <c r="C519" s="4" t="inlineStr">
        <is>
          <t>W00031886A</t>
        </is>
      </c>
      <c r="D519" s="6">
        <f>IF(F519&gt;=5, F519-5, IF(F519&lt;5, 0, F519))</f>
        <v/>
      </c>
      <c r="E519">
        <f>VLOOKUP(B519,[1]Namshi!$A:$B,2,0)</f>
        <v/>
      </c>
      <c r="F519" s="4">
        <f>SUMIFS('Dubai Stock'!I:I,'Dubai Stock'!H:H,Final_UAE!B:B)</f>
        <v/>
      </c>
      <c r="H519" s="8" t="e">
        <v>#N/A</v>
      </c>
      <c r="I519" s="8" t="n"/>
    </row>
    <row r="520">
      <c r="A520" s="4" t="n">
        <v>33834</v>
      </c>
      <c r="B520" s="4" t="inlineStr">
        <is>
          <t>sw32404-30s-000272-2404-49</t>
        </is>
      </c>
      <c r="C520" s="4" t="inlineStr">
        <is>
          <t>W00031886A</t>
        </is>
      </c>
      <c r="D520" s="6">
        <f>IF(F520&gt;=5, F520-5, IF(F520&lt;5, 0, F520))</f>
        <v/>
      </c>
      <c r="E520">
        <f>VLOOKUP(B520,[1]Namshi!$A:$B,2,0)</f>
        <v/>
      </c>
      <c r="F520" s="4">
        <f>SUMIFS('Dubai Stock'!I:I,'Dubai Stock'!H:H,Final_UAE!B:B)</f>
        <v/>
      </c>
      <c r="H520" s="8" t="e">
        <v>#N/A</v>
      </c>
    </row>
    <row r="521">
      <c r="A521" s="4" t="n">
        <v>33834</v>
      </c>
      <c r="B521" s="4" t="inlineStr">
        <is>
          <t>clstdai-eve-pure-p90-sn0525</t>
        </is>
      </c>
      <c r="C521" s="4" t="inlineStr">
        <is>
          <t>W00031886A</t>
        </is>
      </c>
      <c r="D521" s="6">
        <f>IF(F521&gt;=5, F521-5, IF(F521&lt;5, 0, F521))</f>
        <v/>
      </c>
      <c r="E521">
        <f>VLOOKUP(B521,[1]Namshi!$A:$B,2,0)</f>
        <v/>
      </c>
      <c r="F521" s="4">
        <f>SUMIFS('Dubai Stock'!I:I,'Dubai Stock'!H:H,Final_UAE!B:B)</f>
        <v/>
      </c>
      <c r="H521" s="8" t="n">
        <v>529</v>
      </c>
      <c r="I521" s="8" t="n">
        <v>259</v>
      </c>
    </row>
    <row r="522">
      <c r="A522" s="4" t="n">
        <v>33834</v>
      </c>
      <c r="B522" s="4" t="inlineStr">
        <is>
          <t>sw42404-bla-000305-2404-54</t>
        </is>
      </c>
      <c r="C522" s="4" t="inlineStr">
        <is>
          <t>W00031886A</t>
        </is>
      </c>
      <c r="D522" s="6">
        <f>IF(F522&gt;=5, F522-5, IF(F522&lt;5, 0, F522))</f>
        <v/>
      </c>
      <c r="E522">
        <f>VLOOKUP(B522,[1]Namshi!$A:$B,2,0)</f>
        <v/>
      </c>
      <c r="F522" s="4">
        <f>SUMIFS('Dubai Stock'!I:I,'Dubai Stock'!H:H,Final_UAE!B:B)</f>
        <v/>
      </c>
      <c r="H522" s="8" t="e">
        <v>#N/A</v>
      </c>
    </row>
    <row r="523">
      <c r="A523" s="4" t="n">
        <v>33834</v>
      </c>
      <c r="B523" s="4" t="inlineStr">
        <is>
          <t>clstdai-acu-mois-p90-sn0475</t>
        </is>
      </c>
      <c r="C523" s="4" t="inlineStr">
        <is>
          <t>W00031886A</t>
        </is>
      </c>
      <c r="D523" s="6">
        <f>IF(F523&gt;=5, F523-5, IF(F523&lt;5, 0, F523))</f>
        <v/>
      </c>
      <c r="E523">
        <f>VLOOKUP(B523,[1]Namshi!$A:$B,2,0)</f>
        <v/>
      </c>
      <c r="F523" s="4">
        <f>SUMIFS('Dubai Stock'!I:I,'Dubai Stock'!H:H,Final_UAE!B:B)</f>
        <v/>
      </c>
      <c r="H523" s="8" t="e">
        <v>#N/A</v>
      </c>
      <c r="I523" s="8" t="n"/>
    </row>
    <row r="524">
      <c r="A524" s="4" t="n">
        <v>33834</v>
      </c>
      <c r="B524" s="4" t="inlineStr">
        <is>
          <t>clstdai-acu-mois-p90-sp0300</t>
        </is>
      </c>
      <c r="C524" s="4" t="inlineStr">
        <is>
          <t>W00031886A</t>
        </is>
      </c>
      <c r="D524" s="6">
        <f>IF(F524&gt;=5, F524-5, IF(F524&lt;5, 0, F524))</f>
        <v/>
      </c>
      <c r="E524">
        <f>VLOOKUP(B524,[1]Namshi!$A:$B,2,0)</f>
        <v/>
      </c>
      <c r="F524" s="4">
        <f>SUMIFS('Dubai Stock'!I:I,'Dubai Stock'!H:H,Final_UAE!B:B)</f>
        <v/>
      </c>
      <c r="H524" s="8" t="e">
        <v>#N/A</v>
      </c>
      <c r="I524" s="8" t="n"/>
    </row>
    <row r="525">
      <c r="A525" s="4" t="n">
        <v>33834</v>
      </c>
      <c r="B525" s="4" t="inlineStr">
        <is>
          <t>costdai-acu-dffr-p30-rose-sn0250</t>
        </is>
      </c>
      <c r="C525" s="4" t="inlineStr">
        <is>
          <t>W00031886A</t>
        </is>
      </c>
      <c r="D525" s="6">
        <f>IF(F525&gt;=5, F525-5, IF(F525&lt;5, 0, F525))</f>
        <v/>
      </c>
      <c r="E525">
        <f>VLOOKUP(B525,[1]Namshi!$A:$B,2,0)</f>
        <v/>
      </c>
      <c r="F525" s="4">
        <f>SUMIFS('Dubai Stock'!I:I,'Dubai Stock'!H:H,Final_UAE!B:B)</f>
        <v/>
      </c>
      <c r="H525" s="8" t="e">
        <v>#N/A</v>
      </c>
      <c r="I525" s="8" t="n"/>
    </row>
    <row r="526">
      <c r="A526" s="4" t="n">
        <v>33834</v>
      </c>
      <c r="B526" s="4" t="inlineStr">
        <is>
          <t>cost3mo-lay-2020-p02-hazel-brown-sp0000</t>
        </is>
      </c>
      <c r="C526" s="4" t="inlineStr">
        <is>
          <t>W00031886A</t>
        </is>
      </c>
      <c r="D526" s="6">
        <f>IF(F526&gt;=5, F526-5, IF(F526&lt;5, 0, F526))</f>
        <v/>
      </c>
      <c r="E526">
        <f>VLOOKUP(B526,[1]Namshi!$A:$B,2,0)</f>
        <v/>
      </c>
      <c r="F526" s="4">
        <f>SUMIFS('Dubai Stock'!I:I,'Dubai Stock'!H:H,Final_UAE!B:B)</f>
        <v/>
      </c>
      <c r="H526" s="8" t="e">
        <v>#N/A</v>
      </c>
      <c r="I526" s="8" t="n"/>
    </row>
    <row r="527">
      <c r="A527" s="4" t="n">
        <v>33834</v>
      </c>
      <c r="B527" s="4" t="inlineStr">
        <is>
          <t>clstbiw-acu-0002-p06-sp0250</t>
        </is>
      </c>
      <c r="C527" s="4" t="inlineStr">
        <is>
          <t>W00031886A</t>
        </is>
      </c>
      <c r="D527" s="6">
        <f>IF(F527&gt;=5, F527-5, IF(F527&lt;5, 0, F527))</f>
        <v/>
      </c>
      <c r="E527">
        <f>VLOOKUP(B527,[1]Namshi!$A:$B,2,0)</f>
        <v/>
      </c>
      <c r="F527" s="4">
        <f>SUMIFS('Dubai Stock'!I:I,'Dubai Stock'!H:H,Final_UAE!B:B)</f>
        <v/>
      </c>
      <c r="H527" s="8" t="e">
        <v>#N/A</v>
      </c>
      <c r="I527" s="8" t="n"/>
    </row>
    <row r="528">
      <c r="A528" s="4" t="n">
        <v>33834</v>
      </c>
      <c r="B528" s="4" t="inlineStr">
        <is>
          <t>clstdai-dai-tot1-p90-sn0800</t>
        </is>
      </c>
      <c r="C528" s="4" t="inlineStr">
        <is>
          <t>W00031886A</t>
        </is>
      </c>
      <c r="D528" s="6">
        <f>IF(F528&gt;=5, F528-5, IF(F528&lt;5, 0, F528))</f>
        <v/>
      </c>
      <c r="E528">
        <f>VLOOKUP(B528,[1]Namshi!$A:$B,2,0)</f>
        <v/>
      </c>
      <c r="F528" s="4">
        <f>SUMIFS('Dubai Stock'!I:I,'Dubai Stock'!H:H,Final_UAE!B:B)</f>
        <v/>
      </c>
      <c r="H528" s="8" t="e">
        <v>#N/A</v>
      </c>
      <c r="I528" s="8" t="n"/>
    </row>
    <row r="529">
      <c r="A529" s="4" t="n">
        <v>33834</v>
      </c>
      <c r="B529" s="4" t="inlineStr">
        <is>
          <t>sw32404-30s-000262-2404-50</t>
        </is>
      </c>
      <c r="C529" s="4" t="inlineStr">
        <is>
          <t>W00031886A</t>
        </is>
      </c>
      <c r="D529" s="6">
        <f>IF(F529&gt;=5, F529-5, IF(F529&lt;5, 0, F529))</f>
        <v/>
      </c>
      <c r="E529">
        <f>VLOOKUP(B529,[1]Namshi!$A:$B,2,0)</f>
        <v/>
      </c>
      <c r="F529" s="4">
        <f>SUMIFS('Dubai Stock'!I:I,'Dubai Stock'!H:H,Final_UAE!B:B)</f>
        <v/>
      </c>
      <c r="H529" s="8" t="e">
        <v>#N/A</v>
      </c>
    </row>
    <row r="530">
      <c r="A530" s="4" t="n">
        <v>33834</v>
      </c>
      <c r="B530" s="4" t="inlineStr">
        <is>
          <t>clstdai-acu-dfvi-p60-sn0100</t>
        </is>
      </c>
      <c r="C530" s="4" t="inlineStr">
        <is>
          <t>W00031886A</t>
        </is>
      </c>
      <c r="D530" s="6">
        <f>IF(F530&gt;=5, F530-5, IF(F530&lt;5, 0, F530))</f>
        <v/>
      </c>
      <c r="E530">
        <f>VLOOKUP(B530,[1]Namshi!$A:$B,2,0)</f>
        <v/>
      </c>
      <c r="F530" s="4">
        <f>SUMIFS('Dubai Stock'!I:I,'Dubai Stock'!H:H,Final_UAE!B:B)</f>
        <v/>
      </c>
      <c r="H530" s="8" t="e">
        <v>#N/A</v>
      </c>
      <c r="I530" s="8" t="n"/>
    </row>
    <row r="531">
      <c r="A531" s="4" t="n">
        <v>33834</v>
      </c>
      <c r="B531" s="4" t="inlineStr">
        <is>
          <t>sw22306-30s-000226-2306-54</t>
        </is>
      </c>
      <c r="C531" s="4" t="inlineStr">
        <is>
          <t>W00031886A</t>
        </is>
      </c>
      <c r="D531" s="6">
        <f>IF(F531&gt;=5, F531-5, IF(F531&lt;5, 0, F531))</f>
        <v/>
      </c>
      <c r="E531">
        <f>VLOOKUP(B531,[1]Namshi!$A:$B,2,0)</f>
        <v/>
      </c>
      <c r="F531" s="4">
        <f>SUMIFS('Dubai Stock'!I:I,'Dubai Stock'!H:H,Final_UAE!B:B)</f>
        <v/>
      </c>
      <c r="H531" s="8" t="e">
        <v>#N/A</v>
      </c>
    </row>
    <row r="532">
      <c r="A532" s="4" t="n">
        <v>33834</v>
      </c>
      <c r="B532" s="4" t="inlineStr">
        <is>
          <t>clstdai-lay-cont-p10-dazzle-brown-sn0200</t>
        </is>
      </c>
      <c r="C532" s="4" t="inlineStr">
        <is>
          <t>W00031886A</t>
        </is>
      </c>
      <c r="D532" s="6">
        <f>IF(F532&gt;=5, F532-5, IF(F532&lt;5, 0, F532))</f>
        <v/>
      </c>
      <c r="E532">
        <f>VLOOKUP(B532,[1]Namshi!$A:$B,2,0)</f>
        <v/>
      </c>
      <c r="F532" s="4">
        <f>SUMIFS('Dubai Stock'!I:I,'Dubai Stock'!H:H,Final_UAE!B:B)</f>
        <v/>
      </c>
      <c r="H532" s="8" t="e">
        <v>#N/A</v>
      </c>
      <c r="I532" s="8" t="n"/>
    </row>
    <row r="533">
      <c r="A533" s="4" t="n">
        <v>33834</v>
      </c>
      <c r="B533" s="4" t="inlineStr">
        <is>
          <t>sc22507-bab-000502-0207-50</t>
        </is>
      </c>
      <c r="C533" s="4" t="inlineStr">
        <is>
          <t>W00031886A</t>
        </is>
      </c>
      <c r="D533" s="6">
        <f>IF(F533&gt;=5, F533-5, IF(F533&lt;5, 0, F533))</f>
        <v/>
      </c>
      <c r="E533">
        <f>VLOOKUP(B533,[1]Namshi!$A:$B,2,0)</f>
        <v/>
      </c>
      <c r="F533" s="4">
        <f>SUMIFS('Dubai Stock'!I:I,'Dubai Stock'!H:H,Final_UAE!B:B)</f>
        <v/>
      </c>
      <c r="H533" s="8" t="e">
        <v>#N/A</v>
      </c>
    </row>
    <row r="534">
      <c r="A534" s="4" t="n">
        <v>33834</v>
      </c>
      <c r="B534" s="4" t="inlineStr">
        <is>
          <t>costmon-ama-2024-p02-nmr-sn0275</t>
        </is>
      </c>
      <c r="C534" s="4" t="inlineStr">
        <is>
          <t>W00031886A</t>
        </is>
      </c>
      <c r="D534" s="6">
        <f>IF(F534&gt;=5, F534-5, IF(F534&lt;5, 0, F534))</f>
        <v/>
      </c>
      <c r="E534">
        <f>VLOOKUP(B534,[1]Namshi!$A:$B,2,0)</f>
        <v/>
      </c>
      <c r="F534" s="4">
        <f>SUMIFS('Dubai Stock'!I:I,'Dubai Stock'!H:H,Final_UAE!B:B)</f>
        <v/>
      </c>
      <c r="H534" s="8" t="e">
        <v>#N/A</v>
      </c>
      <c r="I534" s="8" t="n"/>
    </row>
    <row r="535">
      <c r="A535" s="4" t="n">
        <v>33834</v>
      </c>
      <c r="B535" s="4" t="inlineStr">
        <is>
          <t>sw62904-bla-000382-2904-54</t>
        </is>
      </c>
      <c r="C535" s="4" t="inlineStr">
        <is>
          <t>W00031886A</t>
        </is>
      </c>
      <c r="D535" s="6">
        <f>IF(F535&gt;=5, F535-5, IF(F535&lt;5, 0, F535))</f>
        <v/>
      </c>
      <c r="E535">
        <f>VLOOKUP(B535,[1]Namshi!$A:$B,2,0)</f>
        <v/>
      </c>
      <c r="F535" s="4">
        <f>SUMIFS('Dubai Stock'!I:I,'Dubai Stock'!H:H,Final_UAE!B:B)</f>
        <v/>
      </c>
      <c r="H535" s="8" t="e">
        <v>#N/A</v>
      </c>
    </row>
    <row r="536">
      <c r="A536" s="4" t="n">
        <v>33834</v>
      </c>
      <c r="B536" s="4" t="inlineStr">
        <is>
          <t>clstdai-lay-cont-p10-dazzle-brown-sn0100</t>
        </is>
      </c>
      <c r="C536" s="4" t="inlineStr">
        <is>
          <t>W00031886A</t>
        </is>
      </c>
      <c r="D536" s="6">
        <f>IF(F536&gt;=5, F536-5, IF(F536&lt;5, 0, F536))</f>
        <v/>
      </c>
      <c r="E536">
        <f>VLOOKUP(B536,[1]Namshi!$A:$B,2,0)</f>
        <v/>
      </c>
      <c r="F536" s="4">
        <f>SUMIFS('Dubai Stock'!I:I,'Dubai Stock'!H:H,Final_UAE!B:B)</f>
        <v/>
      </c>
      <c r="H536" s="8" t="e">
        <v>#N/A</v>
      </c>
      <c r="I536" s="8" t="n"/>
    </row>
    <row r="537">
      <c r="A537" s="4" t="n">
        <v>33834</v>
      </c>
      <c r="B537" s="4" t="inlineStr">
        <is>
          <t>costdai-ama-dail-p10-honey-sn0250</t>
        </is>
      </c>
      <c r="C537" s="4" t="inlineStr">
        <is>
          <t>W00031886A</t>
        </is>
      </c>
      <c r="D537" s="6">
        <f>IF(F537&gt;=5, F537-5, IF(F537&lt;5, 0, F537))</f>
        <v/>
      </c>
      <c r="E537">
        <f>VLOOKUP(B537,[1]Namshi!$A:$B,2,0)</f>
        <v/>
      </c>
      <c r="F537" s="4">
        <f>SUMIFS('Dubai Stock'!I:I,'Dubai Stock'!H:H,Final_UAE!B:B)</f>
        <v/>
      </c>
      <c r="H537" s="8" t="e">
        <v>#N/A</v>
      </c>
      <c r="I537" s="8" t="n"/>
    </row>
    <row r="538">
      <c r="A538" s="4" t="n">
        <v>33834</v>
      </c>
      <c r="B538" s="4" t="inlineStr">
        <is>
          <t>cost3mo-lay-2021-p02-skye-blue-sn0175</t>
        </is>
      </c>
      <c r="C538" s="4" t="inlineStr">
        <is>
          <t>W00031886A</t>
        </is>
      </c>
      <c r="D538" s="6">
        <f>IF(F538&gt;=5, F538-5, IF(F538&lt;5, 0, F538))</f>
        <v/>
      </c>
      <c r="E538">
        <f>VLOOKUP(B538,[1]Namshi!$A:$B,2,0)</f>
        <v/>
      </c>
      <c r="F538" s="4">
        <f>SUMIFS('Dubai Stock'!I:I,'Dubai Stock'!H:H,Final_UAE!B:B)</f>
        <v/>
      </c>
      <c r="H538" s="8" t="e">
        <v>#N/A</v>
      </c>
      <c r="I538" s="8" t="n"/>
    </row>
    <row r="539">
      <c r="A539" s="4" t="n">
        <v>33834</v>
      </c>
      <c r="B539" s="4" t="inlineStr">
        <is>
          <t>costdai-ama-dail-p10-moon-stone-sn0200</t>
        </is>
      </c>
      <c r="C539" s="4" t="inlineStr">
        <is>
          <t>W00031886A</t>
        </is>
      </c>
      <c r="D539" s="6">
        <f>IF(F539&gt;=5, F539-5, IF(F539&lt;5, 0, F539))</f>
        <v/>
      </c>
      <c r="E539">
        <f>VLOOKUP(B539,[1]Namshi!$A:$B,2,0)</f>
        <v/>
      </c>
      <c r="F539" s="4">
        <f>SUMIFS('Dubai Stock'!I:I,'Dubai Stock'!H:H,Final_UAE!B:B)</f>
        <v/>
      </c>
      <c r="H539" s="8" t="e">
        <v>#N/A</v>
      </c>
      <c r="I539" s="8" t="n"/>
    </row>
    <row r="540">
      <c r="A540" s="4" t="n">
        <v>33834</v>
      </c>
      <c r="B540" s="4" t="inlineStr">
        <is>
          <t>costmon-ama-lens-p02-crocodile-green-sn0075</t>
        </is>
      </c>
      <c r="C540" s="4" t="inlineStr">
        <is>
          <t>W00031886A</t>
        </is>
      </c>
      <c r="D540" s="6">
        <f>IF(F540&gt;=5, F540-5, IF(F540&lt;5, 0, F540))</f>
        <v/>
      </c>
      <c r="E540">
        <f>VLOOKUP(B540,[1]Namshi!$A:$B,2,0)</f>
        <v/>
      </c>
      <c r="F540" s="4">
        <f>SUMIFS('Dubai Stock'!I:I,'Dubai Stock'!H:H,Final_UAE!B:B)</f>
        <v/>
      </c>
      <c r="H540" s="8" t="e">
        <v>#N/A</v>
      </c>
      <c r="I540" s="8" t="n"/>
    </row>
    <row r="541">
      <c r="A541" s="4" t="n">
        <v>33834</v>
      </c>
      <c r="B541" s="4" t="inlineStr">
        <is>
          <t>ru40218-spc-000850-0218-49-sp0200</t>
        </is>
      </c>
      <c r="C541" s="4" t="inlineStr">
        <is>
          <t>W00031886A</t>
        </is>
      </c>
      <c r="D541" s="6">
        <f>IF(F541&gt;=5, F541-5, IF(F541&lt;5, 0, F541))</f>
        <v/>
      </c>
      <c r="E541">
        <f>VLOOKUP(B541,[1]Namshi!$A:$B,2,0)</f>
        <v/>
      </c>
      <c r="F541" s="4">
        <f>SUMIFS('Dubai Stock'!I:I,'Dubai Stock'!H:H,Final_UAE!B:B)</f>
        <v/>
      </c>
      <c r="H541" s="8" t="e">
        <v>#N/A</v>
      </c>
      <c r="I541" s="8" t="n"/>
    </row>
    <row r="542">
      <c r="A542" s="4" t="n">
        <v>33834</v>
      </c>
      <c r="B542" s="4" t="inlineStr">
        <is>
          <t>sm101202-30s-000284-1202-60</t>
        </is>
      </c>
      <c r="C542" s="4" t="inlineStr">
        <is>
          <t>W00031886A</t>
        </is>
      </c>
      <c r="D542" s="6">
        <f>IF(F542&gt;=5, F542-5, IF(F542&lt;5, 0, F542))</f>
        <v/>
      </c>
      <c r="E542">
        <f>VLOOKUP(B542,[1]Namshi!$A:$B,2,0)</f>
        <v/>
      </c>
      <c r="F542" s="4">
        <f>SUMIFS('Dubai Stock'!I:I,'Dubai Stock'!H:H,Final_UAE!B:B)</f>
        <v/>
      </c>
      <c r="H542" s="8" t="e">
        <v>#N/A</v>
      </c>
    </row>
    <row r="543">
      <c r="A543" s="4" t="n">
        <v>33834</v>
      </c>
      <c r="B543" s="4" t="inlineStr">
        <is>
          <t>sw52904-bla-000221-2904-61</t>
        </is>
      </c>
      <c r="C543" s="4" t="inlineStr">
        <is>
          <t>W00031886A</t>
        </is>
      </c>
      <c r="D543" s="6">
        <f>IF(F543&gt;=5, F543-5, IF(F543&lt;5, 0, F543))</f>
        <v/>
      </c>
      <c r="E543">
        <f>VLOOKUP(B543,[1]Namshi!$A:$B,2,0)</f>
        <v/>
      </c>
      <c r="F543" s="4">
        <f>SUMIFS('Dubai Stock'!I:I,'Dubai Stock'!H:H,Final_UAE!B:B)</f>
        <v/>
      </c>
      <c r="H543" s="8" t="e">
        <v>#N/A</v>
      </c>
    </row>
    <row r="544">
      <c r="A544" s="4" t="n">
        <v>33834</v>
      </c>
      <c r="B544" s="4" t="inlineStr">
        <is>
          <t>cost3mo-lay-2025-p02-desert-topaz-sn0150</t>
        </is>
      </c>
      <c r="C544" s="4" t="inlineStr">
        <is>
          <t>W00031886A</t>
        </is>
      </c>
      <c r="D544" s="6">
        <f>IF(F544&gt;=5, F544-5, IF(F544&lt;5, 0, F544))</f>
        <v/>
      </c>
      <c r="E544">
        <f>VLOOKUP(B544,[1]Namshi!$A:$B,2,0)</f>
        <v/>
      </c>
      <c r="F544" s="4">
        <f>SUMIFS('Dubai Stock'!I:I,'Dubai Stock'!H:H,Final_UAE!B:B)</f>
        <v/>
      </c>
      <c r="H544" s="8" t="e">
        <v>#N/A</v>
      </c>
      <c r="I544" s="8" t="n"/>
    </row>
    <row r="545">
      <c r="A545" s="4" t="n">
        <v>33834</v>
      </c>
      <c r="B545" s="4" t="inlineStr">
        <is>
          <t>cost3mo-lay-lens-p02-forest-green-sn0425</t>
        </is>
      </c>
      <c r="C545" s="4" t="inlineStr">
        <is>
          <t>W00031886A</t>
        </is>
      </c>
      <c r="D545" s="6">
        <f>IF(F545&gt;=5, F545-5, IF(F545&lt;5, 0, F545))</f>
        <v/>
      </c>
      <c r="E545">
        <f>VLOOKUP(B545,[1]Namshi!$A:$B,2,0)</f>
        <v/>
      </c>
      <c r="F545" s="4">
        <f>SUMIFS('Dubai Stock'!I:I,'Dubai Stock'!H:H,Final_UAE!B:B)</f>
        <v/>
      </c>
      <c r="H545" s="8" t="e">
        <v>#N/A</v>
      </c>
      <c r="I545" s="8" t="n"/>
    </row>
    <row r="546">
      <c r="A546" s="4" t="n">
        <v>33834</v>
      </c>
      <c r="B546" s="4" t="inlineStr">
        <is>
          <t>bc51318-bab-000503-1318-46</t>
        </is>
      </c>
      <c r="C546" s="4" t="inlineStr">
        <is>
          <t>W00031886A</t>
        </is>
      </c>
      <c r="D546" s="6">
        <f>IF(F546&gt;=5, F546-5, IF(F546&lt;5, 0, F546))</f>
        <v/>
      </c>
      <c r="E546">
        <f>VLOOKUP(B546,[1]Namshi!$A:$B,2,0)</f>
        <v/>
      </c>
      <c r="F546" s="4">
        <f>SUMIFS('Dubai Stock'!I:I,'Dubai Stock'!H:H,Final_UAE!B:B)</f>
        <v/>
      </c>
      <c r="H546" s="8" t="e">
        <v>#N/A</v>
      </c>
      <c r="I546" s="8" t="n"/>
    </row>
    <row r="547">
      <c r="A547" s="4" t="n">
        <v>33834</v>
      </c>
      <c r="B547" s="4" t="inlineStr">
        <is>
          <t>clstdai-eve-pure-p30-sn0225</t>
        </is>
      </c>
      <c r="C547" s="4" t="inlineStr">
        <is>
          <t>W00031886A</t>
        </is>
      </c>
      <c r="D547" s="6">
        <f>IF(F547&gt;=5, F547-5, IF(F547&lt;5, 0, F547))</f>
        <v/>
      </c>
      <c r="E547">
        <f>VLOOKUP(B547,[1]Namshi!$A:$B,2,0)</f>
        <v/>
      </c>
      <c r="F547" s="4">
        <f>SUMIFS('Dubai Stock'!I:I,'Dubai Stock'!H:H,Final_UAE!B:B)</f>
        <v/>
      </c>
      <c r="H547" s="8" t="n">
        <v>186</v>
      </c>
      <c r="I547" s="8" t="n">
        <v>104.3</v>
      </c>
    </row>
    <row r="548">
      <c r="A548" s="4" t="n">
        <v>33834</v>
      </c>
      <c r="B548" s="4" t="inlineStr">
        <is>
          <t>bc20218-bab-000501-2818-46</t>
        </is>
      </c>
      <c r="C548" s="4" t="inlineStr">
        <is>
          <t>W00031886A</t>
        </is>
      </c>
      <c r="D548" s="6">
        <f>IF(F548&gt;=5, F548-5, IF(F548&lt;5, 0, F548))</f>
        <v/>
      </c>
      <c r="E548">
        <f>VLOOKUP(B548,[1]Namshi!$A:$B,2,0)</f>
        <v/>
      </c>
      <c r="F548" s="4">
        <f>SUMIFS('Dubai Stock'!I:I,'Dubai Stock'!H:H,Final_UAE!B:B)</f>
        <v/>
      </c>
      <c r="H548" s="8" t="e">
        <v>#N/A</v>
      </c>
    </row>
    <row r="549">
      <c r="A549" s="4" t="n">
        <v>33834</v>
      </c>
      <c r="B549" s="4" t="inlineStr">
        <is>
          <t>cost3mo-lay-lens-p02-forest-green-sn0475</t>
        </is>
      </c>
      <c r="C549" s="4" t="inlineStr">
        <is>
          <t>W00031886A</t>
        </is>
      </c>
      <c r="D549" s="6">
        <f>IF(F549&gt;=5, F549-5, IF(F549&lt;5, 0, F549))</f>
        <v/>
      </c>
      <c r="E549">
        <f>VLOOKUP(B549,[1]Namshi!$A:$B,2,0)</f>
        <v/>
      </c>
      <c r="F549" s="4">
        <f>SUMIFS('Dubai Stock'!I:I,'Dubai Stock'!H:H,Final_UAE!B:B)</f>
        <v/>
      </c>
      <c r="H549" s="8" t="e">
        <v>#N/A</v>
      </c>
      <c r="I549" s="8" t="n"/>
    </row>
    <row r="550">
      <c r="A550" s="4" t="n">
        <v>33834</v>
      </c>
      <c r="B550" s="4" t="inlineStr">
        <is>
          <t>sw60107-bla-000340-0107-53</t>
        </is>
      </c>
      <c r="C550" s="4" t="inlineStr">
        <is>
          <t>W00031886A</t>
        </is>
      </c>
      <c r="D550" s="6">
        <f>IF(F550&gt;=5, F550-5, IF(F550&lt;5, 0, F550))</f>
        <v/>
      </c>
      <c r="E550">
        <f>VLOOKUP(B550,[1]Namshi!$A:$B,2,0)</f>
        <v/>
      </c>
      <c r="F550" s="4">
        <f>SUMIFS('Dubai Stock'!I:I,'Dubai Stock'!H:H,Final_UAE!B:B)</f>
        <v/>
      </c>
      <c r="H550" s="8" t="e">
        <v>#N/A</v>
      </c>
    </row>
    <row r="551">
      <c r="A551" s="4" t="n">
        <v>33834</v>
      </c>
      <c r="B551" s="4" t="inlineStr">
        <is>
          <t>sw30107-bla-000104-0107-59</t>
        </is>
      </c>
      <c r="C551" s="4" t="inlineStr">
        <is>
          <t>W00031886A</t>
        </is>
      </c>
      <c r="D551" s="6">
        <f>IF(F551&gt;=5, F551-5, IF(F551&lt;5, 0, F551))</f>
        <v/>
      </c>
      <c r="E551">
        <f>VLOOKUP(B551,[1]Namshi!$A:$B,2,0)</f>
        <v/>
      </c>
      <c r="F551" s="4">
        <f>SUMIFS('Dubai Stock'!I:I,'Dubai Stock'!H:H,Final_UAE!B:B)</f>
        <v/>
      </c>
      <c r="H551" s="8" t="e">
        <v>#N/A</v>
      </c>
    </row>
    <row r="552">
      <c r="A552" s="4" t="n">
        <v>33834</v>
      </c>
      <c r="B552" s="4" t="inlineStr">
        <is>
          <t>fw32318-spc-000867-0918-53</t>
        </is>
      </c>
      <c r="C552" s="4" t="inlineStr">
        <is>
          <t>W00031886A</t>
        </is>
      </c>
      <c r="D552" s="6">
        <f>IF(F552&gt;=5, F552-5, IF(F552&lt;5, 0, F552))</f>
        <v/>
      </c>
      <c r="E552">
        <f>VLOOKUP(B552,[1]Namshi!$A:$B,2,0)</f>
        <v/>
      </c>
      <c r="F552" s="4">
        <f>SUMIFS('Dubai Stock'!I:I,'Dubai Stock'!H:H,Final_UAE!B:B)</f>
        <v/>
      </c>
      <c r="H552" s="8" t="e">
        <v>#N/A</v>
      </c>
      <c r="I552" s="8" t="n"/>
    </row>
    <row r="553">
      <c r="A553" s="4" t="n">
        <v>33834</v>
      </c>
      <c r="B553" s="4" t="inlineStr">
        <is>
          <t>saccase-30s-case104-blk-blk-black</t>
        </is>
      </c>
      <c r="C553" s="4" t="inlineStr">
        <is>
          <t>W00031886A</t>
        </is>
      </c>
      <c r="D553" s="6">
        <f>IF(F553&gt;=5, F553-5, IF(F553&lt;5, 0, F553))</f>
        <v/>
      </c>
      <c r="E553">
        <f>VLOOKUP(B553,[1]Namshi!$A:$B,2,0)</f>
        <v/>
      </c>
      <c r="F553" s="4">
        <f>SUMIFS('Dubai Stock'!I:I,'Dubai Stock'!H:H,Final_UAE!B:B)</f>
        <v/>
      </c>
      <c r="H553" s="8" t="e">
        <v>#N/A</v>
      </c>
      <c r="I553" s="8" t="n"/>
    </row>
    <row r="554">
      <c r="A554" s="4" t="n">
        <v>33834</v>
      </c>
      <c r="B554" s="4" t="inlineStr">
        <is>
          <t>sc20107-bab-000509-0107d-48</t>
        </is>
      </c>
      <c r="C554" s="4" t="inlineStr">
        <is>
          <t>W00031886A</t>
        </is>
      </c>
      <c r="D554" s="6">
        <f>IF(F554&gt;=5, F554-5, IF(F554&lt;5, 0, F554))</f>
        <v/>
      </c>
      <c r="E554">
        <f>VLOOKUP(B554,[1]Namshi!$A:$B,2,0)</f>
        <v/>
      </c>
      <c r="F554" s="4">
        <f>SUMIFS('Dubai Stock'!I:I,'Dubai Stock'!H:H,Final_UAE!B:B)</f>
        <v/>
      </c>
      <c r="H554" s="8" t="e">
        <v>#N/A</v>
      </c>
    </row>
    <row r="555">
      <c r="A555" s="4" t="n">
        <v>33834</v>
      </c>
      <c r="B555" s="4" t="inlineStr">
        <is>
          <t>sw51306-30s-000130-1306-53</t>
        </is>
      </c>
      <c r="C555" s="4" t="inlineStr">
        <is>
          <t>W00031886A</t>
        </is>
      </c>
      <c r="D555" s="6">
        <f>IF(F555&gt;=5, F555-5, IF(F555&lt;5, 0, F555))</f>
        <v/>
      </c>
      <c r="E555">
        <f>VLOOKUP(B555,[1]Namshi!$A:$B,2,0)</f>
        <v/>
      </c>
      <c r="F555" s="4">
        <f>SUMIFS('Dubai Stock'!I:I,'Dubai Stock'!H:H,Final_UAE!B:B)</f>
        <v/>
      </c>
      <c r="H555" s="8" t="e">
        <v>#N/A</v>
      </c>
    </row>
    <row r="556">
      <c r="A556" s="4" t="n">
        <v>33834</v>
      </c>
      <c r="B556" s="4" t="inlineStr">
        <is>
          <t>clstdai-acu-mois-p120-sn0400</t>
        </is>
      </c>
      <c r="C556" s="4" t="inlineStr">
        <is>
          <t>W00031886A</t>
        </is>
      </c>
      <c r="D556" s="6">
        <f>IF(F556&gt;=5, F556-5, IF(F556&lt;5, 0, F556))</f>
        <v/>
      </c>
      <c r="E556">
        <f>VLOOKUP(B556,[1]Namshi!$A:$B,2,0)</f>
        <v/>
      </c>
      <c r="F556" s="4">
        <f>SUMIFS('Dubai Stock'!I:I,'Dubai Stock'!H:H,Final_UAE!B:B)</f>
        <v/>
      </c>
      <c r="H556" s="8" t="e">
        <v>#N/A</v>
      </c>
      <c r="I556" s="8" t="n"/>
    </row>
    <row r="557">
      <c r="A557" s="4" t="n">
        <v>33834</v>
      </c>
      <c r="B557" s="4" t="inlineStr">
        <is>
          <t>costdai-ama-dail-p10-amber-sn0225</t>
        </is>
      </c>
      <c r="C557" s="4" t="inlineStr">
        <is>
          <t>W00031886A</t>
        </is>
      </c>
      <c r="D557" s="6">
        <f>IF(F557&gt;=5, F557-5, IF(F557&lt;5, 0, F557))</f>
        <v/>
      </c>
      <c r="E557">
        <f>VLOOKUP(B557,[1]Namshi!$A:$B,2,0)</f>
        <v/>
      </c>
      <c r="F557" s="4">
        <f>SUMIFS('Dubai Stock'!I:I,'Dubai Stock'!H:H,Final_UAE!B:B)</f>
        <v/>
      </c>
      <c r="H557" s="8" t="e">
        <v>#N/A</v>
      </c>
      <c r="I557" s="8" t="n"/>
    </row>
    <row r="558">
      <c r="A558" s="4" t="n">
        <v>33834</v>
      </c>
      <c r="B558" s="4" t="inlineStr">
        <is>
          <t>cost3mo-lay-lens-p02-ocean-blue-sn0250</t>
        </is>
      </c>
      <c r="C558" s="4" t="inlineStr">
        <is>
          <t>W00031886A</t>
        </is>
      </c>
      <c r="D558" s="6">
        <f>IF(F558&gt;=5, F558-5, IF(F558&lt;5, 0, F558))</f>
        <v/>
      </c>
      <c r="E558">
        <f>VLOOKUP(B558,[1]Namshi!$A:$B,2,0)</f>
        <v/>
      </c>
      <c r="F558" s="4">
        <f>SUMIFS('Dubai Stock'!I:I,'Dubai Stock'!H:H,Final_UAE!B:B)</f>
        <v/>
      </c>
      <c r="H558" s="8" t="e">
        <v>#N/A</v>
      </c>
      <c r="I558" s="8" t="n"/>
    </row>
    <row r="559">
      <c r="A559" s="4" t="n">
        <v>33834</v>
      </c>
      <c r="B559" s="4" t="inlineStr">
        <is>
          <t>clstbiw-acu-0002-p06-sp0375</t>
        </is>
      </c>
      <c r="C559" s="4" t="inlineStr">
        <is>
          <t>W00031886A</t>
        </is>
      </c>
      <c r="D559" s="6">
        <f>IF(F559&gt;=5, F559-5, IF(F559&lt;5, 0, F559))</f>
        <v/>
      </c>
      <c r="E559">
        <f>VLOOKUP(B559,[1]Namshi!$A:$B,2,0)</f>
        <v/>
      </c>
      <c r="F559" s="4">
        <f>SUMIFS('Dubai Stock'!I:I,'Dubai Stock'!H:H,Final_UAE!B:B)</f>
        <v/>
      </c>
      <c r="H559" s="8" t="e">
        <v>#N/A</v>
      </c>
      <c r="I559" s="8" t="n"/>
    </row>
    <row r="560">
      <c r="A560" s="4" t="n">
        <v>33834</v>
      </c>
      <c r="B560" s="4" t="inlineStr">
        <is>
          <t>su20106-30s-000206p-52</t>
        </is>
      </c>
      <c r="C560" s="4" t="inlineStr">
        <is>
          <t>W00031886A</t>
        </is>
      </c>
      <c r="D560" s="6">
        <f>IF(F560&gt;=5, F560-5, IF(F560&lt;5, 0, F560))</f>
        <v/>
      </c>
      <c r="E560">
        <f>VLOOKUP(B560,[1]Namshi!$A:$B,2,0)</f>
        <v/>
      </c>
      <c r="F560" s="4">
        <f>SUMIFS('Dubai Stock'!I:I,'Dubai Stock'!H:H,Final_UAE!B:B)</f>
        <v/>
      </c>
      <c r="H560" s="8" t="e">
        <v>#N/A</v>
      </c>
      <c r="I560" s="8" t="n"/>
    </row>
    <row r="561">
      <c r="A561" s="4" t="n">
        <v>33834</v>
      </c>
      <c r="B561" s="4" t="inlineStr">
        <is>
          <t>sm22904-30s-000249-2904-53</t>
        </is>
      </c>
      <c r="C561" s="4" t="inlineStr">
        <is>
          <t>W00031886A</t>
        </is>
      </c>
      <c r="D561" s="6">
        <f>IF(F561&gt;=5, F561-5, IF(F561&lt;5, 0, F561))</f>
        <v/>
      </c>
      <c r="E561">
        <f>VLOOKUP(B561,[1]Namshi!$A:$B,2,0)</f>
        <v/>
      </c>
      <c r="F561" s="4">
        <f>SUMIFS('Dubai Stock'!I:I,'Dubai Stock'!H:H,Final_UAE!B:B)</f>
        <v/>
      </c>
      <c r="H561" s="8" t="e">
        <v>#N/A</v>
      </c>
    </row>
    <row r="562">
      <c r="A562" s="4" t="n">
        <v>33834</v>
      </c>
      <c r="B562" s="4" t="inlineStr">
        <is>
          <t>cost3mo-cel-natu-p01-desert-grey-sp0300</t>
        </is>
      </c>
      <c r="C562" s="4" t="inlineStr">
        <is>
          <t>W00031886A</t>
        </is>
      </c>
      <c r="D562" s="6">
        <f>IF(F562&gt;=5, F562-5, IF(F562&lt;5, 0, F562))</f>
        <v/>
      </c>
      <c r="E562">
        <f>VLOOKUP(B562,[1]Namshi!$A:$B,2,0)</f>
        <v/>
      </c>
      <c r="F562" s="4">
        <f>SUMIFS('Dubai Stock'!I:I,'Dubai Stock'!H:H,Final_UAE!B:B)</f>
        <v/>
      </c>
      <c r="H562" s="8" t="e">
        <v>#N/A</v>
      </c>
      <c r="I562" s="8" t="n"/>
    </row>
    <row r="563">
      <c r="A563" s="4" t="n">
        <v>33834</v>
      </c>
      <c r="B563" s="4" t="inlineStr">
        <is>
          <t>clstdai-lay-cont-p90-dazzle-black-sn0450</t>
        </is>
      </c>
      <c r="C563" s="4" t="inlineStr">
        <is>
          <t>W00031886A</t>
        </is>
      </c>
      <c r="D563" s="6">
        <f>IF(F563&gt;=5, F563-5, IF(F563&lt;5, 0, F563))</f>
        <v/>
      </c>
      <c r="E563">
        <f>VLOOKUP(B563,[1]Namshi!$A:$B,2,0)</f>
        <v/>
      </c>
      <c r="F563" s="4">
        <f>SUMIFS('Dubai Stock'!I:I,'Dubai Stock'!H:H,Final_UAE!B:B)</f>
        <v/>
      </c>
      <c r="H563" s="8" t="e">
        <v>#N/A</v>
      </c>
      <c r="I563" s="8" t="n"/>
    </row>
    <row r="564">
      <c r="A564" s="4" t="n">
        <v>33834</v>
      </c>
      <c r="B564" s="4" t="inlineStr">
        <is>
          <t>fu71318-spc-000637-1318-52</t>
        </is>
      </c>
      <c r="C564" s="4" t="inlineStr">
        <is>
          <t>W00031886A</t>
        </is>
      </c>
      <c r="D564" s="6">
        <f>IF(F564&gt;=5, F564-5, IF(F564&lt;5, 0, F564))</f>
        <v/>
      </c>
      <c r="E564">
        <f>VLOOKUP(B564,[1]Namshi!$A:$B,2,0)</f>
        <v/>
      </c>
      <c r="F564" s="4">
        <f>SUMIFS('Dubai Stock'!I:I,'Dubai Stock'!H:H,Final_UAE!B:B)</f>
        <v/>
      </c>
      <c r="H564" s="8" t="e">
        <v>#N/A</v>
      </c>
      <c r="I564" s="8" t="n"/>
    </row>
    <row r="565">
      <c r="A565" s="4" t="n">
        <v>33834</v>
      </c>
      <c r="B565" s="4" t="inlineStr">
        <is>
          <t>bc51418-bab-000504-1418-51</t>
        </is>
      </c>
      <c r="C565" s="4" t="inlineStr">
        <is>
          <t>W00031886A</t>
        </is>
      </c>
      <c r="D565" s="6">
        <f>IF(F565&gt;=5, F565-5, IF(F565&lt;5, 0, F565))</f>
        <v/>
      </c>
      <c r="E565">
        <f>VLOOKUP(B565,[1]Namshi!$A:$B,2,0)</f>
        <v/>
      </c>
      <c r="F565" s="4">
        <f>SUMIFS('Dubai Stock'!I:I,'Dubai Stock'!H:H,Final_UAE!B:B)</f>
        <v/>
      </c>
      <c r="H565" s="8" t="e">
        <v>#N/A</v>
      </c>
    </row>
    <row r="566">
      <c r="A566" s="4" t="n">
        <v>33834</v>
      </c>
      <c r="B566" s="4" t="inlineStr">
        <is>
          <t>clstdai-acu-dfna-p60-sn0225</t>
        </is>
      </c>
      <c r="C566" s="4" t="inlineStr">
        <is>
          <t>W00031886A</t>
        </is>
      </c>
      <c r="D566" s="6">
        <f>IF(F566&gt;=5, F566-5, IF(F566&lt;5, 0, F566))</f>
        <v/>
      </c>
      <c r="E566">
        <f>VLOOKUP(B566,[1]Namshi!$A:$B,2,0)</f>
        <v/>
      </c>
      <c r="F566" s="4">
        <f>SUMIFS('Dubai Stock'!I:I,'Dubai Stock'!H:H,Final_UAE!B:B)</f>
        <v/>
      </c>
      <c r="H566" s="8" t="e">
        <v>#N/A</v>
      </c>
      <c r="I566" s="8" t="n"/>
    </row>
    <row r="567">
      <c r="A567" s="4" t="n">
        <v>33834</v>
      </c>
      <c r="B567" s="4" t="inlineStr">
        <is>
          <t>clstdai-acu-mois-p90-sn0350</t>
        </is>
      </c>
      <c r="C567" s="4" t="inlineStr">
        <is>
          <t>W00031886A</t>
        </is>
      </c>
      <c r="D567" s="6">
        <f>IF(F567&gt;=5, F567-5, IF(F567&lt;5, 0, F567))</f>
        <v/>
      </c>
      <c r="E567">
        <f>VLOOKUP(B567,[1]Namshi!$A:$B,2,0)</f>
        <v/>
      </c>
      <c r="F567" s="4">
        <f>SUMIFS('Dubai Stock'!I:I,'Dubai Stock'!H:H,Final_UAE!B:B)</f>
        <v/>
      </c>
      <c r="H567" s="8" t="e">
        <v>#N/A</v>
      </c>
      <c r="I567" s="8" t="n"/>
    </row>
    <row r="568">
      <c r="A568" s="4" t="n">
        <v>33834</v>
      </c>
      <c r="B568" s="4" t="inlineStr">
        <is>
          <t>clstdai-acu-mois-p90-sn0075</t>
        </is>
      </c>
      <c r="C568" s="4" t="inlineStr">
        <is>
          <t>W00031886A</t>
        </is>
      </c>
      <c r="D568" s="6">
        <f>IF(F568&gt;=5, F568-5, IF(F568&lt;5, 0, F568))</f>
        <v/>
      </c>
      <c r="E568">
        <f>VLOOKUP(B568,[1]Namshi!$A:$B,2,0)</f>
        <v/>
      </c>
      <c r="F568" s="4">
        <f>SUMIFS('Dubai Stock'!I:I,'Dubai Stock'!H:H,Final_UAE!B:B)</f>
        <v/>
      </c>
      <c r="H568" s="8" t="e">
        <v>#N/A</v>
      </c>
      <c r="I568" s="8" t="n"/>
    </row>
    <row r="569">
      <c r="A569" s="4" t="n">
        <v>33834</v>
      </c>
      <c r="B569" s="4" t="inlineStr">
        <is>
          <t>clstdai-acu-oasy-p30-sn0300</t>
        </is>
      </c>
      <c r="C569" s="4" t="inlineStr">
        <is>
          <t>W00031886A</t>
        </is>
      </c>
      <c r="D569" s="6">
        <f>IF(F569&gt;=5, F569-5, IF(F569&lt;5, 0, F569))</f>
        <v/>
      </c>
      <c r="E569">
        <f>VLOOKUP(B569,[1]Namshi!$A:$B,2,0)</f>
        <v/>
      </c>
      <c r="F569" s="4">
        <f>SUMIFS('Dubai Stock'!I:I,'Dubai Stock'!H:H,Final_UAE!B:B)</f>
        <v/>
      </c>
      <c r="H569" s="8" t="e">
        <v>#N/A</v>
      </c>
      <c r="I569" s="8" t="n"/>
    </row>
    <row r="570">
      <c r="A570" s="4" t="n">
        <v>33834</v>
      </c>
      <c r="B570" s="4" t="inlineStr">
        <is>
          <t>clstdai-dai-aqua-p30-sp0450</t>
        </is>
      </c>
      <c r="C570" s="4" t="inlineStr">
        <is>
          <t>W00031886A</t>
        </is>
      </c>
      <c r="D570" s="6">
        <f>IF(F570&gt;=5, F570-5, IF(F570&lt;5, 0, F570))</f>
        <v/>
      </c>
      <c r="E570">
        <f>VLOOKUP(B570,[1]Namshi!$A:$B,2,0)</f>
        <v/>
      </c>
      <c r="F570" s="4">
        <f>SUMIFS('Dubai Stock'!I:I,'Dubai Stock'!H:H,Final_UAE!B:B)</f>
        <v/>
      </c>
      <c r="H570" s="8" t="e">
        <v>#N/A</v>
      </c>
      <c r="I570" s="8" t="n"/>
    </row>
    <row r="571">
      <c r="A571" s="4" t="n">
        <v>33834</v>
      </c>
      <c r="B571" s="4" t="inlineStr">
        <is>
          <t>clstdai-sof-sdai-p90-sn0400</t>
        </is>
      </c>
      <c r="C571" s="4" t="inlineStr">
        <is>
          <t>W00031886A</t>
        </is>
      </c>
      <c r="D571" s="6">
        <f>IF(F571&gt;=5, F571-5, IF(F571&lt;5, 0, F571))</f>
        <v/>
      </c>
      <c r="E571">
        <f>VLOOKUP(B571,[1]Namshi!$A:$B,2,0)</f>
        <v/>
      </c>
      <c r="F571" s="4">
        <f>SUMIFS('Dubai Stock'!I:I,'Dubai Stock'!H:H,Final_UAE!B:B)</f>
        <v/>
      </c>
      <c r="H571" s="8" t="e">
        <v>#N/A</v>
      </c>
      <c r="I571" s="8" t="n"/>
    </row>
    <row r="572">
      <c r="A572" s="4" t="n">
        <v>33834</v>
      </c>
      <c r="B572" s="4" t="inlineStr">
        <is>
          <t>clstdai-acu-dfvi-p30-sn0750</t>
        </is>
      </c>
      <c r="C572" s="4" t="inlineStr">
        <is>
          <t>W00031886A</t>
        </is>
      </c>
      <c r="D572" s="6">
        <f>IF(F572&gt;=5, F572-5, IF(F572&lt;5, 0, F572))</f>
        <v/>
      </c>
      <c r="E572">
        <f>VLOOKUP(B572,[1]Namshi!$A:$B,2,0)</f>
        <v/>
      </c>
      <c r="F572" s="4">
        <f>SUMIFS('Dubai Stock'!I:I,'Dubai Stock'!H:H,Final_UAE!B:B)</f>
        <v/>
      </c>
      <c r="H572" s="8" t="e">
        <v>#N/A</v>
      </c>
      <c r="I572" s="8" t="n"/>
    </row>
    <row r="573">
      <c r="A573" s="4" t="n">
        <v>33834</v>
      </c>
      <c r="B573" s="4" t="inlineStr">
        <is>
          <t>clstdai-sof-sdai-p30-sn0400</t>
        </is>
      </c>
      <c r="C573" s="4" t="inlineStr">
        <is>
          <t>W00031886A</t>
        </is>
      </c>
      <c r="D573" s="6">
        <f>IF(F573&gt;=5, F573-5, IF(F573&lt;5, 0, F573))</f>
        <v/>
      </c>
      <c r="E573">
        <f>VLOOKUP(B573,[1]Namshi!$A:$B,2,0)</f>
        <v/>
      </c>
      <c r="F573" s="4">
        <f>SUMIFS('Dubai Stock'!I:I,'Dubai Stock'!H:H,Final_UAE!B:B)</f>
        <v/>
      </c>
      <c r="H573" s="8" t="e">
        <v>#N/A</v>
      </c>
      <c r="I573" s="8" t="n"/>
    </row>
    <row r="574">
      <c r="A574" s="4" t="n">
        <v>33834</v>
      </c>
      <c r="B574" s="4" t="inlineStr">
        <is>
          <t>clstdai-dai-tot1-p90-sp0425</t>
        </is>
      </c>
      <c r="C574" s="4" t="inlineStr">
        <is>
          <t>W00031886A</t>
        </is>
      </c>
      <c r="D574" s="6">
        <f>IF(F574&gt;=5, F574-5, IF(F574&lt;5, 0, F574))</f>
        <v/>
      </c>
      <c r="E574">
        <f>VLOOKUP(B574,[1]Namshi!$A:$B,2,0)</f>
        <v/>
      </c>
      <c r="F574" s="4">
        <f>SUMIFS('Dubai Stock'!I:I,'Dubai Stock'!H:H,Final_UAE!B:B)</f>
        <v/>
      </c>
      <c r="H574" s="8" t="e">
        <v>#N/A</v>
      </c>
      <c r="I574" s="8" t="n"/>
    </row>
    <row r="575">
      <c r="A575" s="4" t="n">
        <v>33834</v>
      </c>
      <c r="B575" s="4" t="inlineStr">
        <is>
          <t>costdai-acu-dffr-p10-blue-sn0225</t>
        </is>
      </c>
      <c r="C575" s="4" t="inlineStr">
        <is>
          <t>W00031886A</t>
        </is>
      </c>
      <c r="D575" s="6">
        <f>IF(F575&gt;=5, F575-5, IF(F575&lt;5, 0, F575))</f>
        <v/>
      </c>
      <c r="E575">
        <f>VLOOKUP(B575,[1]Namshi!$A:$B,2,0)</f>
        <v/>
      </c>
      <c r="F575" s="4">
        <f>SUMIFS('Dubai Stock'!I:I,'Dubai Stock'!H:H,Final_UAE!B:B)</f>
        <v/>
      </c>
      <c r="H575" s="8" t="e">
        <v>#N/A</v>
      </c>
      <c r="I575" s="8" t="n"/>
    </row>
    <row r="576">
      <c r="A576" s="4" t="n">
        <v>33834</v>
      </c>
      <c r="B576" s="4" t="inlineStr">
        <is>
          <t>fm42118-spc-000702-2118-54</t>
        </is>
      </c>
      <c r="C576" s="4" t="inlineStr">
        <is>
          <t>W00031886A</t>
        </is>
      </c>
      <c r="D576" s="6">
        <f>IF(F576&gt;=5, F576-5, IF(F576&lt;5, 0, F576))</f>
        <v/>
      </c>
      <c r="E576">
        <f>VLOOKUP(B576,[1]Namshi!$A:$B,2,0)</f>
        <v/>
      </c>
      <c r="F576" s="4">
        <f>SUMIFS('Dubai Stock'!I:I,'Dubai Stock'!H:H,Final_UAE!B:B)</f>
        <v/>
      </c>
      <c r="H576" s="8" t="e">
        <v>#N/A</v>
      </c>
      <c r="I576" s="8" t="n"/>
    </row>
    <row r="577">
      <c r="A577" s="4" t="n">
        <v>33834</v>
      </c>
      <c r="B577" s="4" t="inlineStr">
        <is>
          <t>clstdai-dai-aqua-p90-sp0175</t>
        </is>
      </c>
      <c r="C577" s="4" t="inlineStr">
        <is>
          <t>W00031886A</t>
        </is>
      </c>
      <c r="D577" s="6">
        <f>IF(F577&gt;=5, F577-5, IF(F577&lt;5, 0, F577))</f>
        <v/>
      </c>
      <c r="E577">
        <f>VLOOKUP(B577,[1]Namshi!$A:$B,2,0)</f>
        <v/>
      </c>
      <c r="F577" s="4">
        <f>SUMIFS('Dubai Stock'!I:I,'Dubai Stock'!H:H,Final_UAE!B:B)</f>
        <v/>
      </c>
      <c r="H577" s="8" t="e">
        <v>#N/A</v>
      </c>
      <c r="I577" s="8" t="n"/>
    </row>
    <row r="578">
      <c r="A578" s="4" t="n">
        <v>33834</v>
      </c>
      <c r="B578" s="4" t="inlineStr">
        <is>
          <t>sm41807-bla-000347-1807-56</t>
        </is>
      </c>
      <c r="C578" s="4" t="inlineStr">
        <is>
          <t>W00031886A</t>
        </is>
      </c>
      <c r="D578" s="6">
        <f>IF(F578&gt;=5, F578-5, IF(F578&lt;5, 0, F578))</f>
        <v/>
      </c>
      <c r="E578">
        <f>VLOOKUP(B578,[1]Namshi!$A:$B,2,0)</f>
        <v/>
      </c>
      <c r="F578" s="4">
        <f>SUMIFS('Dubai Stock'!I:I,'Dubai Stock'!H:H,Final_UAE!B:B)</f>
        <v/>
      </c>
      <c r="H578" s="8" t="e">
        <v>#N/A</v>
      </c>
    </row>
    <row r="579">
      <c r="A579" s="4" t="n">
        <v>33834</v>
      </c>
      <c r="B579" s="4" t="inlineStr">
        <is>
          <t>su50202-30s-000281-1202-55</t>
        </is>
      </c>
      <c r="C579" s="4" t="inlineStr">
        <is>
          <t>W00031886A</t>
        </is>
      </c>
      <c r="D579" s="6">
        <f>IF(F579&gt;=5, F579-5, IF(F579&lt;5, 0, F579))</f>
        <v/>
      </c>
      <c r="E579">
        <f>VLOOKUP(B579,[1]Namshi!$A:$B,2,0)</f>
        <v/>
      </c>
      <c r="F579" s="4">
        <f>SUMIFS('Dubai Stock'!I:I,'Dubai Stock'!H:H,Final_UAE!B:B)</f>
        <v/>
      </c>
      <c r="H579" s="8" t="e">
        <v>#N/A</v>
      </c>
    </row>
    <row r="580">
      <c r="A580" s="4" t="n">
        <v>33834</v>
      </c>
      <c r="B580" s="4" t="inlineStr">
        <is>
          <t>fm11318-spc-000636-1318-53</t>
        </is>
      </c>
      <c r="C580" s="4" t="inlineStr">
        <is>
          <t>W00031886A</t>
        </is>
      </c>
      <c r="D580" s="6">
        <f>IF(F580&gt;=5, F580-5, IF(F580&lt;5, 0, F580))</f>
        <v/>
      </c>
      <c r="E580">
        <f>VLOOKUP(B580,[1]Namshi!$A:$B,2,0)</f>
        <v/>
      </c>
      <c r="F580" s="4">
        <f>SUMIFS('Dubai Stock'!I:I,'Dubai Stock'!H:H,Final_UAE!B:B)</f>
        <v/>
      </c>
      <c r="H580" s="8" t="e">
        <v>#N/A</v>
      </c>
      <c r="I580" s="8" t="n"/>
    </row>
    <row r="581">
      <c r="A581" s="4" t="n">
        <v>33834</v>
      </c>
      <c r="B581" s="4" t="inlineStr">
        <is>
          <t>costdai-ama-dail-p10-sugar-sn0350</t>
        </is>
      </c>
      <c r="C581" s="4" t="inlineStr">
        <is>
          <t>W00031886A</t>
        </is>
      </c>
      <c r="D581" s="6">
        <f>IF(F581&gt;=5, F581-5, IF(F581&lt;5, 0, F581))</f>
        <v/>
      </c>
      <c r="E581">
        <f>VLOOKUP(B581,[1]Namshi!$A:$B,2,0)</f>
        <v/>
      </c>
      <c r="F581" s="4">
        <f>SUMIFS('Dubai Stock'!I:I,'Dubai Stock'!H:H,Final_UAE!B:B)</f>
        <v/>
      </c>
      <c r="H581" s="8" t="e">
        <v>#N/A</v>
      </c>
      <c r="I581" s="8" t="n"/>
    </row>
    <row r="582">
      <c r="A582" s="4" t="n">
        <v>33834</v>
      </c>
      <c r="B582" s="4" t="inlineStr">
        <is>
          <t>sw30107-bla-000332-0107-53</t>
        </is>
      </c>
      <c r="C582" s="4" t="inlineStr">
        <is>
          <t>W00031886A</t>
        </is>
      </c>
      <c r="D582" s="6">
        <f>IF(F582&gt;=5, F582-5, IF(F582&lt;5, 0, F582))</f>
        <v/>
      </c>
      <c r="E582">
        <f>VLOOKUP(B582,[1]Namshi!$A:$B,2,0)</f>
        <v/>
      </c>
      <c r="F582" s="4">
        <f>SUMIFS('Dubai Stock'!I:I,'Dubai Stock'!H:H,Final_UAE!B:B)</f>
        <v/>
      </c>
      <c r="H582" s="8" t="e">
        <v>#N/A</v>
      </c>
    </row>
    <row r="583">
      <c r="A583" s="4" t="n">
        <v>33834</v>
      </c>
      <c r="B583" s="4" t="inlineStr">
        <is>
          <t>clstdai-acu-mois-p90-sn0450</t>
        </is>
      </c>
      <c r="C583" s="4" t="inlineStr">
        <is>
          <t>W00031886A</t>
        </is>
      </c>
      <c r="D583" s="6">
        <f>IF(F583&gt;=5, F583-5, IF(F583&lt;5, 0, F583))</f>
        <v/>
      </c>
      <c r="E583">
        <f>VLOOKUP(B583,[1]Namshi!$A:$B,2,0)</f>
        <v/>
      </c>
      <c r="F583" s="4">
        <f>SUMIFS('Dubai Stock'!I:I,'Dubai Stock'!H:H,Final_UAE!B:B)</f>
        <v/>
      </c>
      <c r="H583" s="8" t="e">
        <v>#N/A</v>
      </c>
      <c r="I583" s="8" t="n"/>
    </row>
    <row r="584">
      <c r="A584" s="4" t="n">
        <v>33834</v>
      </c>
      <c r="B584" s="4" t="inlineStr">
        <is>
          <t>clstdai-lay-cont-p10-dazzle-black-sn0400</t>
        </is>
      </c>
      <c r="C584" s="4" t="inlineStr">
        <is>
          <t>W00031886A</t>
        </is>
      </c>
      <c r="D584" s="6">
        <f>IF(F584&gt;=5, F584-5, IF(F584&lt;5, 0, F584))</f>
        <v/>
      </c>
      <c r="E584">
        <f>VLOOKUP(B584,[1]Namshi!$A:$B,2,0)</f>
        <v/>
      </c>
      <c r="F584" s="4">
        <f>SUMIFS('Dubai Stock'!I:I,'Dubai Stock'!H:H,Final_UAE!B:B)</f>
        <v/>
      </c>
      <c r="H584" s="8" t="e">
        <v>#N/A</v>
      </c>
      <c r="I584" s="8" t="n"/>
    </row>
    <row r="585">
      <c r="A585" s="4" t="n">
        <v>33834</v>
      </c>
      <c r="B585" s="4" t="inlineStr">
        <is>
          <t>clstbiw-acu-oasy-p18-sn0800</t>
        </is>
      </c>
      <c r="C585" s="4" t="inlineStr">
        <is>
          <t>W00031886A</t>
        </is>
      </c>
      <c r="D585" s="6">
        <f>IF(F585&gt;=5, F585-5, IF(F585&lt;5, 0, F585))</f>
        <v/>
      </c>
      <c r="E585">
        <f>VLOOKUP(B585,[1]Namshi!$A:$B,2,0)</f>
        <v/>
      </c>
      <c r="F585" s="4">
        <f>SUMIFS('Dubai Stock'!I:I,'Dubai Stock'!H:H,Final_UAE!B:B)</f>
        <v/>
      </c>
      <c r="H585" s="8" t="e">
        <v>#N/A</v>
      </c>
      <c r="I585" s="8" t="n"/>
    </row>
    <row r="586">
      <c r="A586" s="4" t="n">
        <v>33834</v>
      </c>
      <c r="B586" s="4" t="inlineStr">
        <is>
          <t>sm10701-30s-000286-0701p-55</t>
        </is>
      </c>
      <c r="C586" s="4" t="inlineStr">
        <is>
          <t>W00031886A</t>
        </is>
      </c>
      <c r="D586" s="6">
        <f>IF(F586&gt;=5, F586-5, IF(F586&lt;5, 0, F586))</f>
        <v/>
      </c>
      <c r="E586">
        <f>VLOOKUP(B586,[1]Namshi!$A:$B,2,0)</f>
        <v/>
      </c>
      <c r="F586" s="4">
        <f>SUMIFS('Dubai Stock'!I:I,'Dubai Stock'!H:H,Final_UAE!B:B)</f>
        <v/>
      </c>
      <c r="H586" s="8" t="e">
        <v>#N/A</v>
      </c>
    </row>
    <row r="587">
      <c r="A587" s="4" t="n">
        <v>33834</v>
      </c>
      <c r="B587" s="4" t="inlineStr">
        <is>
          <t>clstbiw-acu-oasy-p18-sn0475</t>
        </is>
      </c>
      <c r="C587" s="4" t="inlineStr">
        <is>
          <t>W00031886A</t>
        </is>
      </c>
      <c r="D587" s="6">
        <f>IF(F587&gt;=5, F587-5, IF(F587&lt;5, 0, F587))</f>
        <v/>
      </c>
      <c r="E587">
        <f>VLOOKUP(B587,[1]Namshi!$A:$B,2,0)</f>
        <v/>
      </c>
      <c r="F587" s="4">
        <f>SUMIFS('Dubai Stock'!I:I,'Dubai Stock'!H:H,Final_UAE!B:B)</f>
        <v/>
      </c>
      <c r="H587" s="8" t="e">
        <v>#N/A</v>
      </c>
      <c r="I587" s="8" t="n"/>
    </row>
    <row r="588">
      <c r="A588" s="4" t="n">
        <v>33834</v>
      </c>
      <c r="B588" s="4" t="inlineStr">
        <is>
          <t>clstdai-lay-cont-p10-dazzle-brown-sn0550</t>
        </is>
      </c>
      <c r="C588" s="4" t="inlineStr">
        <is>
          <t>W00031886A</t>
        </is>
      </c>
      <c r="D588" s="6">
        <f>IF(F588&gt;=5, F588-5, IF(F588&lt;5, 0, F588))</f>
        <v/>
      </c>
      <c r="E588">
        <f>VLOOKUP(B588,[1]Namshi!$A:$B,2,0)</f>
        <v/>
      </c>
      <c r="F588" s="4">
        <f>SUMIFS('Dubai Stock'!I:I,'Dubai Stock'!H:H,Final_UAE!B:B)</f>
        <v/>
      </c>
      <c r="H588" s="8" t="e">
        <v>#N/A</v>
      </c>
      <c r="I588" s="8" t="n"/>
    </row>
    <row r="589">
      <c r="A589" s="4" t="n">
        <v>33834</v>
      </c>
      <c r="B589" s="4" t="inlineStr">
        <is>
          <t>su100404-30s-000268-0404-53</t>
        </is>
      </c>
      <c r="C589" s="4" t="inlineStr">
        <is>
          <t>W00031886A</t>
        </is>
      </c>
      <c r="D589" s="6">
        <f>IF(F589&gt;=5, F589-5, IF(F589&lt;5, 0, F589))</f>
        <v/>
      </c>
      <c r="E589">
        <f>VLOOKUP(B589,[1]Namshi!$A:$B,2,0)</f>
        <v/>
      </c>
      <c r="F589" s="4">
        <f>SUMIFS('Dubai Stock'!I:I,'Dubai Stock'!H:H,Final_UAE!B:B)</f>
        <v/>
      </c>
      <c r="H589" s="8" t="e">
        <v>#N/A</v>
      </c>
    </row>
    <row r="590">
      <c r="A590" s="4" t="n">
        <v>33834</v>
      </c>
      <c r="B590" s="4" t="inlineStr">
        <is>
          <t>clstdai-acu-omax-p90-sp0225</t>
        </is>
      </c>
      <c r="C590" s="4" t="inlineStr">
        <is>
          <t>W00031886A</t>
        </is>
      </c>
      <c r="D590" s="6">
        <f>IF(F590&gt;=5, F590-5, IF(F590&lt;5, 0, F590))</f>
        <v/>
      </c>
      <c r="E590">
        <f>VLOOKUP(B590,[1]Namshi!$A:$B,2,0)</f>
        <v/>
      </c>
      <c r="F590" s="4">
        <f>SUMIFS('Dubai Stock'!I:I,'Dubai Stock'!H:H,Final_UAE!B:B)</f>
        <v/>
      </c>
      <c r="H590" s="8" t="e">
        <v>#N/A</v>
      </c>
      <c r="I590" s="8" t="n"/>
    </row>
    <row r="591">
      <c r="A591" s="4" t="n">
        <v>33834</v>
      </c>
      <c r="B591" s="4" t="inlineStr">
        <is>
          <t>sw50404-bla-000225-0404-55</t>
        </is>
      </c>
      <c r="C591" s="4" t="inlineStr">
        <is>
          <t>W00031886A</t>
        </is>
      </c>
      <c r="D591" s="6">
        <f>IF(F591&gt;=5, F591-5, IF(F591&lt;5, 0, F591))</f>
        <v/>
      </c>
      <c r="E591">
        <f>VLOOKUP(B591,[1]Namshi!$A:$B,2,0)</f>
        <v/>
      </c>
      <c r="F591" s="4">
        <f>SUMIFS('Dubai Stock'!I:I,'Dubai Stock'!H:H,Final_UAE!B:B)</f>
        <v/>
      </c>
      <c r="H591" s="8" t="e">
        <v>#N/A</v>
      </c>
    </row>
    <row r="592">
      <c r="A592" s="4" t="n">
        <v>33834</v>
      </c>
      <c r="B592" s="4" t="inlineStr">
        <is>
          <t>fw70518-spc-000667-0518-57</t>
        </is>
      </c>
      <c r="C592" s="4" t="inlineStr">
        <is>
          <t>W00031886A</t>
        </is>
      </c>
      <c r="D592" s="6">
        <f>IF(F592&gt;=5, F592-5, IF(F592&lt;5, 0, F592))</f>
        <v/>
      </c>
      <c r="E592">
        <f>VLOOKUP(B592,[1]Namshi!$A:$B,2,0)</f>
        <v/>
      </c>
      <c r="F592" s="4">
        <f>SUMIFS('Dubai Stock'!I:I,'Dubai Stock'!H:H,Final_UAE!B:B)</f>
        <v/>
      </c>
      <c r="H592" s="8" t="e">
        <v>#N/A</v>
      </c>
      <c r="I592" s="8" t="n"/>
    </row>
    <row r="593">
      <c r="A593" s="4" t="n">
        <v>33834</v>
      </c>
      <c r="B593" s="4" t="inlineStr">
        <is>
          <t>clstmon-bio-biof-p06-sn0350</t>
        </is>
      </c>
      <c r="C593" s="4" t="inlineStr">
        <is>
          <t>W00031886A</t>
        </is>
      </c>
      <c r="D593" s="6">
        <f>IF(F593&gt;=5, F593-5, IF(F593&lt;5, 0, F593))</f>
        <v/>
      </c>
      <c r="E593">
        <f>VLOOKUP(B593,[1]Namshi!$A:$B,2,0)</f>
        <v/>
      </c>
      <c r="F593" s="4">
        <f>SUMIFS('Dubai Stock'!I:I,'Dubai Stock'!H:H,Final_UAE!B:B)</f>
        <v/>
      </c>
      <c r="H593" s="8" t="e">
        <v>#N/A</v>
      </c>
      <c r="I593" s="8" t="n"/>
    </row>
    <row r="594">
      <c r="A594" s="4" t="n">
        <v>33834</v>
      </c>
      <c r="B594" s="4" t="inlineStr">
        <is>
          <t>clstdai-dai-tot1-p90-sn0325</t>
        </is>
      </c>
      <c r="C594" s="4" t="inlineStr">
        <is>
          <t>W00031886A</t>
        </is>
      </c>
      <c r="D594" s="6">
        <f>IF(F594&gt;=5, F594-5, IF(F594&lt;5, 0, F594))</f>
        <v/>
      </c>
      <c r="E594">
        <f>VLOOKUP(B594,[1]Namshi!$A:$B,2,0)</f>
        <v/>
      </c>
      <c r="F594" s="4">
        <f>SUMIFS('Dubai Stock'!I:I,'Dubai Stock'!H:H,Final_UAE!B:B)</f>
        <v/>
      </c>
      <c r="H594" s="8" t="e">
        <v>#N/A</v>
      </c>
      <c r="I594" s="8" t="n"/>
    </row>
    <row r="595">
      <c r="A595" s="4" t="n">
        <v>33834</v>
      </c>
      <c r="B595" s="4" t="inlineStr">
        <is>
          <t>clstdai-acu-mois-p30-sn0325</t>
        </is>
      </c>
      <c r="C595" s="4" t="inlineStr">
        <is>
          <t>W00031886A</t>
        </is>
      </c>
      <c r="D595" s="6">
        <f>IF(F595&gt;=5, F595-5, IF(F595&lt;5, 0, F595))</f>
        <v/>
      </c>
      <c r="E595">
        <f>VLOOKUP(B595,[1]Namshi!$A:$B,2,0)</f>
        <v/>
      </c>
      <c r="F595" s="4">
        <f>SUMIFS('Dubai Stock'!I:I,'Dubai Stock'!H:H,Final_UAE!B:B)</f>
        <v/>
      </c>
      <c r="H595" s="8" t="e">
        <v>#N/A</v>
      </c>
      <c r="I595" s="8" t="n"/>
    </row>
    <row r="596">
      <c r="A596" s="4" t="n">
        <v>33834</v>
      </c>
      <c r="B596" s="4" t="inlineStr">
        <is>
          <t>clstdai-acu-dfvi-p60-sn0525</t>
        </is>
      </c>
      <c r="C596" s="4" t="inlineStr">
        <is>
          <t>W00031886A</t>
        </is>
      </c>
      <c r="D596" s="6">
        <f>IF(F596&gt;=5, F596-5, IF(F596&lt;5, 0, F596))</f>
        <v/>
      </c>
      <c r="E596">
        <f>VLOOKUP(B596,[1]Namshi!$A:$B,2,0)</f>
        <v/>
      </c>
      <c r="F596" s="4">
        <f>SUMIFS('Dubai Stock'!I:I,'Dubai Stock'!H:H,Final_UAE!B:B)</f>
        <v/>
      </c>
      <c r="H596" s="8" t="e">
        <v>#N/A</v>
      </c>
      <c r="I596" s="8" t="n"/>
    </row>
    <row r="597">
      <c r="A597" s="4" t="n">
        <v>33834</v>
      </c>
      <c r="B597" s="4" t="inlineStr">
        <is>
          <t>clstdai-btr-oned-p30-sn0400</t>
        </is>
      </c>
      <c r="C597" s="4" t="inlineStr">
        <is>
          <t>W00031886A</t>
        </is>
      </c>
      <c r="D597" s="6">
        <f>IF(F597&gt;=5, F597-5, IF(F597&lt;5, 0, F597))</f>
        <v/>
      </c>
      <c r="E597">
        <f>VLOOKUP(B597,[1]Namshi!$A:$B,2,0)</f>
        <v/>
      </c>
      <c r="F597" s="4">
        <f>SUMIFS('Dubai Stock'!I:I,'Dubai Stock'!H:H,Final_UAE!B:B)</f>
        <v/>
      </c>
      <c r="H597" s="8" t="e">
        <v>#N/A</v>
      </c>
      <c r="I597" s="8" t="n"/>
    </row>
    <row r="598">
      <c r="A598" s="4" t="n">
        <v>33834</v>
      </c>
      <c r="B598" s="4" t="inlineStr">
        <is>
          <t>clstbiw-acu-oasy-p06-sp0000</t>
        </is>
      </c>
      <c r="C598" s="4" t="inlineStr">
        <is>
          <t>W00031886A</t>
        </is>
      </c>
      <c r="D598" s="6">
        <f>IF(F598&gt;=5, F598-5, IF(F598&lt;5, 0, F598))</f>
        <v/>
      </c>
      <c r="E598">
        <f>VLOOKUP(B598,[1]Namshi!$A:$B,2,0)</f>
        <v/>
      </c>
      <c r="F598" s="4">
        <f>SUMIFS('Dubai Stock'!I:I,'Dubai Stock'!H:H,Final_UAE!B:B)</f>
        <v/>
      </c>
      <c r="H598" s="8" t="e">
        <v>#N/A</v>
      </c>
      <c r="I598" s="8" t="n"/>
    </row>
    <row r="599">
      <c r="A599" s="4" t="n">
        <v>33834</v>
      </c>
      <c r="B599" s="4" t="inlineStr">
        <is>
          <t>sm50406-30s-000241-0402-52</t>
        </is>
      </c>
      <c r="C599" s="4" t="inlineStr">
        <is>
          <t>W00031886A</t>
        </is>
      </c>
      <c r="D599" s="6">
        <f>IF(F599&gt;=5, F599-5, IF(F599&lt;5, 0, F599))</f>
        <v/>
      </c>
      <c r="E599">
        <f>VLOOKUP(B599,[1]Namshi!$A:$B,2,0)</f>
        <v/>
      </c>
      <c r="F599" s="4">
        <f>SUMIFS('Dubai Stock'!I:I,'Dubai Stock'!H:H,Final_UAE!B:B)</f>
        <v/>
      </c>
      <c r="H599" s="8" t="e">
        <v>#N/A</v>
      </c>
    </row>
    <row r="600">
      <c r="A600" s="4" t="n">
        <v>33834</v>
      </c>
      <c r="B600" s="4" t="inlineStr">
        <is>
          <t>su21207-30s-000206-1207-52</t>
        </is>
      </c>
      <c r="C600" s="4" t="inlineStr">
        <is>
          <t>W00031886A</t>
        </is>
      </c>
      <c r="D600" s="6">
        <f>IF(F600&gt;=5, F600-5, IF(F600&lt;5, 0, F600))</f>
        <v/>
      </c>
      <c r="E600">
        <f>VLOOKUP(B600,[1]Namshi!$A:$B,2,0)</f>
        <v/>
      </c>
      <c r="F600" s="4">
        <f>SUMIFS('Dubai Stock'!I:I,'Dubai Stock'!H:H,Final_UAE!B:B)</f>
        <v/>
      </c>
      <c r="H600" s="8" t="e">
        <v>#N/A</v>
      </c>
    </row>
    <row r="601">
      <c r="A601" s="4" t="n">
        <v>33834</v>
      </c>
      <c r="B601" s="4" t="inlineStr">
        <is>
          <t>clstdai-dai-tot1-p30-sn1050</t>
        </is>
      </c>
      <c r="C601" s="4" t="inlineStr">
        <is>
          <t>W00031886A</t>
        </is>
      </c>
      <c r="D601" s="6">
        <f>IF(F601&gt;=5, F601-5, IF(F601&lt;5, 0, F601))</f>
        <v/>
      </c>
      <c r="E601">
        <f>VLOOKUP(B601,[1]Namshi!$A:$B,2,0)</f>
        <v/>
      </c>
      <c r="F601" s="4">
        <f>SUMIFS('Dubai Stock'!I:I,'Dubai Stock'!H:H,Final_UAE!B:B)</f>
        <v/>
      </c>
      <c r="H601" s="8" t="e">
        <v>#N/A</v>
      </c>
      <c r="I601" s="8" t="n"/>
    </row>
    <row r="602">
      <c r="A602" s="4" t="n">
        <v>33834</v>
      </c>
      <c r="B602" s="4" t="inlineStr">
        <is>
          <t>sacchan-30s-chain126-rsg-kai-rose-gold</t>
        </is>
      </c>
      <c r="C602" s="4" t="inlineStr">
        <is>
          <t>W00031886A</t>
        </is>
      </c>
      <c r="D602" s="6">
        <f>IF(F602&gt;=5, F602-5, IF(F602&lt;5, 0, F602))</f>
        <v/>
      </c>
      <c r="E602">
        <f>VLOOKUP(B602,[1]Namshi!$A:$B,2,0)</f>
        <v/>
      </c>
      <c r="F602" s="4">
        <f>SUMIFS('Dubai Stock'!I:I,'Dubai Stock'!H:H,Final_UAE!B:B)</f>
        <v/>
      </c>
      <c r="H602" s="8" t="e">
        <v>#N/A</v>
      </c>
      <c r="I602" s="8" t="n"/>
    </row>
    <row r="603">
      <c r="A603" s="4" t="n">
        <v>33834</v>
      </c>
      <c r="B603" s="4" t="inlineStr">
        <is>
          <t>clstdai-acu-dfvi-p90-sn0450</t>
        </is>
      </c>
      <c r="C603" s="4" t="inlineStr">
        <is>
          <t>W00031886A</t>
        </is>
      </c>
      <c r="D603" s="6">
        <f>IF(F603&gt;=5, F603-5, IF(F603&lt;5, 0, F603))</f>
        <v/>
      </c>
      <c r="E603">
        <f>VLOOKUP(B603,[1]Namshi!$A:$B,2,0)</f>
        <v/>
      </c>
      <c r="F603" s="4">
        <f>SUMIFS('Dubai Stock'!I:I,'Dubai Stock'!H:H,Final_UAE!B:B)</f>
        <v/>
      </c>
      <c r="H603" s="8" t="e">
        <v>#N/A</v>
      </c>
      <c r="I603" s="8" t="n"/>
    </row>
    <row r="604">
      <c r="A604" s="4" t="n">
        <v>33834</v>
      </c>
      <c r="B604" s="4" t="inlineStr">
        <is>
          <t>clstmon-sof-sl59-p06-sn0350</t>
        </is>
      </c>
      <c r="C604" s="4" t="inlineStr">
        <is>
          <t>W00031886A</t>
        </is>
      </c>
      <c r="D604" s="6">
        <f>IF(F604&gt;=5, F604-5, IF(F604&lt;5, 0, F604))</f>
        <v/>
      </c>
      <c r="E604">
        <f>VLOOKUP(B604,[1]Namshi!$A:$B,2,0)</f>
        <v/>
      </c>
      <c r="F604" s="4">
        <f>SUMIFS('Dubai Stock'!I:I,'Dubai Stock'!H:H,Final_UAE!B:B)</f>
        <v/>
      </c>
      <c r="H604" s="8" t="e">
        <v>#N/A</v>
      </c>
      <c r="I604" s="8" t="n"/>
    </row>
    <row r="605">
      <c r="A605" s="4" t="n">
        <v>33834</v>
      </c>
      <c r="B605" s="4" t="inlineStr">
        <is>
          <t>clstdai-dai-tot1-p90-sp0600</t>
        </is>
      </c>
      <c r="C605" s="4" t="inlineStr">
        <is>
          <t>W00031886A</t>
        </is>
      </c>
      <c r="D605" s="6">
        <f>IF(F605&gt;=5, F605-5, IF(F605&lt;5, 0, F605))</f>
        <v/>
      </c>
      <c r="E605">
        <f>VLOOKUP(B605,[1]Namshi!$A:$B,2,0)</f>
        <v/>
      </c>
      <c r="F605" s="4">
        <f>SUMIFS('Dubai Stock'!I:I,'Dubai Stock'!H:H,Final_UAE!B:B)</f>
        <v/>
      </c>
      <c r="H605" s="8" t="e">
        <v>#N/A</v>
      </c>
      <c r="I605" s="8" t="n"/>
    </row>
    <row r="606">
      <c r="A606" s="4" t="n">
        <v>33834</v>
      </c>
      <c r="B606" s="4" t="inlineStr">
        <is>
          <t>cost3mo-lay-2021-p02-polar-gray-sn0275</t>
        </is>
      </c>
      <c r="C606" s="4" t="inlineStr">
        <is>
          <t>W00031886A</t>
        </is>
      </c>
      <c r="D606" s="6">
        <f>IF(F606&gt;=5, F606-5, IF(F606&lt;5, 0, F606))</f>
        <v/>
      </c>
      <c r="E606">
        <f>VLOOKUP(B606,[1]Namshi!$A:$B,2,0)</f>
        <v/>
      </c>
      <c r="F606" s="4">
        <f>SUMIFS('Dubai Stock'!I:I,'Dubai Stock'!H:H,Final_UAE!B:B)</f>
        <v/>
      </c>
      <c r="H606" s="8" t="e">
        <v>#N/A</v>
      </c>
      <c r="I606" s="8" t="n"/>
    </row>
    <row r="607">
      <c r="A607" s="4" t="n">
        <v>33834</v>
      </c>
      <c r="B607" s="4" t="inlineStr">
        <is>
          <t>clstmon-sof-sl59-p06-sn0400</t>
        </is>
      </c>
      <c r="C607" s="4" t="inlineStr">
        <is>
          <t>W00031886A</t>
        </is>
      </c>
      <c r="D607" s="6">
        <f>IF(F607&gt;=5, F607-5, IF(F607&lt;5, 0, F607))</f>
        <v/>
      </c>
      <c r="E607">
        <f>VLOOKUP(B607,[1]Namshi!$A:$B,2,0)</f>
        <v/>
      </c>
      <c r="F607" s="4">
        <f>SUMIFS('Dubai Stock'!I:I,'Dubai Stock'!H:H,Final_UAE!B:B)</f>
        <v/>
      </c>
      <c r="H607" s="8" t="e">
        <v>#N/A</v>
      </c>
      <c r="I607" s="8" t="n"/>
    </row>
    <row r="608">
      <c r="A608" s="4" t="n">
        <v>33834</v>
      </c>
      <c r="B608" s="4" t="inlineStr">
        <is>
          <t>cost3mo-lay-lens-p02-chestnut-brown-sn0500</t>
        </is>
      </c>
      <c r="C608" s="4" t="inlineStr">
        <is>
          <t>W00031886A</t>
        </is>
      </c>
      <c r="D608" s="6">
        <f>IF(F608&gt;=5, F608-5, IF(F608&lt;5, 0, F608))</f>
        <v/>
      </c>
      <c r="E608">
        <f>VLOOKUP(B608,[1]Namshi!$A:$B,2,0)</f>
        <v/>
      </c>
      <c r="F608" s="4">
        <f>SUMIFS('Dubai Stock'!I:I,'Dubai Stock'!H:H,Final_UAE!B:B)</f>
        <v/>
      </c>
      <c r="H608" s="8" t="e">
        <v>#N/A</v>
      </c>
      <c r="I608" s="8" t="n"/>
    </row>
    <row r="609">
      <c r="A609" s="4" t="n">
        <v>33834</v>
      </c>
      <c r="B609" s="4" t="inlineStr">
        <is>
          <t>fu70118-spc-000757-0118-51</t>
        </is>
      </c>
      <c r="C609" s="4" t="inlineStr">
        <is>
          <t>W00031886A</t>
        </is>
      </c>
      <c r="D609" s="6">
        <f>IF(F609&gt;=5, F609-5, IF(F609&lt;5, 0, F609))</f>
        <v/>
      </c>
      <c r="E609">
        <f>VLOOKUP(B609,[1]Namshi!$A:$B,2,0)</f>
        <v/>
      </c>
      <c r="F609" s="4">
        <f>SUMIFS('Dubai Stock'!I:I,'Dubai Stock'!H:H,Final_UAE!B:B)</f>
        <v/>
      </c>
      <c r="H609" s="8" t="e">
        <v>#N/A</v>
      </c>
      <c r="I609" s="8" t="n"/>
    </row>
    <row r="610">
      <c r="A610" s="4" t="n">
        <v>33834</v>
      </c>
      <c r="B610" s="4" t="inlineStr">
        <is>
          <t>sm12706-30s-000202-2706-59</t>
        </is>
      </c>
      <c r="C610" s="4" t="inlineStr">
        <is>
          <t>W00031886A</t>
        </is>
      </c>
      <c r="D610" s="6">
        <f>IF(F610&gt;=5, F610-5, IF(F610&lt;5, 0, F610))</f>
        <v/>
      </c>
      <c r="E610">
        <f>VLOOKUP(B610,[1]Namshi!$A:$B,2,0)</f>
        <v/>
      </c>
      <c r="F610" s="4">
        <f>SUMIFS('Dubai Stock'!I:I,'Dubai Stock'!H:H,Final_UAE!B:B)</f>
        <v/>
      </c>
      <c r="H610" s="8" t="e">
        <v>#N/A</v>
      </c>
    </row>
    <row r="611">
      <c r="A611" s="4" t="n">
        <v>33834</v>
      </c>
      <c r="B611" s="4" t="inlineStr">
        <is>
          <t>clstdai-acu-oasy-p90-sn0100</t>
        </is>
      </c>
      <c r="C611" s="4" t="inlineStr">
        <is>
          <t>W00031886A</t>
        </is>
      </c>
      <c r="D611" s="6">
        <f>IF(F611&gt;=5, F611-5, IF(F611&lt;5, 0, F611))</f>
        <v/>
      </c>
      <c r="E611">
        <f>VLOOKUP(B611,[1]Namshi!$A:$B,2,0)</f>
        <v/>
      </c>
      <c r="F611" s="4">
        <f>SUMIFS('Dubai Stock'!I:I,'Dubai Stock'!H:H,Final_UAE!B:B)</f>
        <v/>
      </c>
      <c r="H611" s="8" t="e">
        <v>#N/A</v>
      </c>
      <c r="I611" s="8" t="n"/>
    </row>
    <row r="612">
      <c r="A612" s="4" t="n">
        <v>33834</v>
      </c>
      <c r="B612" s="4" t="inlineStr">
        <is>
          <t>cost3mo-lay-2021-p02-sunkiss-brown-sn0200</t>
        </is>
      </c>
      <c r="C612" s="4" t="inlineStr">
        <is>
          <t>W00031886A</t>
        </is>
      </c>
      <c r="D612" s="6">
        <f>IF(F612&gt;=5, F612-5, IF(F612&lt;5, 0, F612))</f>
        <v/>
      </c>
      <c r="E612">
        <f>VLOOKUP(B612,[1]Namshi!$A:$B,2,0)</f>
        <v/>
      </c>
      <c r="F612" s="4">
        <f>SUMIFS('Dubai Stock'!I:I,'Dubai Stock'!H:H,Final_UAE!B:B)</f>
        <v/>
      </c>
      <c r="H612" s="8" t="e">
        <v>#N/A</v>
      </c>
      <c r="I612" s="8" t="n"/>
    </row>
    <row r="613">
      <c r="A613" s="4" t="n">
        <v>33834</v>
      </c>
      <c r="B613" s="4" t="inlineStr">
        <is>
          <t>bc50618-bab-000506-0618-48</t>
        </is>
      </c>
      <c r="C613" s="4" t="inlineStr">
        <is>
          <t>W00031886A</t>
        </is>
      </c>
      <c r="D613" s="6">
        <f>IF(F613&gt;=5, F613-5, IF(F613&lt;5, 0, F613))</f>
        <v/>
      </c>
      <c r="E613">
        <f>VLOOKUP(B613,[1]Namshi!$A:$B,2,0)</f>
        <v/>
      </c>
      <c r="F613" s="4">
        <f>SUMIFS('Dubai Stock'!I:I,'Dubai Stock'!H:H,Final_UAE!B:B)</f>
        <v/>
      </c>
      <c r="H613" s="8" t="e">
        <v>#N/A</v>
      </c>
    </row>
    <row r="614">
      <c r="A614" s="4" t="n">
        <v>33834</v>
      </c>
      <c r="B614" s="4" t="inlineStr">
        <is>
          <t>costdai-acu-dffr-p10-green-sn0200</t>
        </is>
      </c>
      <c r="C614" s="4" t="inlineStr">
        <is>
          <t>W00031886A</t>
        </is>
      </c>
      <c r="D614" s="6">
        <f>IF(F614&gt;=5, F614-5, IF(F614&lt;5, 0, F614))</f>
        <v/>
      </c>
      <c r="E614">
        <f>VLOOKUP(B614,[1]Namshi!$A:$B,2,0)</f>
        <v/>
      </c>
      <c r="F614" s="4">
        <f>SUMIFS('Dubai Stock'!I:I,'Dubai Stock'!H:H,Final_UAE!B:B)</f>
        <v/>
      </c>
      <c r="H614" s="8" t="e">
        <v>#N/A</v>
      </c>
      <c r="I614" s="8" t="n"/>
    </row>
    <row r="615">
      <c r="A615" s="4" t="n">
        <v>33834</v>
      </c>
      <c r="B615" s="4" t="inlineStr">
        <is>
          <t>clstdai-acu-oasy-p30-sn0950</t>
        </is>
      </c>
      <c r="C615" s="4" t="inlineStr">
        <is>
          <t>W00031886A</t>
        </is>
      </c>
      <c r="D615" s="6">
        <f>IF(F615&gt;=5, F615-5, IF(F615&lt;5, 0, F615))</f>
        <v/>
      </c>
      <c r="E615">
        <f>VLOOKUP(B615,[1]Namshi!$A:$B,2,0)</f>
        <v/>
      </c>
      <c r="F615" s="4">
        <f>SUMIFS('Dubai Stock'!I:I,'Dubai Stock'!H:H,Final_UAE!B:B)</f>
        <v/>
      </c>
      <c r="H615" s="8" t="e">
        <v>#N/A</v>
      </c>
      <c r="I615" s="8" t="n"/>
    </row>
    <row r="616">
      <c r="A616" s="4" t="n">
        <v>33834</v>
      </c>
      <c r="B616" s="4" t="inlineStr">
        <is>
          <t>costdai-acu-dffr-p30-hazel-sn0275</t>
        </is>
      </c>
      <c r="C616" s="4" t="inlineStr">
        <is>
          <t>W00031886A</t>
        </is>
      </c>
      <c r="D616" s="6">
        <f>IF(F616&gt;=5, F616-5, IF(F616&lt;5, 0, F616))</f>
        <v/>
      </c>
      <c r="E616">
        <f>VLOOKUP(B616,[1]Namshi!$A:$B,2,0)</f>
        <v/>
      </c>
      <c r="F616" s="4">
        <f>SUMIFS('Dubai Stock'!I:I,'Dubai Stock'!H:H,Final_UAE!B:B)</f>
        <v/>
      </c>
      <c r="H616" s="8" t="e">
        <v>#N/A</v>
      </c>
      <c r="I616" s="8" t="n"/>
    </row>
    <row r="617">
      <c r="A617" s="4" t="n">
        <v>33834</v>
      </c>
      <c r="B617" s="4" t="inlineStr">
        <is>
          <t>clstdai-lay-cont-p90-dazzle-black-sn0175</t>
        </is>
      </c>
      <c r="C617" s="4" t="inlineStr">
        <is>
          <t>W00031886A</t>
        </is>
      </c>
      <c r="D617" s="6">
        <f>IF(F617&gt;=5, F617-5, IF(F617&lt;5, 0, F617))</f>
        <v/>
      </c>
      <c r="E617">
        <f>VLOOKUP(B617,[1]Namshi!$A:$B,2,0)</f>
        <v/>
      </c>
      <c r="F617" s="4">
        <f>SUMIFS('Dubai Stock'!I:I,'Dubai Stock'!H:H,Final_UAE!B:B)</f>
        <v/>
      </c>
      <c r="H617" s="8" t="e">
        <v>#N/A</v>
      </c>
      <c r="I617" s="8" t="n"/>
    </row>
    <row r="618">
      <c r="A618" s="4" t="n">
        <v>33834</v>
      </c>
      <c r="B618" s="4" t="inlineStr">
        <is>
          <t>clstdai-dai-aqua-p30-sp0100</t>
        </is>
      </c>
      <c r="C618" s="4" t="inlineStr">
        <is>
          <t>W00031886A</t>
        </is>
      </c>
      <c r="D618" s="6">
        <f>IF(F618&gt;=5, F618-5, IF(F618&lt;5, 0, F618))</f>
        <v/>
      </c>
      <c r="E618">
        <f>VLOOKUP(B618,[1]Namshi!$A:$B,2,0)</f>
        <v/>
      </c>
      <c r="F618" s="4">
        <f>SUMIFS('Dubai Stock'!I:I,'Dubai Stock'!H:H,Final_UAE!B:B)</f>
        <v/>
      </c>
      <c r="H618" s="8" t="e">
        <v>#N/A</v>
      </c>
      <c r="I618" s="8" t="n"/>
    </row>
    <row r="619">
      <c r="A619" s="4" t="n">
        <v>33834</v>
      </c>
      <c r="B619" s="4" t="inlineStr">
        <is>
          <t>clstbiw-acu-0002-p06-sp0175</t>
        </is>
      </c>
      <c r="C619" s="4" t="inlineStr">
        <is>
          <t>W00031886A</t>
        </is>
      </c>
      <c r="D619" s="6">
        <f>IF(F619&gt;=5, F619-5, IF(F619&lt;5, 0, F619))</f>
        <v/>
      </c>
      <c r="E619">
        <f>VLOOKUP(B619,[1]Namshi!$A:$B,2,0)</f>
        <v/>
      </c>
      <c r="F619" s="4">
        <f>SUMIFS('Dubai Stock'!I:I,'Dubai Stock'!H:H,Final_UAE!B:B)</f>
        <v/>
      </c>
      <c r="H619" s="8" t="e">
        <v>#N/A</v>
      </c>
      <c r="I619" s="8" t="n"/>
    </row>
    <row r="620">
      <c r="A620" s="4" t="n">
        <v>33834</v>
      </c>
      <c r="B620" s="4" t="inlineStr">
        <is>
          <t>cost3mo-lay-2023-p02-selene-green-sn0500</t>
        </is>
      </c>
      <c r="C620" s="4" t="inlineStr">
        <is>
          <t>W00031886A</t>
        </is>
      </c>
      <c r="D620" s="6">
        <f>IF(F620&gt;=5, F620-5, IF(F620&lt;5, 0, F620))</f>
        <v/>
      </c>
      <c r="E620">
        <f>VLOOKUP(B620,[1]Namshi!$A:$B,2,0)</f>
        <v/>
      </c>
      <c r="F620" s="4">
        <f>SUMIFS('Dubai Stock'!I:I,'Dubai Stock'!H:H,Final_UAE!B:B)</f>
        <v/>
      </c>
      <c r="H620" s="8" t="e">
        <v>#N/A</v>
      </c>
      <c r="I620" s="8" t="n"/>
    </row>
    <row r="621">
      <c r="A621" s="4" t="n">
        <v>33834</v>
      </c>
      <c r="B621" s="4" t="inlineStr">
        <is>
          <t>sw70101-30s-000245-0101-55</t>
        </is>
      </c>
      <c r="C621" s="4" t="inlineStr">
        <is>
          <t>W00031886A</t>
        </is>
      </c>
      <c r="D621" s="6">
        <f>IF(F621&gt;=5, F621-5, IF(F621&lt;5, 0, F621))</f>
        <v/>
      </c>
      <c r="E621">
        <f>VLOOKUP(B621,[1]Namshi!$A:$B,2,0)</f>
        <v/>
      </c>
      <c r="F621" s="4">
        <f>SUMIFS('Dubai Stock'!I:I,'Dubai Stock'!H:H,Final_UAE!B:B)</f>
        <v/>
      </c>
      <c r="H621" s="8" t="e">
        <v>#N/A</v>
      </c>
    </row>
    <row r="622">
      <c r="A622" s="4" t="n">
        <v>33834</v>
      </c>
      <c r="B622" s="4" t="inlineStr">
        <is>
          <t>clstdai-acu-dfna-p90-sn0450</t>
        </is>
      </c>
      <c r="C622" s="4" t="inlineStr">
        <is>
          <t>W00031886A</t>
        </is>
      </c>
      <c r="D622" s="6">
        <f>IF(F622&gt;=5, F622-5, IF(F622&lt;5, 0, F622))</f>
        <v/>
      </c>
      <c r="E622">
        <f>VLOOKUP(B622,[1]Namshi!$A:$B,2,0)</f>
        <v/>
      </c>
      <c r="F622" s="4">
        <f>SUMIFS('Dubai Stock'!I:I,'Dubai Stock'!H:H,Final_UAE!B:B)</f>
        <v/>
      </c>
      <c r="H622" s="8" t="e">
        <v>#N/A</v>
      </c>
      <c r="I622" s="8" t="n"/>
    </row>
    <row r="623">
      <c r="A623" s="4" t="n">
        <v>33834</v>
      </c>
      <c r="B623" s="4" t="inlineStr">
        <is>
          <t>sm100107-30s-000303-0101-52</t>
        </is>
      </c>
      <c r="C623" s="4" t="inlineStr">
        <is>
          <t>W00031886A</t>
        </is>
      </c>
      <c r="D623" s="6">
        <f>IF(F623&gt;=5, F623-5, IF(F623&lt;5, 0, F623))</f>
        <v/>
      </c>
      <c r="E623">
        <f>VLOOKUP(B623,[1]Namshi!$A:$B,2,0)</f>
        <v/>
      </c>
      <c r="F623" s="4">
        <f>SUMIFS('Dubai Stock'!I:I,'Dubai Stock'!H:H,Final_UAE!B:B)</f>
        <v/>
      </c>
      <c r="H623" s="8" t="e">
        <v>#N/A</v>
      </c>
    </row>
    <row r="624">
      <c r="A624" s="4" t="n">
        <v>33834</v>
      </c>
      <c r="B624" s="4" t="inlineStr">
        <is>
          <t>clstdai-lay-cont-p60-dazzle-black-sn0475</t>
        </is>
      </c>
      <c r="C624" s="4" t="inlineStr">
        <is>
          <t>W00031886A</t>
        </is>
      </c>
      <c r="D624" s="6">
        <f>IF(F624&gt;=5, F624-5, IF(F624&lt;5, 0, F624))</f>
        <v/>
      </c>
      <c r="E624">
        <f>VLOOKUP(B624,[1]Namshi!$A:$B,2,0)</f>
        <v/>
      </c>
      <c r="F624" s="4">
        <f>SUMIFS('Dubai Stock'!I:I,'Dubai Stock'!H:H,Final_UAE!B:B)</f>
        <v/>
      </c>
      <c r="H624" s="8" t="e">
        <v>#N/A</v>
      </c>
      <c r="I624" s="8" t="n"/>
    </row>
    <row r="625">
      <c r="A625" s="4" t="n">
        <v>33834</v>
      </c>
      <c r="B625" s="4" t="inlineStr">
        <is>
          <t>sacchan-30s-chain125-gld-lyra-gold</t>
        </is>
      </c>
      <c r="C625" s="4" t="inlineStr">
        <is>
          <t>W00031886A</t>
        </is>
      </c>
      <c r="D625" s="6">
        <f>IF(F625&gt;=5, F625-5, IF(F625&lt;5, 0, F625))</f>
        <v/>
      </c>
      <c r="E625">
        <f>VLOOKUP(B625,[1]Namshi!$A:$B,2,0)</f>
        <v/>
      </c>
      <c r="F625" s="4">
        <f>SUMIFS('Dubai Stock'!I:I,'Dubai Stock'!H:H,Final_UAE!B:B)</f>
        <v/>
      </c>
      <c r="H625" s="8" t="e">
        <v>#N/A</v>
      </c>
      <c r="I625" s="8" t="n"/>
    </row>
    <row r="626">
      <c r="A626" s="4" t="n">
        <v>33834</v>
      </c>
      <c r="B626" s="4" t="inlineStr">
        <is>
          <t>clstdai-lay-cont-p90-dazzle-brown-sn0475</t>
        </is>
      </c>
      <c r="C626" s="4" t="inlineStr">
        <is>
          <t>W00031886A</t>
        </is>
      </c>
      <c r="D626" s="6">
        <f>IF(F626&gt;=5, F626-5, IF(F626&lt;5, 0, F626))</f>
        <v/>
      </c>
      <c r="E626">
        <f>VLOOKUP(B626,[1]Namshi!$A:$B,2,0)</f>
        <v/>
      </c>
      <c r="F626" s="4">
        <f>SUMIFS('Dubai Stock'!I:I,'Dubai Stock'!H:H,Final_UAE!B:B)</f>
        <v/>
      </c>
      <c r="H626" s="8" t="e">
        <v>#N/A</v>
      </c>
      <c r="I626" s="8" t="n"/>
    </row>
    <row r="627">
      <c r="A627" s="4" t="n">
        <v>33834</v>
      </c>
      <c r="B627" s="4" t="inlineStr">
        <is>
          <t>sm70406-30s-000252-0406-56</t>
        </is>
      </c>
      <c r="C627" s="4" t="inlineStr">
        <is>
          <t>W00031886A</t>
        </is>
      </c>
      <c r="D627" s="6">
        <f>IF(F627&gt;=5, F627-5, IF(F627&lt;5, 0, F627))</f>
        <v/>
      </c>
      <c r="E627">
        <f>VLOOKUP(B627,[1]Namshi!$A:$B,2,0)</f>
        <v/>
      </c>
      <c r="F627" s="4">
        <f>SUMIFS('Dubai Stock'!I:I,'Dubai Stock'!H:H,Final_UAE!B:B)</f>
        <v/>
      </c>
      <c r="H627" s="8" t="e">
        <v>#N/A</v>
      </c>
    </row>
    <row r="628">
      <c r="A628" s="4" t="n">
        <v>33834</v>
      </c>
      <c r="B628" s="4" t="inlineStr">
        <is>
          <t>clstdai-lay-cont-p60-dazzle-black-sn0200</t>
        </is>
      </c>
      <c r="C628" s="4" t="inlineStr">
        <is>
          <t>W00031886A</t>
        </is>
      </c>
      <c r="D628" s="6">
        <f>IF(F628&gt;=5, F628-5, IF(F628&lt;5, 0, F628))</f>
        <v/>
      </c>
      <c r="E628">
        <f>VLOOKUP(B628,[1]Namshi!$A:$B,2,0)</f>
        <v/>
      </c>
      <c r="F628" s="4">
        <f>SUMIFS('Dubai Stock'!I:I,'Dubai Stock'!H:H,Final_UAE!B:B)</f>
        <v/>
      </c>
      <c r="H628" s="8" t="e">
        <v>#N/A</v>
      </c>
      <c r="I628" s="8" t="n"/>
    </row>
    <row r="629">
      <c r="A629" s="4" t="n">
        <v>33834</v>
      </c>
      <c r="B629" s="4" t="inlineStr">
        <is>
          <t>clstdai-dai-aqua-p90-sn0100</t>
        </is>
      </c>
      <c r="C629" s="4" t="inlineStr">
        <is>
          <t>W00031886A</t>
        </is>
      </c>
      <c r="D629" s="6">
        <f>IF(F629&gt;=5, F629-5, IF(F629&lt;5, 0, F629))</f>
        <v/>
      </c>
      <c r="E629">
        <f>VLOOKUP(B629,[1]Namshi!$A:$B,2,0)</f>
        <v/>
      </c>
      <c r="F629" s="4">
        <f>SUMIFS('Dubai Stock'!I:I,'Dubai Stock'!H:H,Final_UAE!B:B)</f>
        <v/>
      </c>
      <c r="H629" s="8" t="e">
        <v>#N/A</v>
      </c>
      <c r="I629" s="8" t="n"/>
    </row>
    <row r="630">
      <c r="A630" s="4" t="n">
        <v>33834</v>
      </c>
      <c r="B630" s="4" t="inlineStr">
        <is>
          <t>clstdai-btr-oned-p90-sn0550</t>
        </is>
      </c>
      <c r="C630" s="4" t="inlineStr">
        <is>
          <t>W00031886A</t>
        </is>
      </c>
      <c r="D630" s="6">
        <f>IF(F630&gt;=5, F630-5, IF(F630&lt;5, 0, F630))</f>
        <v/>
      </c>
      <c r="E630">
        <f>VLOOKUP(B630,[1]Namshi!$A:$B,2,0)</f>
        <v/>
      </c>
      <c r="F630" s="4">
        <f>SUMIFS('Dubai Stock'!I:I,'Dubai Stock'!H:H,Final_UAE!B:B)</f>
        <v/>
      </c>
      <c r="H630" s="8" t="e">
        <v>#N/A</v>
      </c>
      <c r="I630" s="8" t="n"/>
    </row>
    <row r="631">
      <c r="A631" s="4" t="n">
        <v>33834</v>
      </c>
      <c r="B631" s="4" t="inlineStr">
        <is>
          <t>fw32318-spc-000862-2318-53</t>
        </is>
      </c>
      <c r="C631" s="4" t="inlineStr">
        <is>
          <t>W00031886A</t>
        </is>
      </c>
      <c r="D631" s="6">
        <f>IF(F631&gt;=5, F631-5, IF(F631&lt;5, 0, F631))</f>
        <v/>
      </c>
      <c r="E631">
        <f>VLOOKUP(B631,[1]Namshi!$A:$B,2,0)</f>
        <v/>
      </c>
      <c r="F631" s="4">
        <f>SUMIFS('Dubai Stock'!I:I,'Dubai Stock'!H:H,Final_UAE!B:B)</f>
        <v/>
      </c>
      <c r="H631" s="8" t="e">
        <v>#N/A</v>
      </c>
      <c r="I631" s="8" t="n"/>
    </row>
    <row r="632">
      <c r="A632" s="4" t="n">
        <v>33834</v>
      </c>
      <c r="B632" s="4" t="inlineStr">
        <is>
          <t>costdai-acu-dffr-p30-grayzel-sn0125</t>
        </is>
      </c>
      <c r="C632" s="4" t="inlineStr">
        <is>
          <t>W00031886A</t>
        </is>
      </c>
      <c r="D632" s="6">
        <f>IF(F632&gt;=5, F632-5, IF(F632&lt;5, 0, F632))</f>
        <v/>
      </c>
      <c r="E632">
        <f>VLOOKUP(B632,[1]Namshi!$A:$B,2,0)</f>
        <v/>
      </c>
      <c r="F632" s="4">
        <f>SUMIFS('Dubai Stock'!I:I,'Dubai Stock'!H:H,Final_UAE!B:B)</f>
        <v/>
      </c>
      <c r="H632" s="8" t="e">
        <v>#N/A</v>
      </c>
      <c r="I632" s="8" t="n"/>
    </row>
    <row r="633">
      <c r="A633" s="4" t="n">
        <v>33834</v>
      </c>
      <c r="B633" s="4" t="inlineStr">
        <is>
          <t>cost3mo-lay-2025-p02-desert-topaz-sn0075</t>
        </is>
      </c>
      <c r="C633" s="4" t="inlineStr">
        <is>
          <t>W00031886A</t>
        </is>
      </c>
      <c r="D633" s="6">
        <f>IF(F633&gt;=5, F633-5, IF(F633&lt;5, 0, F633))</f>
        <v/>
      </c>
      <c r="E633">
        <f>VLOOKUP(B633,[1]Namshi!$A:$B,2,0)</f>
        <v/>
      </c>
      <c r="F633" s="4">
        <f>SUMIFS('Dubai Stock'!I:I,'Dubai Stock'!H:H,Final_UAE!B:B)</f>
        <v/>
      </c>
      <c r="H633" s="8" t="e">
        <v>#N/A</v>
      </c>
      <c r="I633" s="8" t="n"/>
    </row>
    <row r="634">
      <c r="A634" s="4" t="n">
        <v>33834</v>
      </c>
      <c r="B634" s="4" t="inlineStr">
        <is>
          <t>costmon-ama-2024-p02-matcha-sn0325</t>
        </is>
      </c>
      <c r="C634" s="4" t="inlineStr">
        <is>
          <t>W00031886A</t>
        </is>
      </c>
      <c r="D634" s="6">
        <f>IF(F634&gt;=5, F634-5, IF(F634&lt;5, 0, F634))</f>
        <v/>
      </c>
      <c r="E634">
        <f>VLOOKUP(B634,[1]Namshi!$A:$B,2,0)</f>
        <v/>
      </c>
      <c r="F634" s="4">
        <f>SUMIFS('Dubai Stock'!I:I,'Dubai Stock'!H:H,Final_UAE!B:B)</f>
        <v/>
      </c>
      <c r="H634" s="8" t="e">
        <v>#N/A</v>
      </c>
      <c r="I634" s="8" t="n"/>
    </row>
    <row r="635">
      <c r="A635" s="4" t="n">
        <v>33834</v>
      </c>
      <c r="B635" s="4" t="inlineStr">
        <is>
          <t>cost3mo-lay-2022-p02-avena-brown-sn0125</t>
        </is>
      </c>
      <c r="C635" s="4" t="inlineStr">
        <is>
          <t>W00031886A</t>
        </is>
      </c>
      <c r="D635" s="6">
        <f>IF(F635&gt;=5, F635-5, IF(F635&lt;5, 0, F635))</f>
        <v/>
      </c>
      <c r="E635">
        <f>VLOOKUP(B635,[1]Namshi!$A:$B,2,0)</f>
        <v/>
      </c>
      <c r="F635" s="4">
        <f>SUMIFS('Dubai Stock'!I:I,'Dubai Stock'!H:H,Final_UAE!B:B)</f>
        <v/>
      </c>
      <c r="H635" s="8" t="e">
        <v>#N/A</v>
      </c>
      <c r="I635" s="8" t="n"/>
    </row>
    <row r="636">
      <c r="A636" s="4" t="n">
        <v>33834</v>
      </c>
      <c r="B636" s="4" t="inlineStr">
        <is>
          <t>clstdai-acu-dfna-p90-sn0500</t>
        </is>
      </c>
      <c r="C636" s="4" t="inlineStr">
        <is>
          <t>W00031886A</t>
        </is>
      </c>
      <c r="D636" s="6">
        <f>IF(F636&gt;=5, F636-5, IF(F636&lt;5, 0, F636))</f>
        <v/>
      </c>
      <c r="E636">
        <f>VLOOKUP(B636,[1]Namshi!$A:$B,2,0)</f>
        <v/>
      </c>
      <c r="F636" s="4">
        <f>SUMIFS('Dubai Stock'!I:I,'Dubai Stock'!H:H,Final_UAE!B:B)</f>
        <v/>
      </c>
      <c r="H636" s="8" t="e">
        <v>#N/A</v>
      </c>
      <c r="I636" s="8" t="n"/>
    </row>
    <row r="637">
      <c r="A637" s="4" t="n">
        <v>33834</v>
      </c>
      <c r="B637" s="4" t="inlineStr">
        <is>
          <t>cost3mo-lay-lens-p02-golden-brown-sn0500</t>
        </is>
      </c>
      <c r="C637" s="4" t="inlineStr">
        <is>
          <t>W00031886A</t>
        </is>
      </c>
      <c r="D637" s="6">
        <f>IF(F637&gt;=5, F637-5, IF(F637&lt;5, 0, F637))</f>
        <v/>
      </c>
      <c r="E637">
        <f>VLOOKUP(B637,[1]Namshi!$A:$B,2,0)</f>
        <v/>
      </c>
      <c r="F637" s="4">
        <f>SUMIFS('Dubai Stock'!I:I,'Dubai Stock'!H:H,Final_UAE!B:B)</f>
        <v/>
      </c>
      <c r="H637" s="8" t="e">
        <v>#N/A</v>
      </c>
      <c r="I637" s="8" t="n"/>
    </row>
    <row r="638">
      <c r="A638" s="4" t="n">
        <v>33834</v>
      </c>
      <c r="B638" s="4" t="inlineStr">
        <is>
          <t>costmon-ama-lens-p02-crocodile-green-sn0225</t>
        </is>
      </c>
      <c r="C638" s="4" t="inlineStr">
        <is>
          <t>W00031886A</t>
        </is>
      </c>
      <c r="D638" s="6">
        <f>IF(F638&gt;=5, F638-5, IF(F638&lt;5, 0, F638))</f>
        <v/>
      </c>
      <c r="E638">
        <f>VLOOKUP(B638,[1]Namshi!$A:$B,2,0)</f>
        <v/>
      </c>
      <c r="F638" s="4">
        <f>SUMIFS('Dubai Stock'!I:I,'Dubai Stock'!H:H,Final_UAE!B:B)</f>
        <v/>
      </c>
      <c r="H638" s="8" t="e">
        <v>#N/A</v>
      </c>
      <c r="I638" s="8" t="n"/>
    </row>
    <row r="639">
      <c r="A639" s="4" t="n">
        <v>33834</v>
      </c>
      <c r="B639" s="4" t="inlineStr">
        <is>
          <t>cost3mo-lay-2021-p02-sunkiss-brown-sn0250</t>
        </is>
      </c>
      <c r="C639" s="4" t="inlineStr">
        <is>
          <t>W00031886A</t>
        </is>
      </c>
      <c r="D639" s="6">
        <f>IF(F639&gt;=5, F639-5, IF(F639&lt;5, 0, F639))</f>
        <v/>
      </c>
      <c r="E639">
        <f>VLOOKUP(B639,[1]Namshi!$A:$B,2,0)</f>
        <v/>
      </c>
      <c r="F639" s="4">
        <f>SUMIFS('Dubai Stock'!I:I,'Dubai Stock'!H:H,Final_UAE!B:B)</f>
        <v/>
      </c>
      <c r="H639" s="8" t="e">
        <v>#N/A</v>
      </c>
      <c r="I639" s="8" t="n"/>
    </row>
    <row r="640">
      <c r="A640" s="4" t="n">
        <v>33834</v>
      </c>
      <c r="B640" s="4" t="inlineStr">
        <is>
          <t>sm10107-30s-000253-0107-57</t>
        </is>
      </c>
      <c r="C640" s="4" t="inlineStr">
        <is>
          <t>W00031886A</t>
        </is>
      </c>
      <c r="D640" s="6">
        <f>IF(F640&gt;=5, F640-5, IF(F640&lt;5, 0, F640))</f>
        <v/>
      </c>
      <c r="E640">
        <f>VLOOKUP(B640,[1]Namshi!$A:$B,2,0)</f>
        <v/>
      </c>
      <c r="F640" s="4">
        <f>SUMIFS('Dubai Stock'!I:I,'Dubai Stock'!H:H,Final_UAE!B:B)</f>
        <v/>
      </c>
      <c r="H640" s="8" t="e">
        <v>#N/A</v>
      </c>
    </row>
    <row r="641">
      <c r="A641" s="4" t="n">
        <v>33834</v>
      </c>
      <c r="B641" s="4" t="inlineStr">
        <is>
          <t>clstmon-eve-prom-p06-sn0200</t>
        </is>
      </c>
      <c r="C641" s="4" t="inlineStr">
        <is>
          <t>W00031886A</t>
        </is>
      </c>
      <c r="D641" s="6">
        <f>IF(F641&gt;=5, F641-5, IF(F641&lt;5, 0, F641))</f>
        <v/>
      </c>
      <c r="E641">
        <f>VLOOKUP(B641,[1]Namshi!$A:$B,2,0)</f>
        <v/>
      </c>
      <c r="F641" s="4">
        <f>SUMIFS('Dubai Stock'!I:I,'Dubai Stock'!H:H,Final_UAE!B:B)</f>
        <v/>
      </c>
      <c r="H641" s="8" t="n">
        <v>212</v>
      </c>
      <c r="I641" s="8" t="n">
        <v>111.3</v>
      </c>
    </row>
    <row r="642">
      <c r="A642" s="4" t="n">
        <v>33834</v>
      </c>
      <c r="B642" s="4" t="inlineStr">
        <is>
          <t>sm40702-30s-000285-0702-53</t>
        </is>
      </c>
      <c r="C642" s="4" t="inlineStr">
        <is>
          <t>W00031886A</t>
        </is>
      </c>
      <c r="D642" s="6">
        <f>IF(F642&gt;=5, F642-5, IF(F642&lt;5, 0, F642))</f>
        <v/>
      </c>
      <c r="E642">
        <f>VLOOKUP(B642,[1]Namshi!$A:$B,2,0)</f>
        <v/>
      </c>
      <c r="F642" s="4">
        <f>SUMIFS('Dubai Stock'!I:I,'Dubai Stock'!H:H,Final_UAE!B:B)</f>
        <v/>
      </c>
      <c r="H642" s="8" t="e">
        <v>#N/A</v>
      </c>
    </row>
    <row r="643">
      <c r="A643" s="4" t="n">
        <v>33834</v>
      </c>
      <c r="B643" s="4" t="inlineStr">
        <is>
          <t>costmon-ama-2020-p02-pure-hazel-sn0375</t>
        </is>
      </c>
      <c r="C643" s="4" t="inlineStr">
        <is>
          <t>W00031886A</t>
        </is>
      </c>
      <c r="D643" s="6">
        <f>IF(F643&gt;=5, F643-5, IF(F643&lt;5, 0, F643))</f>
        <v/>
      </c>
      <c r="E643">
        <f>VLOOKUP(B643,[1]Namshi!$A:$B,2,0)</f>
        <v/>
      </c>
      <c r="F643" s="4">
        <f>SUMIFS('Dubai Stock'!I:I,'Dubai Stock'!H:H,Final_UAE!B:B)</f>
        <v/>
      </c>
      <c r="H643" s="8" t="e">
        <v>#N/A</v>
      </c>
      <c r="I643" s="8" t="n"/>
    </row>
    <row r="644">
      <c r="A644" s="4" t="n">
        <v>33834</v>
      </c>
      <c r="B644" s="4" t="inlineStr">
        <is>
          <t>cost3mo-lay-2023-p02-sable-brown-sn0200</t>
        </is>
      </c>
      <c r="C644" s="4" t="inlineStr">
        <is>
          <t>W00031886A</t>
        </is>
      </c>
      <c r="D644" s="6">
        <f>IF(F644&gt;=5, F644-5, IF(F644&lt;5, 0, F644))</f>
        <v/>
      </c>
      <c r="E644">
        <f>VLOOKUP(B644,[1]Namshi!$A:$B,2,0)</f>
        <v/>
      </c>
      <c r="F644" s="4">
        <f>SUMIFS('Dubai Stock'!I:I,'Dubai Stock'!H:H,Final_UAE!B:B)</f>
        <v/>
      </c>
      <c r="H644" s="8" t="e">
        <v>#N/A</v>
      </c>
      <c r="I644" s="8" t="n"/>
    </row>
    <row r="645">
      <c r="A645" s="4" t="n">
        <v>33834</v>
      </c>
      <c r="B645" s="4" t="inlineStr">
        <is>
          <t>sw42904-bla-000333-2904-57</t>
        </is>
      </c>
      <c r="C645" s="4" t="inlineStr">
        <is>
          <t>W00031886A</t>
        </is>
      </c>
      <c r="D645" s="6">
        <f>IF(F645&gt;=5, F645-5, IF(F645&lt;5, 0, F645))</f>
        <v/>
      </c>
      <c r="E645">
        <f>VLOOKUP(B645,[1]Namshi!$A:$B,2,0)</f>
        <v/>
      </c>
      <c r="F645" s="4">
        <f>SUMIFS('Dubai Stock'!I:I,'Dubai Stock'!H:H,Final_UAE!B:B)</f>
        <v/>
      </c>
      <c r="H645" s="8" t="e">
        <v>#N/A</v>
      </c>
    </row>
    <row r="646">
      <c r="A646" s="4" t="n">
        <v>33834</v>
      </c>
      <c r="B646" s="4" t="inlineStr">
        <is>
          <t>sw100107-30s-000306-0101-49</t>
        </is>
      </c>
      <c r="C646" s="4" t="inlineStr">
        <is>
          <t>W00031886A</t>
        </is>
      </c>
      <c r="D646" s="6">
        <f>IF(F646&gt;=5, F646-5, IF(F646&lt;5, 0, F646))</f>
        <v/>
      </c>
      <c r="E646">
        <f>VLOOKUP(B646,[1]Namshi!$A:$B,2,0)</f>
        <v/>
      </c>
      <c r="F646" s="4">
        <f>SUMIFS('Dubai Stock'!I:I,'Dubai Stock'!H:H,Final_UAE!B:B)</f>
        <v/>
      </c>
      <c r="H646" s="8" t="e">
        <v>#N/A</v>
      </c>
    </row>
    <row r="647">
      <c r="A647" s="4" t="n">
        <v>33834</v>
      </c>
      <c r="B647" s="4" t="inlineStr">
        <is>
          <t>ru20418-spc-000881-0418-48-sp0300</t>
        </is>
      </c>
      <c r="C647" s="4" t="inlineStr">
        <is>
          <t>W00031886A</t>
        </is>
      </c>
      <c r="D647" s="6">
        <f>IF(F647&gt;=5, F647-5, IF(F647&lt;5, 0, F647))</f>
        <v/>
      </c>
      <c r="E647">
        <f>VLOOKUP(B647,[1]Namshi!$A:$B,2,0)</f>
        <v/>
      </c>
      <c r="F647" s="4">
        <f>SUMIFS('Dubai Stock'!I:I,'Dubai Stock'!H:H,Final_UAE!B:B)</f>
        <v/>
      </c>
      <c r="H647" s="8" t="e">
        <v>#N/A</v>
      </c>
      <c r="I647" s="8" t="n"/>
    </row>
    <row r="648">
      <c r="A648" s="4" t="n">
        <v>33834</v>
      </c>
      <c r="B648" s="4" t="inlineStr">
        <is>
          <t>costmon-ama-lens-p02-crocodile-green-sn0250</t>
        </is>
      </c>
      <c r="C648" s="4" t="inlineStr">
        <is>
          <t>W00031886A</t>
        </is>
      </c>
      <c r="D648" s="6">
        <f>IF(F648&gt;=5, F648-5, IF(F648&lt;5, 0, F648))</f>
        <v/>
      </c>
      <c r="E648">
        <f>VLOOKUP(B648,[1]Namshi!$A:$B,2,0)</f>
        <v/>
      </c>
      <c r="F648" s="4">
        <f>SUMIFS('Dubai Stock'!I:I,'Dubai Stock'!H:H,Final_UAE!B:B)</f>
        <v/>
      </c>
      <c r="H648" s="8" t="e">
        <v>#N/A</v>
      </c>
      <c r="I648" s="8" t="n"/>
    </row>
    <row r="649">
      <c r="A649" s="4" t="n">
        <v>33834</v>
      </c>
      <c r="B649" s="4" t="inlineStr">
        <is>
          <t>cost3mo-lay-2020-p02-ash-gray-sn0275</t>
        </is>
      </c>
      <c r="C649" s="4" t="inlineStr">
        <is>
          <t>W00031886A</t>
        </is>
      </c>
      <c r="D649" s="6">
        <f>IF(F649&gt;=5, F649-5, IF(F649&lt;5, 0, F649))</f>
        <v/>
      </c>
      <c r="E649">
        <f>VLOOKUP(B649,[1]Namshi!$A:$B,2,0)</f>
        <v/>
      </c>
      <c r="F649" s="4">
        <f>SUMIFS('Dubai Stock'!I:I,'Dubai Stock'!H:H,Final_UAE!B:B)</f>
        <v/>
      </c>
      <c r="H649" s="8" t="e">
        <v>#N/A</v>
      </c>
      <c r="I649" s="8" t="n"/>
    </row>
    <row r="650">
      <c r="A650" s="4" t="n">
        <v>33834</v>
      </c>
      <c r="B650" s="4" t="inlineStr">
        <is>
          <t>fu20506-spc-000848-0506-52</t>
        </is>
      </c>
      <c r="C650" s="4" t="inlineStr">
        <is>
          <t>W00031886A</t>
        </is>
      </c>
      <c r="D650" s="6">
        <f>IF(F650&gt;=5, F650-5, IF(F650&lt;5, 0, F650))</f>
        <v/>
      </c>
      <c r="E650">
        <f>VLOOKUP(B650,[1]Namshi!$A:$B,2,0)</f>
        <v/>
      </c>
      <c r="F650" s="4">
        <f>SUMIFS('Dubai Stock'!I:I,'Dubai Stock'!H:H,Final_UAE!B:B)</f>
        <v/>
      </c>
      <c r="H650" s="8" t="e">
        <v>#N/A</v>
      </c>
      <c r="I650" s="8" t="n"/>
    </row>
    <row r="651">
      <c r="A651" s="4" t="n">
        <v>33834</v>
      </c>
      <c r="B651" s="4" t="inlineStr">
        <is>
          <t>costdai-ama-dail-p10-honey-sn0350</t>
        </is>
      </c>
      <c r="C651" s="4" t="inlineStr">
        <is>
          <t>W00031886A</t>
        </is>
      </c>
      <c r="D651" s="6">
        <f>IF(F651&gt;=5, F651-5, IF(F651&lt;5, 0, F651))</f>
        <v/>
      </c>
      <c r="E651">
        <f>VLOOKUP(B651,[1]Namshi!$A:$B,2,0)</f>
        <v/>
      </c>
      <c r="F651" s="4">
        <f>SUMIFS('Dubai Stock'!I:I,'Dubai Stock'!H:H,Final_UAE!B:B)</f>
        <v/>
      </c>
      <c r="H651" s="8" t="e">
        <v>#N/A</v>
      </c>
      <c r="I651" s="8" t="n"/>
    </row>
    <row r="652">
      <c r="A652" s="4" t="n">
        <v>33834</v>
      </c>
      <c r="B652" s="4" t="inlineStr">
        <is>
          <t>ru40218-spc-000850-0218-49-sp0100</t>
        </is>
      </c>
      <c r="C652" s="4" t="inlineStr">
        <is>
          <t>W00031886A</t>
        </is>
      </c>
      <c r="D652" s="6">
        <f>IF(F652&gt;=5, F652-5, IF(F652&lt;5, 0, F652))</f>
        <v/>
      </c>
      <c r="E652">
        <f>VLOOKUP(B652,[1]Namshi!$A:$B,2,0)</f>
        <v/>
      </c>
      <c r="F652" s="4">
        <f>SUMIFS('Dubai Stock'!I:I,'Dubai Stock'!H:H,Final_UAE!B:B)</f>
        <v/>
      </c>
      <c r="H652" s="8" t="e">
        <v>#N/A</v>
      </c>
      <c r="I652" s="8" t="n"/>
    </row>
    <row r="653">
      <c r="A653" s="4" t="n">
        <v>33834</v>
      </c>
      <c r="B653" s="4" t="inlineStr">
        <is>
          <t>cost3mo-lay-2021-p02-golden-gray-sn0450</t>
        </is>
      </c>
      <c r="C653" s="4" t="inlineStr">
        <is>
          <t>W00031886A</t>
        </is>
      </c>
      <c r="D653" s="6">
        <f>IF(F653&gt;=5, F653-5, IF(F653&lt;5, 0, F653))</f>
        <v/>
      </c>
      <c r="E653">
        <f>VLOOKUP(B653,[1]Namshi!$A:$B,2,0)</f>
        <v/>
      </c>
      <c r="F653" s="4">
        <f>SUMIFS('Dubai Stock'!I:I,'Dubai Stock'!H:H,Final_UAE!B:B)</f>
        <v/>
      </c>
      <c r="H653" s="8" t="e">
        <v>#N/A</v>
      </c>
      <c r="I653" s="8" t="n"/>
    </row>
    <row r="654">
      <c r="A654" s="4" t="n">
        <v>33834</v>
      </c>
      <c r="B654" s="4" t="inlineStr">
        <is>
          <t>clstdai-acu-omax-p30-sn0250</t>
        </is>
      </c>
      <c r="C654" s="4" t="inlineStr">
        <is>
          <t>W00031886A</t>
        </is>
      </c>
      <c r="D654" s="6">
        <f>IF(F654&gt;=5, F654-5, IF(F654&lt;5, 0, F654))</f>
        <v/>
      </c>
      <c r="E654">
        <f>VLOOKUP(B654,[1]Namshi!$A:$B,2,0)</f>
        <v/>
      </c>
      <c r="F654" s="4">
        <f>SUMIFS('Dubai Stock'!I:I,'Dubai Stock'!H:H,Final_UAE!B:B)</f>
        <v/>
      </c>
      <c r="H654" s="8" t="e">
        <v>#N/A</v>
      </c>
      <c r="I654" s="8" t="n"/>
    </row>
    <row r="655">
      <c r="A655" s="4" t="n">
        <v>33834</v>
      </c>
      <c r="B655" s="4" t="inlineStr">
        <is>
          <t>cost3mo-lay-lens-p02-chestnut-brown-sn0450</t>
        </is>
      </c>
      <c r="C655" s="4" t="inlineStr">
        <is>
          <t>W00031886A</t>
        </is>
      </c>
      <c r="D655" s="6">
        <f>IF(F655&gt;=5, F655-5, IF(F655&lt;5, 0, F655))</f>
        <v/>
      </c>
      <c r="E655">
        <f>VLOOKUP(B655,[1]Namshi!$A:$B,2,0)</f>
        <v/>
      </c>
      <c r="F655" s="4">
        <f>SUMIFS('Dubai Stock'!I:I,'Dubai Stock'!H:H,Final_UAE!B:B)</f>
        <v/>
      </c>
      <c r="H655" s="8" t="e">
        <v>#N/A</v>
      </c>
      <c r="I655" s="8" t="n"/>
    </row>
    <row r="656">
      <c r="A656" s="4" t="n">
        <v>33834</v>
      </c>
      <c r="B656" s="4" t="inlineStr">
        <is>
          <t>clstdai-acu-dfna-p60-sn0600</t>
        </is>
      </c>
      <c r="C656" s="4" t="inlineStr">
        <is>
          <t>W00031886A</t>
        </is>
      </c>
      <c r="D656" s="6">
        <f>IF(F656&gt;=5, F656-5, IF(F656&lt;5, 0, F656))</f>
        <v/>
      </c>
      <c r="E656">
        <f>VLOOKUP(B656,[1]Namshi!$A:$B,2,0)</f>
        <v/>
      </c>
      <c r="F656" s="4">
        <f>SUMIFS('Dubai Stock'!I:I,'Dubai Stock'!H:H,Final_UAE!B:B)</f>
        <v/>
      </c>
      <c r="H656" s="8" t="e">
        <v>#N/A</v>
      </c>
      <c r="I656" s="8" t="n"/>
    </row>
    <row r="657">
      <c r="A657" s="4" t="n">
        <v>33834</v>
      </c>
      <c r="B657" s="4" t="inlineStr">
        <is>
          <t>su100202-30s-000277-0202-52</t>
        </is>
      </c>
      <c r="C657" s="4" t="inlineStr">
        <is>
          <t>W00031886A</t>
        </is>
      </c>
      <c r="D657" s="6">
        <f>IF(F657&gt;=5, F657-5, IF(F657&lt;5, 0, F657))</f>
        <v/>
      </c>
      <c r="E657">
        <f>VLOOKUP(B657,[1]Namshi!$A:$B,2,0)</f>
        <v/>
      </c>
      <c r="F657" s="4">
        <f>SUMIFS('Dubai Stock'!I:I,'Dubai Stock'!H:H,Final_UAE!B:B)</f>
        <v/>
      </c>
      <c r="H657" s="8" t="e">
        <v>#N/A</v>
      </c>
    </row>
    <row r="658">
      <c r="A658" s="4" t="n">
        <v>33834</v>
      </c>
      <c r="B658" s="4" t="inlineStr">
        <is>
          <t>sw100107-bla-000356-0107-52</t>
        </is>
      </c>
      <c r="C658" s="4" t="inlineStr">
        <is>
          <t>W00031886A</t>
        </is>
      </c>
      <c r="D658" s="6">
        <f>IF(F658&gt;=5, F658-5, IF(F658&lt;5, 0, F658))</f>
        <v/>
      </c>
      <c r="E658">
        <f>VLOOKUP(B658,[1]Namshi!$A:$B,2,0)</f>
        <v/>
      </c>
      <c r="F658" s="4">
        <f>SUMIFS('Dubai Stock'!I:I,'Dubai Stock'!H:H,Final_UAE!B:B)</f>
        <v/>
      </c>
      <c r="H658" s="8" t="e">
        <v>#N/A</v>
      </c>
    </row>
    <row r="659">
      <c r="A659" s="4" t="n">
        <v>33834</v>
      </c>
      <c r="B659" s="4" t="inlineStr">
        <is>
          <t>fm71218-spc-000513-1200-52</t>
        </is>
      </c>
      <c r="C659" s="4" t="inlineStr">
        <is>
          <t>W00031886A</t>
        </is>
      </c>
      <c r="D659" s="6">
        <f>IF(F659&gt;=5, F659-5, IF(F659&lt;5, 0, F659))</f>
        <v/>
      </c>
      <c r="E659">
        <f>VLOOKUP(B659,[1]Namshi!$A:$B,2,0)</f>
        <v/>
      </c>
      <c r="F659" s="4">
        <f>SUMIFS('Dubai Stock'!I:I,'Dubai Stock'!H:H,Final_UAE!B:B)</f>
        <v/>
      </c>
      <c r="H659" s="8" t="e">
        <v>#N/A</v>
      </c>
      <c r="I659" s="8" t="n"/>
    </row>
    <row r="660">
      <c r="A660" s="4" t="n">
        <v>33834</v>
      </c>
      <c r="B660" s="4" t="inlineStr">
        <is>
          <t>clstdai-acu-omax-p90-sn0250</t>
        </is>
      </c>
      <c r="C660" s="4" t="inlineStr">
        <is>
          <t>W00031886A</t>
        </is>
      </c>
      <c r="D660" s="6">
        <f>IF(F660&gt;=5, F660-5, IF(F660&lt;5, 0, F660))</f>
        <v/>
      </c>
      <c r="E660">
        <f>VLOOKUP(B660,[1]Namshi!$A:$B,2,0)</f>
        <v/>
      </c>
      <c r="F660" s="4">
        <f>SUMIFS('Dubai Stock'!I:I,'Dubai Stock'!H:H,Final_UAE!B:B)</f>
        <v/>
      </c>
      <c r="H660" s="8" t="e">
        <v>#N/A</v>
      </c>
      <c r="I660" s="8" t="n"/>
    </row>
    <row r="661">
      <c r="A661" s="4" t="n">
        <v>33834</v>
      </c>
      <c r="B661" s="4" t="inlineStr">
        <is>
          <t>clstdai-acu-mois-p30-sn0150</t>
        </is>
      </c>
      <c r="C661" s="4" t="inlineStr">
        <is>
          <t>W00031886A</t>
        </is>
      </c>
      <c r="D661" s="6">
        <f>IF(F661&gt;=5, F661-5, IF(F661&lt;5, 0, F661))</f>
        <v/>
      </c>
      <c r="E661">
        <f>VLOOKUP(B661,[1]Namshi!$A:$B,2,0)</f>
        <v/>
      </c>
      <c r="F661" s="4">
        <f>SUMIFS('Dubai Stock'!I:I,'Dubai Stock'!H:H,Final_UAE!B:B)</f>
        <v/>
      </c>
      <c r="H661" s="8" t="e">
        <v>#N/A</v>
      </c>
      <c r="I661" s="8" t="n"/>
    </row>
    <row r="662">
      <c r="A662" s="4" t="n">
        <v>33834</v>
      </c>
      <c r="B662" s="4" t="inlineStr">
        <is>
          <t>cost3mo-lay-2022-p02-cosmo-gray-sn0400</t>
        </is>
      </c>
      <c r="C662" s="4" t="inlineStr">
        <is>
          <t>W00031886A</t>
        </is>
      </c>
      <c r="D662" s="6">
        <f>IF(F662&gt;=5, F662-5, IF(F662&lt;5, 0, F662))</f>
        <v/>
      </c>
      <c r="E662">
        <f>VLOOKUP(B662,[1]Namshi!$A:$B,2,0)</f>
        <v/>
      </c>
      <c r="F662" s="4">
        <f>SUMIFS('Dubai Stock'!I:I,'Dubai Stock'!H:H,Final_UAE!B:B)</f>
        <v/>
      </c>
      <c r="H662" s="8" t="e">
        <v>#N/A</v>
      </c>
      <c r="I662" s="8" t="n"/>
    </row>
    <row r="663">
      <c r="A663" s="4" t="n">
        <v>33834</v>
      </c>
      <c r="B663" s="4" t="inlineStr">
        <is>
          <t>sw30107-bla-000253-0101-50</t>
        </is>
      </c>
      <c r="C663" s="4" t="inlineStr">
        <is>
          <t>W00031886A</t>
        </is>
      </c>
      <c r="D663" s="6">
        <f>IF(F663&gt;=5, F663-5, IF(F663&lt;5, 0, F663))</f>
        <v/>
      </c>
      <c r="E663">
        <f>VLOOKUP(B663,[1]Namshi!$A:$B,2,0)</f>
        <v/>
      </c>
      <c r="F663" s="4">
        <f>SUMIFS('Dubai Stock'!I:I,'Dubai Stock'!H:H,Final_UAE!B:B)</f>
        <v/>
      </c>
      <c r="H663" s="8" t="e">
        <v>#N/A</v>
      </c>
    </row>
    <row r="664">
      <c r="A664" s="4" t="n">
        <v>33834</v>
      </c>
      <c r="B664" s="4" t="inlineStr">
        <is>
          <t>clstdai-acu-dfna-p30-sn0075</t>
        </is>
      </c>
      <c r="C664" s="4" t="inlineStr">
        <is>
          <t>W00031886A</t>
        </is>
      </c>
      <c r="D664" s="6">
        <f>IF(F664&gt;=5, F664-5, IF(F664&lt;5, 0, F664))</f>
        <v/>
      </c>
      <c r="E664">
        <f>VLOOKUP(B664,[1]Namshi!$A:$B,2,0)</f>
        <v/>
      </c>
      <c r="F664" s="4">
        <f>SUMIFS('Dubai Stock'!I:I,'Dubai Stock'!H:H,Final_UAE!B:B)</f>
        <v/>
      </c>
      <c r="H664" s="8" t="e">
        <v>#N/A</v>
      </c>
      <c r="I664" s="8" t="n"/>
    </row>
    <row r="665">
      <c r="A665" s="4" t="n">
        <v>33834</v>
      </c>
      <c r="B665" s="4" t="inlineStr">
        <is>
          <t>clstdai-dai-aqua-p90-sn0075</t>
        </is>
      </c>
      <c r="C665" s="4" t="inlineStr">
        <is>
          <t>W00031886A</t>
        </is>
      </c>
      <c r="D665" s="6">
        <f>IF(F665&gt;=5, F665-5, IF(F665&lt;5, 0, F665))</f>
        <v/>
      </c>
      <c r="E665">
        <f>VLOOKUP(B665,[1]Namshi!$A:$B,2,0)</f>
        <v/>
      </c>
      <c r="F665" s="4">
        <f>SUMIFS('Dubai Stock'!I:I,'Dubai Stock'!H:H,Final_UAE!B:B)</f>
        <v/>
      </c>
      <c r="H665" s="8" t="e">
        <v>#N/A</v>
      </c>
      <c r="I665" s="8" t="n"/>
    </row>
    <row r="666">
      <c r="A666" s="4" t="n">
        <v>33834</v>
      </c>
      <c r="B666" s="4" t="inlineStr">
        <is>
          <t>cost3mo-lay-2021-p02-polar-gray-sn0550</t>
        </is>
      </c>
      <c r="C666" s="4" t="inlineStr">
        <is>
          <t>W00031886A</t>
        </is>
      </c>
      <c r="D666" s="6">
        <f>IF(F666&gt;=5, F666-5, IF(F666&lt;5, 0, F666))</f>
        <v/>
      </c>
      <c r="E666">
        <f>VLOOKUP(B666,[1]Namshi!$A:$B,2,0)</f>
        <v/>
      </c>
      <c r="F666" s="4">
        <f>SUMIFS('Dubai Stock'!I:I,'Dubai Stock'!H:H,Final_UAE!B:B)</f>
        <v/>
      </c>
      <c r="H666" s="8" t="e">
        <v>#N/A</v>
      </c>
      <c r="I666" s="8" t="n"/>
    </row>
    <row r="667">
      <c r="A667" s="4" t="n">
        <v>33834</v>
      </c>
      <c r="B667" s="4" t="inlineStr">
        <is>
          <t>clstdai-dai-tot1-p90-sn0150</t>
        </is>
      </c>
      <c r="C667" s="4" t="inlineStr">
        <is>
          <t>W00031886A</t>
        </is>
      </c>
      <c r="D667" s="6">
        <f>IF(F667&gt;=5, F667-5, IF(F667&lt;5, 0, F667))</f>
        <v/>
      </c>
      <c r="E667">
        <f>VLOOKUP(B667,[1]Namshi!$A:$B,2,0)</f>
        <v/>
      </c>
      <c r="F667" s="4">
        <f>SUMIFS('Dubai Stock'!I:I,'Dubai Stock'!H:H,Final_UAE!B:B)</f>
        <v/>
      </c>
      <c r="H667" s="8" t="e">
        <v>#N/A</v>
      </c>
      <c r="I667" s="8" t="n"/>
    </row>
    <row r="668">
      <c r="A668" s="4" t="n">
        <v>33834</v>
      </c>
      <c r="B668" s="4" t="inlineStr">
        <is>
          <t>sw62907-30s-000435-2907-54</t>
        </is>
      </c>
      <c r="C668" s="4" t="inlineStr">
        <is>
          <t>W00031886A</t>
        </is>
      </c>
      <c r="D668" s="6">
        <f>IF(F668&gt;=5, F668-5, IF(F668&lt;5, 0, F668))</f>
        <v/>
      </c>
      <c r="E668">
        <f>VLOOKUP(B668,[1]Namshi!$A:$B,2,0)</f>
        <v/>
      </c>
      <c r="F668" s="4">
        <f>SUMIFS('Dubai Stock'!I:I,'Dubai Stock'!H:H,Final_UAE!B:B)</f>
        <v/>
      </c>
      <c r="H668" s="8" t="e">
        <v>#N/A</v>
      </c>
    </row>
    <row r="669">
      <c r="A669" s="4" t="n">
        <v>33834</v>
      </c>
      <c r="B669" s="4" t="inlineStr">
        <is>
          <t>fw71218-spc-000514-1200-53</t>
        </is>
      </c>
      <c r="C669" s="4" t="inlineStr">
        <is>
          <t>W00031886A</t>
        </is>
      </c>
      <c r="D669" s="6">
        <f>IF(F669&gt;=5, F669-5, IF(F669&lt;5, 0, F669))</f>
        <v/>
      </c>
      <c r="E669">
        <f>VLOOKUP(B669,[1]Namshi!$A:$B,2,0)</f>
        <v/>
      </c>
      <c r="F669" s="4">
        <f>SUMIFS('Dubai Stock'!I:I,'Dubai Stock'!H:H,Final_UAE!B:B)</f>
        <v/>
      </c>
      <c r="H669" s="8" t="e">
        <v>#N/A</v>
      </c>
      <c r="I669" s="8" t="n"/>
    </row>
    <row r="670">
      <c r="A670" s="4" t="n">
        <v>33834</v>
      </c>
      <c r="B670" s="4" t="inlineStr">
        <is>
          <t>fm70118-spc-000508-0100-50</t>
        </is>
      </c>
      <c r="C670" s="4" t="inlineStr">
        <is>
          <t>W00031886A</t>
        </is>
      </c>
      <c r="D670" s="6">
        <f>IF(F670&gt;=5, F670-5, IF(F670&lt;5, 0, F670))</f>
        <v/>
      </c>
      <c r="E670">
        <f>VLOOKUP(B670,[1]Namshi!$A:$B,2,0)</f>
        <v/>
      </c>
      <c r="F670" s="4">
        <f>SUMIFS('Dubai Stock'!I:I,'Dubai Stock'!H:H,Final_UAE!B:B)</f>
        <v/>
      </c>
      <c r="H670" s="8" t="e">
        <v>#N/A</v>
      </c>
      <c r="I670" s="8" t="n"/>
    </row>
    <row r="671">
      <c r="A671" s="4" t="n">
        <v>33834</v>
      </c>
      <c r="B671" s="4" t="inlineStr">
        <is>
          <t>clstdai-lay-cont-p30-dazzle-brown-sn0250</t>
        </is>
      </c>
      <c r="C671" s="4" t="inlineStr">
        <is>
          <t>W00031886A</t>
        </is>
      </c>
      <c r="D671" s="6">
        <f>IF(F671&gt;=5, F671-5, IF(F671&lt;5, 0, F671))</f>
        <v/>
      </c>
      <c r="E671">
        <f>VLOOKUP(B671,[1]Namshi!$A:$B,2,0)</f>
        <v/>
      </c>
      <c r="F671" s="4">
        <f>SUMIFS('Dubai Stock'!I:I,'Dubai Stock'!H:H,Final_UAE!B:B)</f>
        <v/>
      </c>
      <c r="H671" s="8" t="e">
        <v>#N/A</v>
      </c>
      <c r="I671" s="8" t="n"/>
    </row>
    <row r="672">
      <c r="A672" s="4" t="n">
        <v>33834</v>
      </c>
      <c r="B672" s="4" t="inlineStr">
        <is>
          <t>clstbiw-acu-0002-p06-sp0600</t>
        </is>
      </c>
      <c r="C672" s="4" t="inlineStr">
        <is>
          <t>W00031886A</t>
        </is>
      </c>
      <c r="D672" s="6">
        <f>IF(F672&gt;=5, F672-5, IF(F672&lt;5, 0, F672))</f>
        <v/>
      </c>
      <c r="E672">
        <f>VLOOKUP(B672,[1]Namshi!$A:$B,2,0)</f>
        <v/>
      </c>
      <c r="F672" s="4">
        <f>SUMIFS('Dubai Stock'!I:I,'Dubai Stock'!H:H,Final_UAE!B:B)</f>
        <v/>
      </c>
      <c r="H672" s="8" t="e">
        <v>#N/A</v>
      </c>
      <c r="I672" s="8" t="n"/>
    </row>
    <row r="673">
      <c r="A673" s="4" t="n">
        <v>33834</v>
      </c>
      <c r="B673" s="4" t="inlineStr">
        <is>
          <t>bc20218-bab-000501-0218-46</t>
        </is>
      </c>
      <c r="C673" s="4" t="inlineStr">
        <is>
          <t>W00031886A</t>
        </is>
      </c>
      <c r="D673" s="6">
        <f>IF(F673&gt;=5, F673-5, IF(F673&lt;5, 0, F673))</f>
        <v/>
      </c>
      <c r="E673">
        <f>VLOOKUP(B673,[1]Namshi!$A:$B,2,0)</f>
        <v/>
      </c>
      <c r="F673" s="4">
        <f>SUMIFS('Dubai Stock'!I:I,'Dubai Stock'!H:H,Final_UAE!B:B)</f>
        <v/>
      </c>
      <c r="H673" s="8" t="e">
        <v>#N/A</v>
      </c>
    </row>
    <row r="674">
      <c r="A674" s="4" t="n">
        <v>33834</v>
      </c>
      <c r="B674" s="4" t="inlineStr">
        <is>
          <t>sc20107-bab-000501-0107-46</t>
        </is>
      </c>
      <c r="C674" s="4" t="inlineStr">
        <is>
          <t>W00031886A</t>
        </is>
      </c>
      <c r="D674" s="6">
        <f>IF(F674&gt;=5, F674-5, IF(F674&lt;5, 0, F674))</f>
        <v/>
      </c>
      <c r="E674">
        <f>VLOOKUP(B674,[1]Namshi!$A:$B,2,0)</f>
        <v/>
      </c>
      <c r="F674" s="4">
        <f>SUMIFS('Dubai Stock'!I:I,'Dubai Stock'!H:H,Final_UAE!B:B)</f>
        <v/>
      </c>
      <c r="H674" s="8" t="e">
        <v>#N/A</v>
      </c>
    </row>
    <row r="675">
      <c r="A675" s="4" t="n">
        <v>33834</v>
      </c>
      <c r="B675" s="4" t="inlineStr">
        <is>
          <t>sc20607-bab-000502-0607-50</t>
        </is>
      </c>
      <c r="C675" s="4" t="inlineStr">
        <is>
          <t>W00031886A</t>
        </is>
      </c>
      <c r="D675" s="6">
        <f>IF(F675&gt;=5, F675-5, IF(F675&lt;5, 0, F675))</f>
        <v/>
      </c>
      <c r="E675">
        <f>VLOOKUP(B675,[1]Namshi!$A:$B,2,0)</f>
        <v/>
      </c>
      <c r="F675" s="4">
        <f>SUMIFS('Dubai Stock'!I:I,'Dubai Stock'!H:H,Final_UAE!B:B)</f>
        <v/>
      </c>
      <c r="H675" s="8" t="e">
        <v>#N/A</v>
      </c>
    </row>
    <row r="676">
      <c r="A676" s="4" t="n">
        <v>33834</v>
      </c>
      <c r="B676" s="4" t="inlineStr">
        <is>
          <t>clstdai-dai-aqua-p90-sn1450</t>
        </is>
      </c>
      <c r="C676" s="4" t="inlineStr">
        <is>
          <t>W00031886A</t>
        </is>
      </c>
      <c r="D676" s="6">
        <f>IF(F676&gt;=5, F676-5, IF(F676&lt;5, 0, F676))</f>
        <v/>
      </c>
      <c r="E676">
        <f>VLOOKUP(B676,[1]Namshi!$A:$B,2,0)</f>
        <v/>
      </c>
      <c r="F676" s="4">
        <f>SUMIFS('Dubai Stock'!I:I,'Dubai Stock'!H:H,Final_UAE!B:B)</f>
        <v/>
      </c>
      <c r="H676" s="8" t="e">
        <v>#N/A</v>
      </c>
      <c r="I676" s="8" t="n"/>
    </row>
    <row r="677">
      <c r="A677" s="4" t="n">
        <v>33834</v>
      </c>
      <c r="B677" s="4" t="inlineStr">
        <is>
          <t>sw102404-30s-000306-2404-49</t>
        </is>
      </c>
      <c r="C677" s="4" t="inlineStr">
        <is>
          <t>W00031886A</t>
        </is>
      </c>
      <c r="D677" s="6">
        <f>IF(F677&gt;=5, F677-5, IF(F677&lt;5, 0, F677))</f>
        <v/>
      </c>
      <c r="E677">
        <f>VLOOKUP(B677,[1]Namshi!$A:$B,2,0)</f>
        <v/>
      </c>
      <c r="F677" s="4">
        <f>SUMIFS('Dubai Stock'!I:I,'Dubai Stock'!H:H,Final_UAE!B:B)</f>
        <v/>
      </c>
      <c r="H677" s="8" t="e">
        <v>#N/A</v>
      </c>
    </row>
    <row r="678">
      <c r="A678" s="4" t="n">
        <v>33834</v>
      </c>
      <c r="B678" s="4" t="inlineStr">
        <is>
          <t>costmon-ama-2024-p02-barbie-brown-sp0000</t>
        </is>
      </c>
      <c r="C678" s="4" t="inlineStr">
        <is>
          <t>W00031886A</t>
        </is>
      </c>
      <c r="D678" s="6">
        <f>IF(F678&gt;=5, F678-5, IF(F678&lt;5, 0, F678))</f>
        <v/>
      </c>
      <c r="E678">
        <f>VLOOKUP(B678,[1]Namshi!$A:$B,2,0)</f>
        <v/>
      </c>
      <c r="F678" s="4">
        <f>SUMIFS('Dubai Stock'!I:I,'Dubai Stock'!H:H,Final_UAE!B:B)</f>
        <v/>
      </c>
      <c r="H678" s="8" t="e">
        <v>#N/A</v>
      </c>
      <c r="I678" s="8" t="n"/>
    </row>
    <row r="679">
      <c r="A679" s="4" t="n">
        <v>33834</v>
      </c>
      <c r="B679" s="4" t="inlineStr">
        <is>
          <t>sw32404-bla-000308-2404-61</t>
        </is>
      </c>
      <c r="C679" s="4" t="inlineStr">
        <is>
          <t>W00031886A</t>
        </is>
      </c>
      <c r="D679" s="6">
        <f>IF(F679&gt;=5, F679-5, IF(F679&lt;5, 0, F679))</f>
        <v/>
      </c>
      <c r="E679">
        <f>VLOOKUP(B679,[1]Namshi!$A:$B,2,0)</f>
        <v/>
      </c>
      <c r="F679" s="4">
        <f>SUMIFS('Dubai Stock'!I:I,'Dubai Stock'!H:H,Final_UAE!B:B)</f>
        <v/>
      </c>
      <c r="H679" s="8" t="e">
        <v>#N/A</v>
      </c>
    </row>
    <row r="680">
      <c r="A680" s="4" t="n">
        <v>33834</v>
      </c>
      <c r="B680" s="4" t="inlineStr">
        <is>
          <t>sw100206-bla-000268-2906-56</t>
        </is>
      </c>
      <c r="C680" s="4" t="inlineStr">
        <is>
          <t>W00031886A</t>
        </is>
      </c>
      <c r="D680" s="6">
        <f>IF(F680&gt;=5, F680-5, IF(F680&lt;5, 0, F680))</f>
        <v/>
      </c>
      <c r="E680">
        <f>VLOOKUP(B680,[1]Namshi!$A:$B,2,0)</f>
        <v/>
      </c>
      <c r="F680" s="4">
        <f>SUMIFS('Dubai Stock'!I:I,'Dubai Stock'!H:H,Final_UAE!B:B)</f>
        <v/>
      </c>
      <c r="H680" s="8" t="e">
        <v>#N/A</v>
      </c>
    </row>
    <row r="681">
      <c r="A681" s="4" t="n">
        <v>33834</v>
      </c>
      <c r="B681" s="4" t="inlineStr">
        <is>
          <t>clstdai-sof-sdai-p30-sp0500</t>
        </is>
      </c>
      <c r="C681" s="4" t="inlineStr">
        <is>
          <t>W00031886A</t>
        </is>
      </c>
      <c r="D681" s="6">
        <f>IF(F681&gt;=5, F681-5, IF(F681&lt;5, 0, F681))</f>
        <v/>
      </c>
      <c r="E681">
        <f>VLOOKUP(B681,[1]Namshi!$A:$B,2,0)</f>
        <v/>
      </c>
      <c r="F681" s="4">
        <f>SUMIFS('Dubai Stock'!I:I,'Dubai Stock'!H:H,Final_UAE!B:B)</f>
        <v/>
      </c>
      <c r="H681" s="8" t="e">
        <v>#N/A</v>
      </c>
      <c r="I681" s="8" t="n"/>
    </row>
    <row r="682">
      <c r="A682" s="4" t="n">
        <v>33834</v>
      </c>
      <c r="B682" s="4" t="inlineStr">
        <is>
          <t>clstdai-dai-aqua-p30-sn0425</t>
        </is>
      </c>
      <c r="C682" s="4" t="inlineStr">
        <is>
          <t>W00031886A</t>
        </is>
      </c>
      <c r="D682" s="6">
        <f>IF(F682&gt;=5, F682-5, IF(F682&lt;5, 0, F682))</f>
        <v/>
      </c>
      <c r="E682">
        <f>VLOOKUP(B682,[1]Namshi!$A:$B,2,0)</f>
        <v/>
      </c>
      <c r="F682" s="4">
        <f>SUMIFS('Dubai Stock'!I:I,'Dubai Stock'!H:H,Final_UAE!B:B)</f>
        <v/>
      </c>
      <c r="H682" s="8" t="e">
        <v>#N/A</v>
      </c>
      <c r="I682" s="8" t="n"/>
    </row>
    <row r="683">
      <c r="A683" s="4" t="n">
        <v>33834</v>
      </c>
      <c r="B683" s="4" t="inlineStr">
        <is>
          <t>sw32604-30s-000239-2604-53</t>
        </is>
      </c>
      <c r="C683" s="4" t="inlineStr">
        <is>
          <t>W00031886A</t>
        </is>
      </c>
      <c r="D683" s="6">
        <f>IF(F683&gt;=5, F683-5, IF(F683&lt;5, 0, F683))</f>
        <v/>
      </c>
      <c r="E683">
        <f>VLOOKUP(B683,[1]Namshi!$A:$B,2,0)</f>
        <v/>
      </c>
      <c r="F683" s="4">
        <f>SUMIFS('Dubai Stock'!I:I,'Dubai Stock'!H:H,Final_UAE!B:B)</f>
        <v/>
      </c>
      <c r="H683" s="8" t="e">
        <v>#N/A</v>
      </c>
    </row>
    <row r="684">
      <c r="A684" s="4" t="n">
        <v>33834</v>
      </c>
      <c r="B684" s="4" t="inlineStr">
        <is>
          <t>cost3mo-lay-2020-p02-ash-gray-sn0350</t>
        </is>
      </c>
      <c r="C684" s="4" t="inlineStr">
        <is>
          <t>W00031886A</t>
        </is>
      </c>
      <c r="D684" s="6">
        <f>IF(F684&gt;=5, F684-5, IF(F684&lt;5, 0, F684))</f>
        <v/>
      </c>
      <c r="E684">
        <f>VLOOKUP(B684,[1]Namshi!$A:$B,2,0)</f>
        <v/>
      </c>
      <c r="F684" s="4">
        <f>SUMIFS('Dubai Stock'!I:I,'Dubai Stock'!H:H,Final_UAE!B:B)</f>
        <v/>
      </c>
      <c r="H684" s="8" t="e">
        <v>#N/A</v>
      </c>
      <c r="I684" s="8" t="n"/>
    </row>
    <row r="685">
      <c r="A685" s="4" t="n">
        <v>33834</v>
      </c>
      <c r="B685" s="4" t="inlineStr">
        <is>
          <t>clstdai-acu-mois-p30-sn0600</t>
        </is>
      </c>
      <c r="C685" s="4" t="inlineStr">
        <is>
          <t>W00031886A</t>
        </is>
      </c>
      <c r="D685" s="6">
        <f>IF(F685&gt;=5, F685-5, IF(F685&lt;5, 0, F685))</f>
        <v/>
      </c>
      <c r="E685">
        <f>VLOOKUP(B685,[1]Namshi!$A:$B,2,0)</f>
        <v/>
      </c>
      <c r="F685" s="4">
        <f>SUMIFS('Dubai Stock'!I:I,'Dubai Stock'!H:H,Final_UAE!B:B)</f>
        <v/>
      </c>
      <c r="H685" s="8" t="e">
        <v>#N/A</v>
      </c>
      <c r="I685" s="8" t="n"/>
    </row>
    <row r="686">
      <c r="A686" s="4" t="n">
        <v>33834</v>
      </c>
      <c r="B686" s="4" t="inlineStr">
        <is>
          <t>sw60107-bla-000382-0107-54</t>
        </is>
      </c>
      <c r="C686" s="4" t="inlineStr">
        <is>
          <t>W00031886A</t>
        </is>
      </c>
      <c r="D686" s="6">
        <f>IF(F686&gt;=5, F686-5, IF(F686&lt;5, 0, F686))</f>
        <v/>
      </c>
      <c r="E686">
        <f>VLOOKUP(B686,[1]Namshi!$A:$B,2,0)</f>
        <v/>
      </c>
      <c r="F686" s="4">
        <f>SUMIFS('Dubai Stock'!I:I,'Dubai Stock'!H:H,Final_UAE!B:B)</f>
        <v/>
      </c>
      <c r="H686" s="8" t="e">
        <v>#N/A</v>
      </c>
    </row>
    <row r="687">
      <c r="A687" s="4" t="n">
        <v>33834</v>
      </c>
      <c r="B687" s="4" t="inlineStr">
        <is>
          <t>costmon-ama-lens-p02-dark-sepia-sn0700</t>
        </is>
      </c>
      <c r="C687" s="4" t="inlineStr">
        <is>
          <t>W00031886A</t>
        </is>
      </c>
      <c r="D687" s="6">
        <f>IF(F687&gt;=5, F687-5, IF(F687&lt;5, 0, F687))</f>
        <v/>
      </c>
      <c r="E687">
        <f>VLOOKUP(B687,[1]Namshi!$A:$B,2,0)</f>
        <v/>
      </c>
      <c r="F687" s="4">
        <f>SUMIFS('Dubai Stock'!I:I,'Dubai Stock'!H:H,Final_UAE!B:B)</f>
        <v/>
      </c>
      <c r="H687" s="8" t="e">
        <v>#N/A</v>
      </c>
      <c r="I687" s="8" t="n"/>
    </row>
    <row r="688">
      <c r="A688" s="4" t="n">
        <v>33834</v>
      </c>
      <c r="B688" s="4" t="inlineStr">
        <is>
          <t>clstdai-eve-pure-p90-sn0275</t>
        </is>
      </c>
      <c r="C688" s="4" t="inlineStr">
        <is>
          <t>W00031886A</t>
        </is>
      </c>
      <c r="D688" s="6">
        <f>IF(F688&gt;=5, F688-5, IF(F688&lt;5, 0, F688))</f>
        <v/>
      </c>
      <c r="E688">
        <f>VLOOKUP(B688,[1]Namshi!$A:$B,2,0)</f>
        <v/>
      </c>
      <c r="F688" s="4">
        <f>SUMIFS('Dubai Stock'!I:I,'Dubai Stock'!H:H,Final_UAE!B:B)</f>
        <v/>
      </c>
      <c r="H688" s="8" t="n">
        <v>529</v>
      </c>
      <c r="I688" s="8" t="n">
        <v>259</v>
      </c>
    </row>
    <row r="689">
      <c r="A689" s="4" t="n">
        <v>33834</v>
      </c>
      <c r="B689" s="4" t="inlineStr">
        <is>
          <t>clstdai-lay-cont-p10-dazzle-black-sn0200</t>
        </is>
      </c>
      <c r="C689" s="4" t="inlineStr">
        <is>
          <t>W00031886A</t>
        </is>
      </c>
      <c r="D689" s="6">
        <f>IF(F689&gt;=5, F689-5, IF(F689&lt;5, 0, F689))</f>
        <v/>
      </c>
      <c r="E689">
        <f>VLOOKUP(B689,[1]Namshi!$A:$B,2,0)</f>
        <v/>
      </c>
      <c r="F689" s="4">
        <f>SUMIFS('Dubai Stock'!I:I,'Dubai Stock'!H:H,Final_UAE!B:B)</f>
        <v/>
      </c>
      <c r="H689" s="8" t="e">
        <v>#N/A</v>
      </c>
      <c r="I689" s="8" t="n"/>
    </row>
    <row r="690">
      <c r="A690" s="4" t="n">
        <v>33834</v>
      </c>
      <c r="B690" s="4" t="inlineStr">
        <is>
          <t>cltodai-acu-mois-p30-sn0025-cn0075-a020</t>
        </is>
      </c>
      <c r="C690" s="4" t="inlineStr">
        <is>
          <t>W00031886A</t>
        </is>
      </c>
      <c r="D690" s="6">
        <f>IF(F690&gt;=5, F690-5, IF(F690&lt;5, 0, F690))</f>
        <v/>
      </c>
      <c r="E690">
        <f>VLOOKUP(B690,[1]Namshi!$A:$B,2,0)</f>
        <v/>
      </c>
      <c r="F690" s="4">
        <f>SUMIFS('Dubai Stock'!I:I,'Dubai Stock'!H:H,Final_UAE!B:B)</f>
        <v/>
      </c>
      <c r="H690" s="8" t="e">
        <v>#N/A</v>
      </c>
      <c r="I690" s="8" t="n"/>
    </row>
    <row r="691">
      <c r="A691" s="4" t="n">
        <v>33834</v>
      </c>
      <c r="B691" s="4" t="inlineStr">
        <is>
          <t>su21202-30s-000280-1202-51</t>
        </is>
      </c>
      <c r="C691" s="4" t="inlineStr">
        <is>
          <t>W00031886A</t>
        </is>
      </c>
      <c r="D691" s="6">
        <f>IF(F691&gt;=5, F691-5, IF(F691&lt;5, 0, F691))</f>
        <v/>
      </c>
      <c r="E691">
        <f>VLOOKUP(B691,[1]Namshi!$A:$B,2,0)</f>
        <v/>
      </c>
      <c r="F691" s="4">
        <f>SUMIFS('Dubai Stock'!I:I,'Dubai Stock'!H:H,Final_UAE!B:B)</f>
        <v/>
      </c>
      <c r="H691" s="8" t="e">
        <v>#N/A</v>
      </c>
    </row>
    <row r="692">
      <c r="A692" s="4" t="n">
        <v>33834</v>
      </c>
      <c r="B692" s="4" t="inlineStr">
        <is>
          <t>cost3mo-lay-2022-p02-crescent-gray-sn0225</t>
        </is>
      </c>
      <c r="C692" s="4" t="inlineStr">
        <is>
          <t>W00031886A</t>
        </is>
      </c>
      <c r="D692" s="6">
        <f>IF(F692&gt;=5, F692-5, IF(F692&lt;5, 0, F692))</f>
        <v/>
      </c>
      <c r="E692">
        <f>VLOOKUP(B692,[1]Namshi!$A:$B,2,0)</f>
        <v/>
      </c>
      <c r="F692" s="4">
        <f>SUMIFS('Dubai Stock'!I:I,'Dubai Stock'!H:H,Final_UAE!B:B)</f>
        <v/>
      </c>
      <c r="H692" s="8" t="e">
        <v>#N/A</v>
      </c>
      <c r="I692" s="8" t="n"/>
    </row>
    <row r="693">
      <c r="A693" s="4" t="n">
        <v>33834</v>
      </c>
      <c r="B693" s="4" t="inlineStr">
        <is>
          <t>sw32404-30s-000265-2404-54</t>
        </is>
      </c>
      <c r="C693" s="4" t="inlineStr">
        <is>
          <t>W00031886A</t>
        </is>
      </c>
      <c r="D693" s="6">
        <f>IF(F693&gt;=5, F693-5, IF(F693&lt;5, 0, F693))</f>
        <v/>
      </c>
      <c r="E693">
        <f>VLOOKUP(B693,[1]Namshi!$A:$B,2,0)</f>
        <v/>
      </c>
      <c r="F693" s="4">
        <f>SUMIFS('Dubai Stock'!I:I,'Dubai Stock'!H:H,Final_UAE!B:B)</f>
        <v/>
      </c>
      <c r="H693" s="8" t="e">
        <v>#N/A</v>
      </c>
    </row>
    <row r="694">
      <c r="A694" s="4" t="n">
        <v>33834</v>
      </c>
      <c r="B694" s="4" t="inlineStr">
        <is>
          <t>clstdai-lay-cont-p10-dazzle-brown-sn0525</t>
        </is>
      </c>
      <c r="C694" s="4" t="inlineStr">
        <is>
          <t>W00031886A</t>
        </is>
      </c>
      <c r="D694" s="6">
        <f>IF(F694&gt;=5, F694-5, IF(F694&lt;5, 0, F694))</f>
        <v/>
      </c>
      <c r="E694">
        <f>VLOOKUP(B694,[1]Namshi!$A:$B,2,0)</f>
        <v/>
      </c>
      <c r="F694" s="4">
        <f>SUMIFS('Dubai Stock'!I:I,'Dubai Stock'!H:H,Final_UAE!B:B)</f>
        <v/>
      </c>
      <c r="H694" s="8" t="e">
        <v>#N/A</v>
      </c>
      <c r="I694" s="8" t="n"/>
    </row>
    <row r="695">
      <c r="A695" s="4" t="n">
        <v>33834</v>
      </c>
      <c r="B695" s="4" t="inlineStr">
        <is>
          <t>cost3mo-lay-2021-p02-sunkiss-brown-sp0000</t>
        </is>
      </c>
      <c r="C695" s="4" t="inlineStr">
        <is>
          <t>W00031886A</t>
        </is>
      </c>
      <c r="D695" s="6">
        <f>IF(F695&gt;=5, F695-5, IF(F695&lt;5, 0, F695))</f>
        <v/>
      </c>
      <c r="E695">
        <f>VLOOKUP(B695,[1]Namshi!$A:$B,2,0)</f>
        <v/>
      </c>
      <c r="F695" s="4">
        <f>SUMIFS('Dubai Stock'!I:I,'Dubai Stock'!H:H,Final_UAE!B:B)</f>
        <v/>
      </c>
      <c r="H695" s="8" t="e">
        <v>#N/A</v>
      </c>
      <c r="I695" s="8" t="n"/>
    </row>
    <row r="696">
      <c r="A696" s="4" t="n">
        <v>33834</v>
      </c>
      <c r="B696" s="4" t="inlineStr">
        <is>
          <t>su20404-30s-000280-0304-51</t>
        </is>
      </c>
      <c r="C696" s="4" t="inlineStr">
        <is>
          <t>W00031886A</t>
        </is>
      </c>
      <c r="D696" s="6">
        <f>IF(F696&gt;=5, F696-5, IF(F696&lt;5, 0, F696))</f>
        <v/>
      </c>
      <c r="E696">
        <f>VLOOKUP(B696,[1]Namshi!$A:$B,2,0)</f>
        <v/>
      </c>
      <c r="F696" s="4">
        <f>SUMIFS('Dubai Stock'!I:I,'Dubai Stock'!H:H,Final_UAE!B:B)</f>
        <v/>
      </c>
      <c r="H696" s="8" t="e">
        <v>#N/A</v>
      </c>
    </row>
    <row r="697">
      <c r="A697" s="4" t="n">
        <v>33834</v>
      </c>
      <c r="B697" s="4" t="inlineStr">
        <is>
          <t>fw70918-spc-000503-0900-53</t>
        </is>
      </c>
      <c r="C697" s="4" t="inlineStr">
        <is>
          <t>W00031886A</t>
        </is>
      </c>
      <c r="D697" s="6">
        <f>IF(F697&gt;=5, F697-5, IF(F697&lt;5, 0, F697))</f>
        <v/>
      </c>
      <c r="E697">
        <f>VLOOKUP(B697,[1]Namshi!$A:$B,2,0)</f>
        <v/>
      </c>
      <c r="F697" s="4">
        <f>SUMIFS('Dubai Stock'!I:I,'Dubai Stock'!H:H,Final_UAE!B:B)</f>
        <v/>
      </c>
      <c r="H697" s="8" t="e">
        <v>#N/A</v>
      </c>
      <c r="I697" s="8" t="n"/>
    </row>
    <row r="698">
      <c r="A698" s="4" t="n">
        <v>33834</v>
      </c>
      <c r="B698" s="4" t="inlineStr">
        <is>
          <t>cost3mo-lay-2021-p02-polar-gray-sn0150</t>
        </is>
      </c>
      <c r="C698" s="4" t="inlineStr">
        <is>
          <t>W00031886A</t>
        </is>
      </c>
      <c r="D698" s="6">
        <f>IF(F698&gt;=5, F698-5, IF(F698&lt;5, 0, F698))</f>
        <v/>
      </c>
      <c r="E698">
        <f>VLOOKUP(B698,[1]Namshi!$A:$B,2,0)</f>
        <v/>
      </c>
      <c r="F698" s="4">
        <f>SUMIFS('Dubai Stock'!I:I,'Dubai Stock'!H:H,Final_UAE!B:B)</f>
        <v/>
      </c>
      <c r="H698" s="8" t="e">
        <v>#N/A</v>
      </c>
      <c r="I698" s="8" t="n"/>
    </row>
    <row r="699">
      <c r="A699" s="4" t="n">
        <v>33834</v>
      </c>
      <c r="B699" s="4" t="inlineStr">
        <is>
          <t>cost3mo-lay-2022-p02-avena-brown-sn0300</t>
        </is>
      </c>
      <c r="C699" s="4" t="inlineStr">
        <is>
          <t>W00031886A</t>
        </is>
      </c>
      <c r="D699" s="6">
        <f>IF(F699&gt;=5, F699-5, IF(F699&lt;5, 0, F699))</f>
        <v/>
      </c>
      <c r="E699">
        <f>VLOOKUP(B699,[1]Namshi!$A:$B,2,0)</f>
        <v/>
      </c>
      <c r="F699" s="4">
        <f>SUMIFS('Dubai Stock'!I:I,'Dubai Stock'!H:H,Final_UAE!B:B)</f>
        <v/>
      </c>
      <c r="H699" s="8" t="e">
        <v>#N/A</v>
      </c>
      <c r="I699" s="8" t="n"/>
    </row>
    <row r="700">
      <c r="A700" s="4" t="n">
        <v>33834</v>
      </c>
      <c r="B700" s="4" t="inlineStr">
        <is>
          <t>costdai-acu-dffr-p30-hazel-sn0600</t>
        </is>
      </c>
      <c r="C700" s="4" t="inlineStr">
        <is>
          <t>W00031886A</t>
        </is>
      </c>
      <c r="D700" s="6">
        <f>IF(F700&gt;=5, F700-5, IF(F700&lt;5, 0, F700))</f>
        <v/>
      </c>
      <c r="E700">
        <f>VLOOKUP(B700,[1]Namshi!$A:$B,2,0)</f>
        <v/>
      </c>
      <c r="F700" s="4">
        <f>SUMIFS('Dubai Stock'!I:I,'Dubai Stock'!H:H,Final_UAE!B:B)</f>
        <v/>
      </c>
      <c r="H700" s="8" t="e">
        <v>#N/A</v>
      </c>
      <c r="I700" s="8" t="n"/>
    </row>
    <row r="701">
      <c r="A701" s="4" t="n">
        <v>33834</v>
      </c>
      <c r="B701" s="4" t="inlineStr">
        <is>
          <t>clstdai-cla-iris-p30-jazz-black-sn0100</t>
        </is>
      </c>
      <c r="C701" s="4" t="inlineStr">
        <is>
          <t>W00031886A</t>
        </is>
      </c>
      <c r="D701" s="6">
        <f>IF(F701&gt;=5, F701-5, IF(F701&lt;5, 0, F701))</f>
        <v/>
      </c>
      <c r="E701">
        <f>VLOOKUP(B701,[1]Namshi!$A:$B,2,0)</f>
        <v/>
      </c>
      <c r="F701" s="4">
        <f>SUMIFS('Dubai Stock'!I:I,'Dubai Stock'!H:H,Final_UAE!B:B)</f>
        <v/>
      </c>
      <c r="H701" s="8" t="e">
        <v>#N/A</v>
      </c>
      <c r="I701" s="8" t="n"/>
    </row>
    <row r="702">
      <c r="A702" s="4" t="n">
        <v>33834</v>
      </c>
      <c r="B702" s="4" t="inlineStr">
        <is>
          <t>costdai-acu-dffr-p10-grayzel-sn0375</t>
        </is>
      </c>
      <c r="C702" s="4" t="inlineStr">
        <is>
          <t>W00031886A</t>
        </is>
      </c>
      <c r="D702" s="6">
        <f>IF(F702&gt;=5, F702-5, IF(F702&lt;5, 0, F702))</f>
        <v/>
      </c>
      <c r="E702">
        <f>VLOOKUP(B702,[1]Namshi!$A:$B,2,0)</f>
        <v/>
      </c>
      <c r="F702" s="4">
        <f>SUMIFS('Dubai Stock'!I:I,'Dubai Stock'!H:H,Final_UAE!B:B)</f>
        <v/>
      </c>
      <c r="H702" s="8" t="e">
        <v>#N/A</v>
      </c>
      <c r="I702" s="8" t="n"/>
    </row>
    <row r="703">
      <c r="A703" s="4" t="n">
        <v>33834</v>
      </c>
      <c r="B703" s="4" t="inlineStr">
        <is>
          <t>clstdai-eve-elit-p30-sp0475</t>
        </is>
      </c>
      <c r="C703" s="4" t="inlineStr">
        <is>
          <t>W00031886A</t>
        </is>
      </c>
      <c r="D703" s="6">
        <f>IF(F703&gt;=5, F703-5, IF(F703&lt;5, 0, F703))</f>
        <v/>
      </c>
      <c r="E703">
        <f>VLOOKUP(B703,[1]Namshi!$A:$B,2,0)</f>
        <v/>
      </c>
      <c r="F703" s="4">
        <f>SUMIFS('Dubai Stock'!I:I,'Dubai Stock'!H:H,Final_UAE!B:B)</f>
        <v/>
      </c>
      <c r="H703" s="8" t="n">
        <v>261</v>
      </c>
      <c r="I703" s="8" t="n">
        <v>146.3</v>
      </c>
    </row>
    <row r="704">
      <c r="A704" s="4" t="n">
        <v>33834</v>
      </c>
      <c r="B704" s="4" t="inlineStr">
        <is>
          <t>fu20218-spc-000743-0218-49</t>
        </is>
      </c>
      <c r="C704" s="4" t="inlineStr">
        <is>
          <t>W00031886A</t>
        </is>
      </c>
      <c r="D704" s="6">
        <f>IF(F704&gt;=5, F704-5, IF(F704&lt;5, 0, F704))</f>
        <v/>
      </c>
      <c r="E704">
        <f>VLOOKUP(B704,[1]Namshi!$A:$B,2,0)</f>
        <v/>
      </c>
      <c r="F704" s="4">
        <f>SUMIFS('Dubai Stock'!I:I,'Dubai Stock'!H:H,Final_UAE!B:B)</f>
        <v/>
      </c>
      <c r="H704" s="8" t="e">
        <v>#N/A</v>
      </c>
      <c r="I704" s="8" t="n"/>
    </row>
    <row r="705">
      <c r="A705" s="4" t="n">
        <v>33834</v>
      </c>
      <c r="B705" s="4" t="inlineStr">
        <is>
          <t>clstmon-eve-prom-p06-sn0325</t>
        </is>
      </c>
      <c r="C705" s="4" t="inlineStr">
        <is>
          <t>W00031886A</t>
        </is>
      </c>
      <c r="D705" s="6">
        <f>IF(F705&gt;=5, F705-5, IF(F705&lt;5, 0, F705))</f>
        <v/>
      </c>
      <c r="E705">
        <f>VLOOKUP(B705,[1]Namshi!$A:$B,2,0)</f>
        <v/>
      </c>
      <c r="F705" s="4">
        <f>SUMIFS('Dubai Stock'!I:I,'Dubai Stock'!H:H,Final_UAE!B:B)</f>
        <v/>
      </c>
      <c r="H705" s="8" t="n">
        <v>212</v>
      </c>
      <c r="I705" s="8" t="n">
        <v>111.3</v>
      </c>
    </row>
    <row r="706">
      <c r="A706" s="4" t="n">
        <v>33834</v>
      </c>
      <c r="B706" s="4" t="inlineStr">
        <is>
          <t>sc52006-bab-000503-2006-46</t>
        </is>
      </c>
      <c r="C706" s="4" t="inlineStr">
        <is>
          <t>W00031886A</t>
        </is>
      </c>
      <c r="D706" s="6">
        <f>IF(F706&gt;=5, F706-5, IF(F706&lt;5, 0, F706))</f>
        <v/>
      </c>
      <c r="E706">
        <f>VLOOKUP(B706,[1]Namshi!$A:$B,2,0)</f>
        <v/>
      </c>
      <c r="F706" s="4">
        <f>SUMIFS('Dubai Stock'!I:I,'Dubai Stock'!H:H,Final_UAE!B:B)</f>
        <v/>
      </c>
      <c r="H706" s="8" t="e">
        <v>#N/A</v>
      </c>
    </row>
    <row r="707">
      <c r="A707" s="4" t="n">
        <v>33834</v>
      </c>
      <c r="B707" s="4" t="inlineStr">
        <is>
          <t>cost3mo-lay-lens-p02-chocolate-brown-sn0400</t>
        </is>
      </c>
      <c r="C707" s="4" t="inlineStr">
        <is>
          <t>W00031886A</t>
        </is>
      </c>
      <c r="D707" s="6">
        <f>IF(F707&gt;=5, F707-5, IF(F707&lt;5, 0, F707))</f>
        <v/>
      </c>
      <c r="E707">
        <f>VLOOKUP(B707,[1]Namshi!$A:$B,2,0)</f>
        <v/>
      </c>
      <c r="F707" s="4">
        <f>SUMIFS('Dubai Stock'!I:I,'Dubai Stock'!H:H,Final_UAE!B:B)</f>
        <v/>
      </c>
      <c r="H707" s="8" t="e">
        <v>#N/A</v>
      </c>
      <c r="I707" s="8" t="n"/>
    </row>
    <row r="708">
      <c r="A708" s="4" t="n">
        <v>33834</v>
      </c>
      <c r="B708" s="4" t="inlineStr">
        <is>
          <t>clstdai-acu-oasy-p30-sn0275</t>
        </is>
      </c>
      <c r="C708" s="4" t="inlineStr">
        <is>
          <t>W00031886A</t>
        </is>
      </c>
      <c r="D708" s="6">
        <f>IF(F708&gt;=5, F708-5, IF(F708&lt;5, 0, F708))</f>
        <v/>
      </c>
      <c r="E708">
        <f>VLOOKUP(B708,[1]Namshi!$A:$B,2,0)</f>
        <v/>
      </c>
      <c r="F708" s="4">
        <f>SUMIFS('Dubai Stock'!I:I,'Dubai Stock'!H:H,Final_UAE!B:B)</f>
        <v/>
      </c>
      <c r="H708" s="8" t="e">
        <v>#N/A</v>
      </c>
      <c r="I708" s="8" t="n"/>
    </row>
    <row r="709">
      <c r="A709" s="4" t="n">
        <v>33834</v>
      </c>
      <c r="B709" s="4" t="inlineStr">
        <is>
          <t>costdai-ama-dail-p10-sugar-sn0325</t>
        </is>
      </c>
      <c r="C709" s="4" t="inlineStr">
        <is>
          <t>W00031886A</t>
        </is>
      </c>
      <c r="D709" s="6">
        <f>IF(F709&gt;=5, F709-5, IF(F709&lt;5, 0, F709))</f>
        <v/>
      </c>
      <c r="E709">
        <f>VLOOKUP(B709,[1]Namshi!$A:$B,2,0)</f>
        <v/>
      </c>
      <c r="F709" s="4">
        <f>SUMIFS('Dubai Stock'!I:I,'Dubai Stock'!H:H,Final_UAE!B:B)</f>
        <v/>
      </c>
      <c r="H709" s="8" t="e">
        <v>#N/A</v>
      </c>
      <c r="I709" s="8" t="n"/>
    </row>
    <row r="710">
      <c r="A710" s="4" t="n">
        <v>33834</v>
      </c>
      <c r="B710" s="4" t="inlineStr">
        <is>
          <t>clstdai-eve-elit-p30-sn0300</t>
        </is>
      </c>
      <c r="C710" s="4" t="inlineStr">
        <is>
          <t>W00031886A</t>
        </is>
      </c>
      <c r="D710" s="6">
        <f>IF(F710&gt;=5, F710-5, IF(F710&lt;5, 0, F710))</f>
        <v/>
      </c>
      <c r="E710">
        <f>VLOOKUP(B710,[1]Namshi!$A:$B,2,0)</f>
        <v/>
      </c>
      <c r="F710" s="4">
        <f>SUMIFS('Dubai Stock'!I:I,'Dubai Stock'!H:H,Final_UAE!B:B)</f>
        <v/>
      </c>
      <c r="H710" s="8" t="n">
        <v>261</v>
      </c>
      <c r="I710" s="8" t="n">
        <v>146.3</v>
      </c>
    </row>
    <row r="711">
      <c r="A711" s="4" t="n">
        <v>33834</v>
      </c>
      <c r="B711" s="4" t="inlineStr">
        <is>
          <t>fw72918-spc-000823-2918-50</t>
        </is>
      </c>
      <c r="C711" s="4" t="inlineStr">
        <is>
          <t>W00031886A</t>
        </is>
      </c>
      <c r="D711" s="6">
        <f>IF(F711&gt;=5, F711-5, IF(F711&lt;5, 0, F711))</f>
        <v/>
      </c>
      <c r="E711">
        <f>VLOOKUP(B711,[1]Namshi!$A:$B,2,0)</f>
        <v/>
      </c>
      <c r="F711" s="4">
        <f>SUMIFS('Dubai Stock'!I:I,'Dubai Stock'!H:H,Final_UAE!B:B)</f>
        <v/>
      </c>
      <c r="H711" s="8" t="e">
        <v>#N/A</v>
      </c>
      <c r="I711" s="8" t="n"/>
    </row>
    <row r="712">
      <c r="A712" s="4" t="n">
        <v>33834</v>
      </c>
      <c r="B712" s="4" t="inlineStr">
        <is>
          <t>clstdai-lay-cont-p30-dazzle-brown-sn0900</t>
        </is>
      </c>
      <c r="C712" s="4" t="inlineStr">
        <is>
          <t>W00031886A</t>
        </is>
      </c>
      <c r="D712" s="6">
        <f>IF(F712&gt;=5, F712-5, IF(F712&lt;5, 0, F712))</f>
        <v/>
      </c>
      <c r="E712">
        <f>VLOOKUP(B712,[1]Namshi!$A:$B,2,0)</f>
        <v/>
      </c>
      <c r="F712" s="4">
        <f>SUMIFS('Dubai Stock'!I:I,'Dubai Stock'!H:H,Final_UAE!B:B)</f>
        <v/>
      </c>
      <c r="H712" s="8" t="e">
        <v>#N/A</v>
      </c>
      <c r="I712" s="8" t="n"/>
    </row>
    <row r="713">
      <c r="A713" s="4" t="n">
        <v>33834</v>
      </c>
      <c r="B713" s="4" t="inlineStr">
        <is>
          <t>costdai-ama-dail-p10-amber-sn0650</t>
        </is>
      </c>
      <c r="C713" s="4" t="inlineStr">
        <is>
          <t>W00031886A</t>
        </is>
      </c>
      <c r="D713" s="6">
        <f>IF(F713&gt;=5, F713-5, IF(F713&lt;5, 0, F713))</f>
        <v/>
      </c>
      <c r="E713">
        <f>VLOOKUP(B713,[1]Namshi!$A:$B,2,0)</f>
        <v/>
      </c>
      <c r="F713" s="4">
        <f>SUMIFS('Dubai Stock'!I:I,'Dubai Stock'!H:H,Final_UAE!B:B)</f>
        <v/>
      </c>
      <c r="H713" s="8" t="e">
        <v>#N/A</v>
      </c>
      <c r="I713" s="8" t="n"/>
    </row>
    <row r="714">
      <c r="A714" s="4" t="n">
        <v>33834</v>
      </c>
      <c r="B714" s="4" t="inlineStr">
        <is>
          <t>clstbiw-acu-oasy-p18-sn0325</t>
        </is>
      </c>
      <c r="C714" s="4" t="inlineStr">
        <is>
          <t>W00031886A</t>
        </is>
      </c>
      <c r="D714" s="6">
        <f>IF(F714&gt;=5, F714-5, IF(F714&lt;5, 0, F714))</f>
        <v/>
      </c>
      <c r="E714">
        <f>VLOOKUP(B714,[1]Namshi!$A:$B,2,0)</f>
        <v/>
      </c>
      <c r="F714" s="4">
        <f>SUMIFS('Dubai Stock'!I:I,'Dubai Stock'!H:H,Final_UAE!B:B)</f>
        <v/>
      </c>
      <c r="H714" s="8" t="e">
        <v>#N/A</v>
      </c>
      <c r="I714" s="8" t="n"/>
    </row>
    <row r="715">
      <c r="A715" s="4" t="n">
        <v>33834</v>
      </c>
      <c r="B715" s="4" t="inlineStr">
        <is>
          <t>cltobiw-acu-oasy-p06-sn0900-cn0075-a010</t>
        </is>
      </c>
      <c r="C715" s="4" t="inlineStr">
        <is>
          <t>W00031886A</t>
        </is>
      </c>
      <c r="D715" s="6">
        <f>IF(F715&gt;=5, F715-5, IF(F715&lt;5, 0, F715))</f>
        <v/>
      </c>
      <c r="E715">
        <f>VLOOKUP(B715,[1]Namshi!$A:$B,2,0)</f>
        <v/>
      </c>
      <c r="F715" s="4">
        <f>SUMIFS('Dubai Stock'!I:I,'Dubai Stock'!H:H,Final_UAE!B:B)</f>
        <v/>
      </c>
      <c r="H715" s="8" t="e">
        <v>#N/A</v>
      </c>
      <c r="I715" s="8" t="n"/>
    </row>
    <row r="716">
      <c r="A716" s="4" t="n">
        <v>33834</v>
      </c>
      <c r="B716" s="4" t="inlineStr">
        <is>
          <t>cost3mo-lay-2022-p02-cosmo-gray-sn0250</t>
        </is>
      </c>
      <c r="C716" s="4" t="inlineStr">
        <is>
          <t>W00031886A</t>
        </is>
      </c>
      <c r="D716" s="6">
        <f>IF(F716&gt;=5, F716-5, IF(F716&lt;5, 0, F716))</f>
        <v/>
      </c>
      <c r="E716">
        <f>VLOOKUP(B716,[1]Namshi!$A:$B,2,0)</f>
        <v/>
      </c>
      <c r="F716" s="4">
        <f>SUMIFS('Dubai Stock'!I:I,'Dubai Stock'!H:H,Final_UAE!B:B)</f>
        <v/>
      </c>
      <c r="H716" s="8" t="e">
        <v>#N/A</v>
      </c>
      <c r="I716" s="8" t="n"/>
    </row>
    <row r="717">
      <c r="A717" s="4" t="n">
        <v>33834</v>
      </c>
      <c r="B717" s="4" t="inlineStr">
        <is>
          <t>saccase-30s-blk-red</t>
        </is>
      </c>
      <c r="C717" s="4" t="inlineStr">
        <is>
          <t>W00031886A</t>
        </is>
      </c>
      <c r="D717" s="6">
        <f>IF(F717&gt;=5, F717-5, IF(F717&lt;5, 0, F717))</f>
        <v/>
      </c>
      <c r="E717">
        <f>VLOOKUP(B717,[1]Namshi!$A:$B,2,0)</f>
        <v/>
      </c>
      <c r="F717" s="4">
        <f>SUMIFS('Dubai Stock'!I:I,'Dubai Stock'!H:H,Final_UAE!B:B)</f>
        <v/>
      </c>
      <c r="H717" s="8" t="e">
        <v>#N/A</v>
      </c>
      <c r="I717" s="8" t="n"/>
    </row>
    <row r="718">
      <c r="A718" s="4" t="n">
        <v>33834</v>
      </c>
      <c r="B718" s="4" t="inlineStr">
        <is>
          <t>su20404-30s-000206-0404-52</t>
        </is>
      </c>
      <c r="C718" s="4" t="inlineStr">
        <is>
          <t>W00031886A</t>
        </is>
      </c>
      <c r="D718" s="6">
        <f>IF(F718&gt;=5, F718-5, IF(F718&lt;5, 0, F718))</f>
        <v/>
      </c>
      <c r="E718">
        <f>VLOOKUP(B718,[1]Namshi!$A:$B,2,0)</f>
        <v/>
      </c>
      <c r="F718" s="4">
        <f>SUMIFS('Dubai Stock'!I:I,'Dubai Stock'!H:H,Final_UAE!B:B)</f>
        <v/>
      </c>
      <c r="H718" s="8" t="e">
        <v>#N/A</v>
      </c>
    </row>
    <row r="719">
      <c r="A719" s="4" t="n">
        <v>33834</v>
      </c>
      <c r="B719" s="4" t="inlineStr">
        <is>
          <t>clstdai-lay-cont-p60-dazzle-brown-sn0175</t>
        </is>
      </c>
      <c r="C719" s="4" t="inlineStr">
        <is>
          <t>W00031886A</t>
        </is>
      </c>
      <c r="D719" s="6">
        <f>IF(F719&gt;=5, F719-5, IF(F719&lt;5, 0, F719))</f>
        <v/>
      </c>
      <c r="E719">
        <f>VLOOKUP(B719,[1]Namshi!$A:$B,2,0)</f>
        <v/>
      </c>
      <c r="F719" s="4">
        <f>SUMIFS('Dubai Stock'!I:I,'Dubai Stock'!H:H,Final_UAE!B:B)</f>
        <v/>
      </c>
      <c r="H719" s="8" t="e">
        <v>#N/A</v>
      </c>
      <c r="I719" s="8" t="n"/>
    </row>
    <row r="720">
      <c r="A720" s="4" t="n">
        <v>33834</v>
      </c>
      <c r="B720" s="4" t="inlineStr">
        <is>
          <t>cost3mo-lay-2021-p02-polar-gray-sn0375</t>
        </is>
      </c>
      <c r="C720" s="4" t="inlineStr">
        <is>
          <t>W00031886A</t>
        </is>
      </c>
      <c r="D720" s="6">
        <f>IF(F720&gt;=5, F720-5, IF(F720&lt;5, 0, F720))</f>
        <v/>
      </c>
      <c r="E720">
        <f>VLOOKUP(B720,[1]Namshi!$A:$B,2,0)</f>
        <v/>
      </c>
      <c r="F720" s="4">
        <f>SUMIFS('Dubai Stock'!I:I,'Dubai Stock'!H:H,Final_UAE!B:B)</f>
        <v/>
      </c>
      <c r="H720" s="8" t="e">
        <v>#N/A</v>
      </c>
      <c r="I720" s="8" t="n"/>
    </row>
    <row r="721">
      <c r="A721" s="4" t="n">
        <v>33834</v>
      </c>
      <c r="B721" s="4" t="inlineStr">
        <is>
          <t>su50606-30s-000281-2906-55</t>
        </is>
      </c>
      <c r="C721" s="4" t="inlineStr">
        <is>
          <t>W00031886A</t>
        </is>
      </c>
      <c r="D721" s="6">
        <f>IF(F721&gt;=5, F721-5, IF(F721&lt;5, 0, F721))</f>
        <v/>
      </c>
      <c r="E721">
        <f>VLOOKUP(B721,[1]Namshi!$A:$B,2,0)</f>
        <v/>
      </c>
      <c r="F721" s="4">
        <f>SUMIFS('Dubai Stock'!I:I,'Dubai Stock'!H:H,Final_UAE!B:B)</f>
        <v/>
      </c>
      <c r="H721" s="8" t="e">
        <v>#N/A</v>
      </c>
    </row>
    <row r="722">
      <c r="A722" s="4" t="n">
        <v>33834</v>
      </c>
      <c r="B722" s="4" t="inlineStr">
        <is>
          <t>cost3mo-lay-2022-p02-sage-gray-sn0550</t>
        </is>
      </c>
      <c r="C722" s="4" t="inlineStr">
        <is>
          <t>W00031886A</t>
        </is>
      </c>
      <c r="D722" s="6">
        <f>IF(F722&gt;=5, F722-5, IF(F722&lt;5, 0, F722))</f>
        <v/>
      </c>
      <c r="E722">
        <f>VLOOKUP(B722,[1]Namshi!$A:$B,2,0)</f>
        <v/>
      </c>
      <c r="F722" s="4">
        <f>SUMIFS('Dubai Stock'!I:I,'Dubai Stock'!H:H,Final_UAE!B:B)</f>
        <v/>
      </c>
      <c r="H722" s="8" t="e">
        <v>#N/A</v>
      </c>
      <c r="I722" s="8" t="n"/>
    </row>
    <row r="723">
      <c r="A723" s="4" t="n">
        <v>33834</v>
      </c>
      <c r="B723" s="4" t="inlineStr">
        <is>
          <t>su100104-30s-000501-0104-52</t>
        </is>
      </c>
      <c r="C723" s="4" t="inlineStr">
        <is>
          <t>W00031886A</t>
        </is>
      </c>
      <c r="D723" s="6">
        <f>IF(F723&gt;=5, F723-5, IF(F723&lt;5, 0, F723))</f>
        <v/>
      </c>
      <c r="E723">
        <f>VLOOKUP(B723,[1]Namshi!$A:$B,2,0)</f>
        <v/>
      </c>
      <c r="F723" s="4">
        <f>SUMIFS('Dubai Stock'!I:I,'Dubai Stock'!H:H,Final_UAE!B:B)</f>
        <v/>
      </c>
      <c r="H723" s="8" t="e">
        <v>#N/A</v>
      </c>
      <c r="I723" s="8" t="n"/>
    </row>
    <row r="724">
      <c r="A724" s="4" t="n">
        <v>33834</v>
      </c>
      <c r="B724" s="4" t="inlineStr">
        <is>
          <t>clstdai-acu-omax-p30-sp0475</t>
        </is>
      </c>
      <c r="C724" s="4" t="inlineStr">
        <is>
          <t>W00031886A</t>
        </is>
      </c>
      <c r="D724" s="6">
        <f>IF(F724&gt;=5, F724-5, IF(F724&lt;5, 0, F724))</f>
        <v/>
      </c>
      <c r="E724">
        <f>VLOOKUP(B724,[1]Namshi!$A:$B,2,0)</f>
        <v/>
      </c>
      <c r="F724" s="4">
        <f>SUMIFS('Dubai Stock'!I:I,'Dubai Stock'!H:H,Final_UAE!B:B)</f>
        <v/>
      </c>
      <c r="H724" s="8" t="e">
        <v>#N/A</v>
      </c>
      <c r="I724" s="8" t="n"/>
    </row>
    <row r="725">
      <c r="A725" s="4" t="n">
        <v>33834</v>
      </c>
      <c r="B725" s="4" t="inlineStr">
        <is>
          <t>cost3mo-lay-2024-p02-moon-gray-sn0500</t>
        </is>
      </c>
      <c r="C725" s="4" t="inlineStr">
        <is>
          <t>W00031886A</t>
        </is>
      </c>
      <c r="D725" s="6">
        <f>IF(F725&gt;=5, F725-5, IF(F725&lt;5, 0, F725))</f>
        <v/>
      </c>
      <c r="E725">
        <f>VLOOKUP(B725,[1]Namshi!$A:$B,2,0)</f>
        <v/>
      </c>
      <c r="F725" s="4">
        <f>SUMIFS('Dubai Stock'!I:I,'Dubai Stock'!H:H,Final_UAE!B:B)</f>
        <v/>
      </c>
      <c r="H725" s="8" t="e">
        <v>#N/A</v>
      </c>
      <c r="I725" s="8" t="n"/>
    </row>
    <row r="726">
      <c r="A726" s="4" t="n">
        <v>33834</v>
      </c>
      <c r="B726" s="4" t="inlineStr">
        <is>
          <t>clstdai-dai-aqua-p30-sp0075</t>
        </is>
      </c>
      <c r="C726" s="4" t="inlineStr">
        <is>
          <t>W00031886A</t>
        </is>
      </c>
      <c r="D726" s="6">
        <f>IF(F726&gt;=5, F726-5, IF(F726&lt;5, 0, F726))</f>
        <v/>
      </c>
      <c r="E726">
        <f>VLOOKUP(B726,[1]Namshi!$A:$B,2,0)</f>
        <v/>
      </c>
      <c r="F726" s="4">
        <f>SUMIFS('Dubai Stock'!I:I,'Dubai Stock'!H:H,Final_UAE!B:B)</f>
        <v/>
      </c>
      <c r="H726" s="8" t="e">
        <v>#N/A</v>
      </c>
      <c r="I726" s="8" t="n"/>
    </row>
    <row r="727">
      <c r="A727" s="4" t="n">
        <v>33834</v>
      </c>
      <c r="B727" s="4" t="inlineStr">
        <is>
          <t>cost3mo-lay-2024-p02-moon-gray-sn0375</t>
        </is>
      </c>
      <c r="C727" s="4" t="inlineStr">
        <is>
          <t>W00031886A</t>
        </is>
      </c>
      <c r="D727" s="6">
        <f>IF(F727&gt;=5, F727-5, IF(F727&lt;5, 0, F727))</f>
        <v/>
      </c>
      <c r="E727">
        <f>VLOOKUP(B727,[1]Namshi!$A:$B,2,0)</f>
        <v/>
      </c>
      <c r="F727" s="4">
        <f>SUMIFS('Dubai Stock'!I:I,'Dubai Stock'!H:H,Final_UAE!B:B)</f>
        <v/>
      </c>
      <c r="H727" s="8" t="e">
        <v>#N/A</v>
      </c>
      <c r="I727" s="8" t="n"/>
    </row>
    <row r="728">
      <c r="A728" s="4" t="n">
        <v>33834</v>
      </c>
      <c r="B728" s="4" t="inlineStr">
        <is>
          <t>clstdai-eve-pure-p90-sn0325</t>
        </is>
      </c>
      <c r="C728" s="4" t="inlineStr">
        <is>
          <t>W00031886A</t>
        </is>
      </c>
      <c r="D728" s="6">
        <f>IF(F728&gt;=5, F728-5, IF(F728&lt;5, 0, F728))</f>
        <v/>
      </c>
      <c r="E728">
        <f>VLOOKUP(B728,[1]Namshi!$A:$B,2,0)</f>
        <v/>
      </c>
      <c r="F728" s="4">
        <f>SUMIFS('Dubai Stock'!I:I,'Dubai Stock'!H:H,Final_UAE!B:B)</f>
        <v/>
      </c>
      <c r="H728" s="8" t="n">
        <v>529</v>
      </c>
      <c r="I728" s="8" t="n">
        <v>259</v>
      </c>
    </row>
    <row r="729">
      <c r="A729" s="4" t="n">
        <v>33834</v>
      </c>
      <c r="B729" s="4" t="inlineStr">
        <is>
          <t>sacchan-30s-chain142-blk-sky-black</t>
        </is>
      </c>
      <c r="C729" s="4" t="inlineStr">
        <is>
          <t>W00031886A</t>
        </is>
      </c>
      <c r="D729" s="6">
        <f>IF(F729&gt;=5, F729-5, IF(F729&lt;5, 0, F729))</f>
        <v/>
      </c>
      <c r="E729">
        <f>VLOOKUP(B729,[1]Namshi!$A:$B,2,0)</f>
        <v/>
      </c>
      <c r="F729" s="4">
        <f>SUMIFS('Dubai Stock'!I:I,'Dubai Stock'!H:H,Final_UAE!B:B)</f>
        <v/>
      </c>
      <c r="H729" s="8" t="e">
        <v>#N/A</v>
      </c>
      <c r="I729" s="8" t="n"/>
    </row>
    <row r="730">
      <c r="A730" s="4" t="n">
        <v>33834</v>
      </c>
      <c r="B730" s="4" t="inlineStr">
        <is>
          <t>sw72404-30s-000267-2404-54</t>
        </is>
      </c>
      <c r="C730" s="4" t="inlineStr">
        <is>
          <t>W00031886A</t>
        </is>
      </c>
      <c r="D730" s="6">
        <f>IF(F730&gt;=5, F730-5, IF(F730&lt;5, 0, F730))</f>
        <v/>
      </c>
      <c r="E730">
        <f>VLOOKUP(B730,[1]Namshi!$A:$B,2,0)</f>
        <v/>
      </c>
      <c r="F730" s="4">
        <f>SUMIFS('Dubai Stock'!I:I,'Dubai Stock'!H:H,Final_UAE!B:B)</f>
        <v/>
      </c>
      <c r="H730" s="8" t="e">
        <v>#N/A</v>
      </c>
    </row>
    <row r="731">
      <c r="A731" s="4" t="n">
        <v>33834</v>
      </c>
      <c r="B731" s="4" t="inlineStr">
        <is>
          <t>sm10404-30s-000253-0404-57</t>
        </is>
      </c>
      <c r="C731" s="4" t="inlineStr">
        <is>
          <t>W00031886A</t>
        </is>
      </c>
      <c r="D731" s="6">
        <f>IF(F731&gt;=5, F731-5, IF(F731&lt;5, 0, F731))</f>
        <v/>
      </c>
      <c r="E731">
        <f>VLOOKUP(B731,[1]Namshi!$A:$B,2,0)</f>
        <v/>
      </c>
      <c r="F731" s="4">
        <f>SUMIFS('Dubai Stock'!I:I,'Dubai Stock'!H:H,Final_UAE!B:B)</f>
        <v/>
      </c>
      <c r="H731" s="8" t="e">
        <v>#N/A</v>
      </c>
    </row>
    <row r="732">
      <c r="A732" s="4" t="n">
        <v>33834</v>
      </c>
      <c r="B732" s="4" t="inlineStr">
        <is>
          <t>clstdai-sof-sdai-p30-sn0200</t>
        </is>
      </c>
      <c r="C732" s="4" t="inlineStr">
        <is>
          <t>W00031886A</t>
        </is>
      </c>
      <c r="D732" s="6">
        <f>IF(F732&gt;=5, F732-5, IF(F732&lt;5, 0, F732))</f>
        <v/>
      </c>
      <c r="E732">
        <f>VLOOKUP(B732,[1]Namshi!$A:$B,2,0)</f>
        <v/>
      </c>
      <c r="F732" s="4">
        <f>SUMIFS('Dubai Stock'!I:I,'Dubai Stock'!H:H,Final_UAE!B:B)</f>
        <v/>
      </c>
      <c r="H732" s="8" t="e">
        <v>#N/A</v>
      </c>
      <c r="I732" s="8" t="n"/>
    </row>
    <row r="733">
      <c r="A733" s="4" t="n">
        <v>33834</v>
      </c>
      <c r="B733" s="4" t="inlineStr">
        <is>
          <t>costdai-acu-dffr-p10-grayzel-sn0400</t>
        </is>
      </c>
      <c r="C733" s="4" t="inlineStr">
        <is>
          <t>W00031886A</t>
        </is>
      </c>
      <c r="D733" s="6">
        <f>IF(F733&gt;=5, F733-5, IF(F733&lt;5, 0, F733))</f>
        <v/>
      </c>
      <c r="E733">
        <f>VLOOKUP(B733,[1]Namshi!$A:$B,2,0)</f>
        <v/>
      </c>
      <c r="F733" s="4">
        <f>SUMIFS('Dubai Stock'!I:I,'Dubai Stock'!H:H,Final_UAE!B:B)</f>
        <v/>
      </c>
      <c r="H733" s="8" t="e">
        <v>#N/A</v>
      </c>
      <c r="I733" s="8" t="n"/>
    </row>
    <row r="734">
      <c r="A734" s="4" t="n">
        <v>33834</v>
      </c>
      <c r="B734" s="4" t="inlineStr">
        <is>
          <t>cost3mo-lay-2022-p02-sweet-hazel-sn0350</t>
        </is>
      </c>
      <c r="C734" s="4" t="inlineStr">
        <is>
          <t>W00031886A</t>
        </is>
      </c>
      <c r="D734" s="6">
        <f>IF(F734&gt;=5, F734-5, IF(F734&lt;5, 0, F734))</f>
        <v/>
      </c>
      <c r="E734">
        <f>VLOOKUP(B734,[1]Namshi!$A:$B,2,0)</f>
        <v/>
      </c>
      <c r="F734" s="4">
        <f>SUMIFS('Dubai Stock'!I:I,'Dubai Stock'!H:H,Final_UAE!B:B)</f>
        <v/>
      </c>
      <c r="H734" s="8" t="e">
        <v>#N/A</v>
      </c>
      <c r="I734" s="8" t="n"/>
    </row>
    <row r="735">
      <c r="A735" s="4" t="n">
        <v>33834</v>
      </c>
      <c r="B735" s="4" t="inlineStr">
        <is>
          <t>clstdai-acu-dfvi-p60-sn0700</t>
        </is>
      </c>
      <c r="C735" s="4" t="inlineStr">
        <is>
          <t>W00031886A</t>
        </is>
      </c>
      <c r="D735" s="6">
        <f>IF(F735&gt;=5, F735-5, IF(F735&lt;5, 0, F735))</f>
        <v/>
      </c>
      <c r="E735">
        <f>VLOOKUP(B735,[1]Namshi!$A:$B,2,0)</f>
        <v/>
      </c>
      <c r="F735" s="4">
        <f>SUMIFS('Dubai Stock'!I:I,'Dubai Stock'!H:H,Final_UAE!B:B)</f>
        <v/>
      </c>
      <c r="H735" s="8" t="e">
        <v>#N/A</v>
      </c>
      <c r="I735" s="8" t="n"/>
    </row>
    <row r="736">
      <c r="A736" s="4" t="n">
        <v>33834</v>
      </c>
      <c r="B736" s="4" t="inlineStr">
        <is>
          <t>clstdai-lay-cont-p30-dazzle-brown-sn0175</t>
        </is>
      </c>
      <c r="C736" s="4" t="inlineStr">
        <is>
          <t>W00031886A</t>
        </is>
      </c>
      <c r="D736" s="6">
        <f>IF(F736&gt;=5, F736-5, IF(F736&lt;5, 0, F736))</f>
        <v/>
      </c>
      <c r="E736">
        <f>VLOOKUP(B736,[1]Namshi!$A:$B,2,0)</f>
        <v/>
      </c>
      <c r="F736" s="4">
        <f>SUMIFS('Dubai Stock'!I:I,'Dubai Stock'!H:H,Final_UAE!B:B)</f>
        <v/>
      </c>
      <c r="H736" s="8" t="e">
        <v>#N/A</v>
      </c>
      <c r="I736" s="8" t="n"/>
    </row>
    <row r="737">
      <c r="A737" s="4" t="n">
        <v>33834</v>
      </c>
      <c r="B737" s="4" t="inlineStr">
        <is>
          <t>clstdai-acu-oasy-p90-sn0400</t>
        </is>
      </c>
      <c r="C737" s="4" t="inlineStr">
        <is>
          <t>W00031886A</t>
        </is>
      </c>
      <c r="D737" s="6">
        <f>IF(F737&gt;=5, F737-5, IF(F737&lt;5, 0, F737))</f>
        <v/>
      </c>
      <c r="E737">
        <f>VLOOKUP(B737,[1]Namshi!$A:$B,2,0)</f>
        <v/>
      </c>
      <c r="F737" s="4">
        <f>SUMIFS('Dubai Stock'!I:I,'Dubai Stock'!H:H,Final_UAE!B:B)</f>
        <v/>
      </c>
      <c r="H737" s="8" t="e">
        <v>#N/A</v>
      </c>
      <c r="I737" s="8" t="n"/>
    </row>
    <row r="738">
      <c r="A738" s="4" t="n">
        <v>33834</v>
      </c>
      <c r="B738" s="4" t="inlineStr">
        <is>
          <t>sm60102-30s-000235-0102-46</t>
        </is>
      </c>
      <c r="C738" s="4" t="inlineStr">
        <is>
          <t>W00031886A</t>
        </is>
      </c>
      <c r="D738" s="6">
        <f>IF(F738&gt;=5, F738-5, IF(F738&lt;5, 0, F738))</f>
        <v/>
      </c>
      <c r="E738">
        <f>VLOOKUP(B738,[1]Namshi!$A:$B,2,0)</f>
        <v/>
      </c>
      <c r="F738" s="4">
        <f>SUMIFS('Dubai Stock'!I:I,'Dubai Stock'!H:H,Final_UAE!B:B)</f>
        <v/>
      </c>
      <c r="H738" s="8" t="e">
        <v>#N/A</v>
      </c>
    </row>
    <row r="739">
      <c r="A739" s="4" t="n">
        <v>33834</v>
      </c>
      <c r="B739" s="4" t="inlineStr">
        <is>
          <t>clstdai-acu-oasy-p60-sn1200</t>
        </is>
      </c>
      <c r="C739" s="4" t="inlineStr">
        <is>
          <t>W00031886A</t>
        </is>
      </c>
      <c r="D739" s="6">
        <f>IF(F739&gt;=5, F739-5, IF(F739&lt;5, 0, F739))</f>
        <v/>
      </c>
      <c r="E739">
        <f>VLOOKUP(B739,[1]Namshi!$A:$B,2,0)</f>
        <v/>
      </c>
      <c r="F739" s="4">
        <f>SUMIFS('Dubai Stock'!I:I,'Dubai Stock'!H:H,Final_UAE!B:B)</f>
        <v/>
      </c>
      <c r="H739" s="8" t="e">
        <v>#N/A</v>
      </c>
      <c r="I739" s="8" t="n"/>
    </row>
    <row r="740">
      <c r="A740" s="4" t="n">
        <v>33834</v>
      </c>
      <c r="B740" s="4" t="inlineStr">
        <is>
          <t>clstdai-acu-mois-p90-sn1150</t>
        </is>
      </c>
      <c r="C740" s="4" t="inlineStr">
        <is>
          <t>W00031886A</t>
        </is>
      </c>
      <c r="D740" s="6">
        <f>IF(F740&gt;=5, F740-5, IF(F740&lt;5, 0, F740))</f>
        <v/>
      </c>
      <c r="E740">
        <f>VLOOKUP(B740,[1]Namshi!$A:$B,2,0)</f>
        <v/>
      </c>
      <c r="F740" s="4">
        <f>SUMIFS('Dubai Stock'!I:I,'Dubai Stock'!H:H,Final_UAE!B:B)</f>
        <v/>
      </c>
      <c r="H740" s="8" t="e">
        <v>#N/A</v>
      </c>
      <c r="I740" s="8" t="n"/>
    </row>
    <row r="741">
      <c r="A741" s="4" t="n">
        <v>33834</v>
      </c>
      <c r="B741" s="4" t="inlineStr">
        <is>
          <t>clstdai-acu-oasy-p90-sn0550</t>
        </is>
      </c>
      <c r="C741" s="4" t="inlineStr">
        <is>
          <t>W00031886A</t>
        </is>
      </c>
      <c r="D741" s="6">
        <f>IF(F741&gt;=5, F741-5, IF(F741&lt;5, 0, F741))</f>
        <v/>
      </c>
      <c r="E741">
        <f>VLOOKUP(B741,[1]Namshi!$A:$B,2,0)</f>
        <v/>
      </c>
      <c r="F741" s="4">
        <f>SUMIFS('Dubai Stock'!I:I,'Dubai Stock'!H:H,Final_UAE!B:B)</f>
        <v/>
      </c>
      <c r="H741" s="8" t="e">
        <v>#N/A</v>
      </c>
      <c r="I741" s="8" t="n"/>
    </row>
    <row r="742">
      <c r="A742" s="4" t="n">
        <v>33834</v>
      </c>
      <c r="B742" s="4" t="inlineStr">
        <is>
          <t>clstdai-dai-aqua-p30-sp0800</t>
        </is>
      </c>
      <c r="C742" s="4" t="inlineStr">
        <is>
          <t>W00031886A</t>
        </is>
      </c>
      <c r="D742" s="6">
        <f>IF(F742&gt;=5, F742-5, IF(F742&lt;5, 0, F742))</f>
        <v/>
      </c>
      <c r="E742">
        <f>VLOOKUP(B742,[1]Namshi!$A:$B,2,0)</f>
        <v/>
      </c>
      <c r="F742" s="4">
        <f>SUMIFS('Dubai Stock'!I:I,'Dubai Stock'!H:H,Final_UAE!B:B)</f>
        <v/>
      </c>
      <c r="H742" s="8" t="e">
        <v>#N/A</v>
      </c>
      <c r="I742" s="8" t="n"/>
    </row>
    <row r="743">
      <c r="A743" s="4" t="n">
        <v>33834</v>
      </c>
      <c r="B743" s="4" t="inlineStr">
        <is>
          <t>cost3mo-lay-lens-p02-platinum-gray-sn0275</t>
        </is>
      </c>
      <c r="C743" s="4" t="inlineStr">
        <is>
          <t>W00031886A</t>
        </is>
      </c>
      <c r="D743" s="6">
        <f>IF(F743&gt;=5, F743-5, IF(F743&lt;5, 0, F743))</f>
        <v/>
      </c>
      <c r="E743">
        <f>VLOOKUP(B743,[1]Namshi!$A:$B,2,0)</f>
        <v/>
      </c>
      <c r="F743" s="4">
        <f>SUMIFS('Dubai Stock'!I:I,'Dubai Stock'!H:H,Final_UAE!B:B)</f>
        <v/>
      </c>
      <c r="H743" s="8" t="e">
        <v>#N/A</v>
      </c>
      <c r="I743" s="8" t="n"/>
    </row>
    <row r="744">
      <c r="A744" s="4" t="n">
        <v>33834</v>
      </c>
      <c r="B744" s="4" t="inlineStr">
        <is>
          <t>clstdai-acu-dfrb-p90-sn0525</t>
        </is>
      </c>
      <c r="C744" s="4" t="inlineStr">
        <is>
          <t>W00031886A</t>
        </is>
      </c>
      <c r="D744" s="6">
        <f>IF(F744&gt;=5, F744-5, IF(F744&lt;5, 0, F744))</f>
        <v/>
      </c>
      <c r="E744">
        <f>VLOOKUP(B744,[1]Namshi!$A:$B,2,0)</f>
        <v/>
      </c>
      <c r="F744" s="4">
        <f>SUMIFS('Dubai Stock'!I:I,'Dubai Stock'!H:H,Final_UAE!B:B)</f>
        <v/>
      </c>
      <c r="H744" s="8" t="e">
        <v>#N/A</v>
      </c>
      <c r="I744" s="8" t="n"/>
    </row>
    <row r="745">
      <c r="A745" s="4" t="n">
        <v>33834</v>
      </c>
      <c r="B745" s="4" t="inlineStr">
        <is>
          <t>clstbiw-acu-0002-p06-sn0700</t>
        </is>
      </c>
      <c r="C745" s="4" t="inlineStr">
        <is>
          <t>W00031886A</t>
        </is>
      </c>
      <c r="D745" s="6">
        <f>IF(F745&gt;=5, F745-5, IF(F745&lt;5, 0, F745))</f>
        <v/>
      </c>
      <c r="E745">
        <f>VLOOKUP(B745,[1]Namshi!$A:$B,2,0)</f>
        <v/>
      </c>
      <c r="F745" s="4">
        <f>SUMIFS('Dubai Stock'!I:I,'Dubai Stock'!H:H,Final_UAE!B:B)</f>
        <v/>
      </c>
      <c r="H745" s="8" t="e">
        <v>#N/A</v>
      </c>
      <c r="I745" s="8" t="n"/>
    </row>
    <row r="746">
      <c r="A746" s="4" t="n">
        <v>33834</v>
      </c>
      <c r="B746" s="4" t="inlineStr">
        <is>
          <t>clstdai-acu-mois-p90-sp0175</t>
        </is>
      </c>
      <c r="C746" s="4" t="inlineStr">
        <is>
          <t>W00031886A</t>
        </is>
      </c>
      <c r="D746" s="6">
        <f>IF(F746&gt;=5, F746-5, IF(F746&lt;5, 0, F746))</f>
        <v/>
      </c>
      <c r="E746">
        <f>VLOOKUP(B746,[1]Namshi!$A:$B,2,0)</f>
        <v/>
      </c>
      <c r="F746" s="4">
        <f>SUMIFS('Dubai Stock'!I:I,'Dubai Stock'!H:H,Final_UAE!B:B)</f>
        <v/>
      </c>
      <c r="H746" s="8" t="e">
        <v>#N/A</v>
      </c>
      <c r="I746" s="8" t="n"/>
    </row>
    <row r="747">
      <c r="A747" s="4" t="n">
        <v>33834</v>
      </c>
      <c r="B747" s="4" t="inlineStr">
        <is>
          <t>sw51210-30s-000110-1210-53</t>
        </is>
      </c>
      <c r="C747" s="4" t="inlineStr">
        <is>
          <t>W00031886A</t>
        </is>
      </c>
      <c r="D747" s="6">
        <f>IF(F747&gt;=5, F747-5, IF(F747&lt;5, 0, F747))</f>
        <v/>
      </c>
      <c r="E747">
        <f>VLOOKUP(B747,[1]Namshi!$A:$B,2,0)</f>
        <v/>
      </c>
      <c r="F747" s="4">
        <f>SUMIFS('Dubai Stock'!I:I,'Dubai Stock'!H:H,Final_UAE!B:B)</f>
        <v/>
      </c>
      <c r="H747" s="8" t="e">
        <v>#N/A</v>
      </c>
    </row>
    <row r="748">
      <c r="A748" s="4" t="n">
        <v>33834</v>
      </c>
      <c r="B748" s="4" t="inlineStr">
        <is>
          <t>cost3mo-lay-lens-p02-ocean-blue-sn0325</t>
        </is>
      </c>
      <c r="C748" s="4" t="inlineStr">
        <is>
          <t>W00031886A</t>
        </is>
      </c>
      <c r="D748" s="6">
        <f>IF(F748&gt;=5, F748-5, IF(F748&lt;5, 0, F748))</f>
        <v/>
      </c>
      <c r="E748">
        <f>VLOOKUP(B748,[1]Namshi!$A:$B,2,0)</f>
        <v/>
      </c>
      <c r="F748" s="4">
        <f>SUMIFS('Dubai Stock'!I:I,'Dubai Stock'!H:H,Final_UAE!B:B)</f>
        <v/>
      </c>
      <c r="H748" s="8" t="e">
        <v>#N/A</v>
      </c>
      <c r="I748" s="8" t="n"/>
    </row>
    <row r="749">
      <c r="A749" s="4" t="n">
        <v>33834</v>
      </c>
      <c r="B749" s="4" t="inlineStr">
        <is>
          <t>clstmon-bio-biof-p06-sn0750</t>
        </is>
      </c>
      <c r="C749" s="4" t="inlineStr">
        <is>
          <t>W00031886A</t>
        </is>
      </c>
      <c r="D749" s="6">
        <f>IF(F749&gt;=5, F749-5, IF(F749&lt;5, 0, F749))</f>
        <v/>
      </c>
      <c r="E749">
        <f>VLOOKUP(B749,[1]Namshi!$A:$B,2,0)</f>
        <v/>
      </c>
      <c r="F749" s="4">
        <f>SUMIFS('Dubai Stock'!I:I,'Dubai Stock'!H:H,Final_UAE!B:B)</f>
        <v/>
      </c>
      <c r="H749" s="8" t="e">
        <v>#N/A</v>
      </c>
      <c r="I749" s="8" t="n"/>
    </row>
    <row r="750">
      <c r="A750" s="4" t="n">
        <v>33834</v>
      </c>
      <c r="B750" s="4" t="inlineStr">
        <is>
          <t>clstdai-acu-omax-p90-sp0800</t>
        </is>
      </c>
      <c r="C750" s="4" t="inlineStr">
        <is>
          <t>W00031886A</t>
        </is>
      </c>
      <c r="D750" s="6">
        <f>IF(F750&gt;=5, F750-5, IF(F750&lt;5, 0, F750))</f>
        <v/>
      </c>
      <c r="E750">
        <f>VLOOKUP(B750,[1]Namshi!$A:$B,2,0)</f>
        <v/>
      </c>
      <c r="F750" s="4">
        <f>SUMIFS('Dubai Stock'!I:I,'Dubai Stock'!H:H,Final_UAE!B:B)</f>
        <v/>
      </c>
      <c r="H750" s="8" t="e">
        <v>#N/A</v>
      </c>
      <c r="I750" s="8" t="n"/>
    </row>
    <row r="751">
      <c r="A751" s="4" t="n">
        <v>33834</v>
      </c>
      <c r="B751" s="4" t="inlineStr">
        <is>
          <t>sacchan-30s-chain132-grn-zen-green</t>
        </is>
      </c>
      <c r="C751" s="4" t="inlineStr">
        <is>
          <t>W00031886A</t>
        </is>
      </c>
      <c r="D751" s="6">
        <f>IF(F751&gt;=5, F751-5, IF(F751&lt;5, 0, F751))</f>
        <v/>
      </c>
      <c r="E751">
        <f>VLOOKUP(B751,[1]Namshi!$A:$B,2,0)</f>
        <v/>
      </c>
      <c r="F751" s="4">
        <f>SUMIFS('Dubai Stock'!I:I,'Dubai Stock'!H:H,Final_UAE!B:B)</f>
        <v/>
      </c>
      <c r="H751" s="8" t="e">
        <v>#N/A</v>
      </c>
      <c r="I751" s="8" t="n"/>
    </row>
    <row r="752">
      <c r="A752" s="4" t="n">
        <v>33834</v>
      </c>
      <c r="B752" s="4" t="inlineStr">
        <is>
          <t>costmon-ama-lens-p02-dark-sepia-sn0100</t>
        </is>
      </c>
      <c r="C752" s="4" t="inlineStr">
        <is>
          <t>W00031886A</t>
        </is>
      </c>
      <c r="D752" s="6">
        <f>IF(F752&gt;=5, F752-5, IF(F752&lt;5, 0, F752))</f>
        <v/>
      </c>
      <c r="E752">
        <f>VLOOKUP(B752,[1]Namshi!$A:$B,2,0)</f>
        <v/>
      </c>
      <c r="F752" s="4">
        <f>SUMIFS('Dubai Stock'!I:I,'Dubai Stock'!H:H,Final_UAE!B:B)</f>
        <v/>
      </c>
      <c r="H752" s="8" t="e">
        <v>#N/A</v>
      </c>
      <c r="I752" s="8" t="n"/>
    </row>
    <row r="753">
      <c r="A753" s="4" t="n">
        <v>33834</v>
      </c>
      <c r="B753" s="4" t="inlineStr">
        <is>
          <t>costdai-acu-dffr-p30-blue-sn0200</t>
        </is>
      </c>
      <c r="C753" s="4" t="inlineStr">
        <is>
          <t>W00031886A</t>
        </is>
      </c>
      <c r="D753" s="6">
        <f>IF(F753&gt;=5, F753-5, IF(F753&lt;5, 0, F753))</f>
        <v/>
      </c>
      <c r="E753">
        <f>VLOOKUP(B753,[1]Namshi!$A:$B,2,0)</f>
        <v/>
      </c>
      <c r="F753" s="4">
        <f>SUMIFS('Dubai Stock'!I:I,'Dubai Stock'!H:H,Final_UAE!B:B)</f>
        <v/>
      </c>
      <c r="H753" s="8" t="e">
        <v>#N/A</v>
      </c>
      <c r="I753" s="8" t="n"/>
    </row>
    <row r="754">
      <c r="A754" s="4" t="n">
        <v>33834</v>
      </c>
      <c r="B754" s="4" t="inlineStr">
        <is>
          <t>costdai-acu-dffr-p10-green-sn0750</t>
        </is>
      </c>
      <c r="C754" s="4" t="inlineStr">
        <is>
          <t>W00031886A</t>
        </is>
      </c>
      <c r="D754" s="6">
        <f>IF(F754&gt;=5, F754-5, IF(F754&lt;5, 0, F754))</f>
        <v/>
      </c>
      <c r="E754">
        <f>VLOOKUP(B754,[1]Namshi!$A:$B,2,0)</f>
        <v/>
      </c>
      <c r="F754" s="4">
        <f>SUMIFS('Dubai Stock'!I:I,'Dubai Stock'!H:H,Final_UAE!B:B)</f>
        <v/>
      </c>
      <c r="H754" s="8" t="e">
        <v>#N/A</v>
      </c>
      <c r="I754" s="8" t="n"/>
    </row>
    <row r="755">
      <c r="A755" s="4" t="n">
        <v>33834</v>
      </c>
      <c r="B755" s="4" t="inlineStr">
        <is>
          <t>clstdai-dai-aqua-p90-sp0300</t>
        </is>
      </c>
      <c r="C755" s="4" t="inlineStr">
        <is>
          <t>W00031886A</t>
        </is>
      </c>
      <c r="D755" s="6">
        <f>IF(F755&gt;=5, F755-5, IF(F755&lt;5, 0, F755))</f>
        <v/>
      </c>
      <c r="E755">
        <f>VLOOKUP(B755,[1]Namshi!$A:$B,2,0)</f>
        <v/>
      </c>
      <c r="F755" s="4">
        <f>SUMIFS('Dubai Stock'!I:I,'Dubai Stock'!H:H,Final_UAE!B:B)</f>
        <v/>
      </c>
      <c r="H755" s="8" t="e">
        <v>#N/A</v>
      </c>
      <c r="I755" s="8" t="n"/>
    </row>
    <row r="756">
      <c r="A756" s="4" t="n">
        <v>33834</v>
      </c>
      <c r="B756" s="4" t="inlineStr">
        <is>
          <t>clstdai-lay-cont-p60-dazzle-black-sn0400</t>
        </is>
      </c>
      <c r="C756" s="4" t="inlineStr">
        <is>
          <t>W00031886A</t>
        </is>
      </c>
      <c r="D756" s="6">
        <f>IF(F756&gt;=5, F756-5, IF(F756&lt;5, 0, F756))</f>
        <v/>
      </c>
      <c r="E756">
        <f>VLOOKUP(B756,[1]Namshi!$A:$B,2,0)</f>
        <v/>
      </c>
      <c r="F756" s="4">
        <f>SUMIFS('Dubai Stock'!I:I,'Dubai Stock'!H:H,Final_UAE!B:B)</f>
        <v/>
      </c>
      <c r="H756" s="8" t="e">
        <v>#N/A</v>
      </c>
      <c r="I756" s="8" t="n"/>
    </row>
    <row r="757">
      <c r="A757" s="4" t="n">
        <v>33834</v>
      </c>
      <c r="B757" s="4" t="inlineStr">
        <is>
          <t>sw52904-30s-000225-2904-59</t>
        </is>
      </c>
      <c r="C757" s="4" t="inlineStr">
        <is>
          <t>W00031886A</t>
        </is>
      </c>
      <c r="D757" s="6">
        <f>IF(F757&gt;=5, F757-5, IF(F757&lt;5, 0, F757))</f>
        <v/>
      </c>
      <c r="E757">
        <f>VLOOKUP(B757,[1]Namshi!$A:$B,2,0)</f>
        <v/>
      </c>
      <c r="F757" s="4">
        <f>SUMIFS('Dubai Stock'!I:I,'Dubai Stock'!H:H,Final_UAE!B:B)</f>
        <v/>
      </c>
      <c r="H757" s="8" t="e">
        <v>#N/A</v>
      </c>
    </row>
    <row r="758">
      <c r="A758" s="4" t="n">
        <v>33834</v>
      </c>
      <c r="B758" s="4" t="inlineStr">
        <is>
          <t>fw22618-spc-000532-2600-50</t>
        </is>
      </c>
      <c r="C758" s="4" t="inlineStr">
        <is>
          <t>W00031886A</t>
        </is>
      </c>
      <c r="D758" s="6">
        <f>IF(F758&gt;=5, F758-5, IF(F758&lt;5, 0, F758))</f>
        <v/>
      </c>
      <c r="E758">
        <f>VLOOKUP(B758,[1]Namshi!$A:$B,2,0)</f>
        <v/>
      </c>
      <c r="F758" s="4">
        <f>SUMIFS('Dubai Stock'!I:I,'Dubai Stock'!H:H,Final_UAE!B:B)</f>
        <v/>
      </c>
      <c r="H758" s="8" t="e">
        <v>#N/A</v>
      </c>
      <c r="I758" s="8" t="n"/>
    </row>
    <row r="759">
      <c r="A759" s="4" t="n">
        <v>33834</v>
      </c>
      <c r="B759" s="4" t="inlineStr">
        <is>
          <t>costdai-ama-dail-p10-honey-sn0175</t>
        </is>
      </c>
      <c r="C759" s="4" t="inlineStr">
        <is>
          <t>W00031886A</t>
        </is>
      </c>
      <c r="D759" s="6">
        <f>IF(F759&gt;=5, F759-5, IF(F759&lt;5, 0, F759))</f>
        <v/>
      </c>
      <c r="E759">
        <f>VLOOKUP(B759,[1]Namshi!$A:$B,2,0)</f>
        <v/>
      </c>
      <c r="F759" s="4">
        <f>SUMIFS('Dubai Stock'!I:I,'Dubai Stock'!H:H,Final_UAE!B:B)</f>
        <v/>
      </c>
      <c r="H759" s="8" t="e">
        <v>#N/A</v>
      </c>
      <c r="I759" s="8" t="n"/>
    </row>
    <row r="760">
      <c r="A760" s="4" t="n">
        <v>33834</v>
      </c>
      <c r="B760" s="4" t="inlineStr">
        <is>
          <t>sw32904-bla-000218-2309-57</t>
        </is>
      </c>
      <c r="C760" s="4" t="inlineStr">
        <is>
          <t>W00031886A</t>
        </is>
      </c>
      <c r="D760" s="6">
        <f>IF(F760&gt;=5, F760-5, IF(F760&lt;5, 0, F760))</f>
        <v/>
      </c>
      <c r="E760">
        <f>VLOOKUP(B760,[1]Namshi!$A:$B,2,0)</f>
        <v/>
      </c>
      <c r="F760" s="4">
        <f>SUMIFS('Dubai Stock'!I:I,'Dubai Stock'!H:H,Final_UAE!B:B)</f>
        <v/>
      </c>
      <c r="H760" s="8" t="e">
        <v>#N/A</v>
      </c>
    </row>
    <row r="761">
      <c r="A761" s="4" t="n">
        <v>33834</v>
      </c>
      <c r="B761" s="4" t="inlineStr">
        <is>
          <t>cost3mo-lay-2022-p02-cosmo-gray-sn0075</t>
        </is>
      </c>
      <c r="C761" s="4" t="inlineStr">
        <is>
          <t>W00031886A</t>
        </is>
      </c>
      <c r="D761" s="6">
        <f>IF(F761&gt;=5, F761-5, IF(F761&lt;5, 0, F761))</f>
        <v/>
      </c>
      <c r="E761">
        <f>VLOOKUP(B761,[1]Namshi!$A:$B,2,0)</f>
        <v/>
      </c>
      <c r="F761" s="4">
        <f>SUMIFS('Dubai Stock'!I:I,'Dubai Stock'!H:H,Final_UAE!B:B)</f>
        <v/>
      </c>
      <c r="H761" s="8" t="e">
        <v>#N/A</v>
      </c>
      <c r="I761" s="8" t="n"/>
    </row>
    <row r="762">
      <c r="A762" s="4" t="n">
        <v>33834</v>
      </c>
      <c r="B762" s="4" t="inlineStr">
        <is>
          <t>cost3mo-lay-2022-p02-avena-brown-sn0150</t>
        </is>
      </c>
      <c r="C762" s="4" t="inlineStr">
        <is>
          <t>W00031886A</t>
        </is>
      </c>
      <c r="D762" s="6">
        <f>IF(F762&gt;=5, F762-5, IF(F762&lt;5, 0, F762))</f>
        <v/>
      </c>
      <c r="E762">
        <f>VLOOKUP(B762,[1]Namshi!$A:$B,2,0)</f>
        <v/>
      </c>
      <c r="F762" s="4">
        <f>SUMIFS('Dubai Stock'!I:I,'Dubai Stock'!H:H,Final_UAE!B:B)</f>
        <v/>
      </c>
      <c r="H762" s="8" t="e">
        <v>#N/A</v>
      </c>
      <c r="I762" s="8" t="n"/>
    </row>
    <row r="763">
      <c r="A763" s="4" t="n">
        <v>33834</v>
      </c>
      <c r="B763" s="4" t="inlineStr">
        <is>
          <t>clstdai-lay-cont-p30-dazzle-black-sn0050</t>
        </is>
      </c>
      <c r="C763" s="4" t="inlineStr">
        <is>
          <t>W00031886A</t>
        </is>
      </c>
      <c r="D763" s="6">
        <f>IF(F763&gt;=5, F763-5, IF(F763&lt;5, 0, F763))</f>
        <v/>
      </c>
      <c r="E763">
        <f>VLOOKUP(B763,[1]Namshi!$A:$B,2,0)</f>
        <v/>
      </c>
      <c r="F763" s="4">
        <f>SUMIFS('Dubai Stock'!I:I,'Dubai Stock'!H:H,Final_UAE!B:B)</f>
        <v/>
      </c>
      <c r="H763" s="8" t="e">
        <v>#N/A</v>
      </c>
      <c r="I763" s="8" t="n"/>
    </row>
    <row r="764">
      <c r="A764" s="4" t="n">
        <v>33834</v>
      </c>
      <c r="B764" s="4" t="inlineStr">
        <is>
          <t>sw10107-bla-000213-0101-61</t>
        </is>
      </c>
      <c r="C764" s="4" t="inlineStr">
        <is>
          <t>W00031886A</t>
        </is>
      </c>
      <c r="D764" s="6">
        <f>IF(F764&gt;=5, F764-5, IF(F764&lt;5, 0, F764))</f>
        <v/>
      </c>
      <c r="E764">
        <f>VLOOKUP(B764,[1]Namshi!$A:$B,2,0)</f>
        <v/>
      </c>
      <c r="F764" s="4">
        <f>SUMIFS('Dubai Stock'!I:I,'Dubai Stock'!H:H,Final_UAE!B:B)</f>
        <v/>
      </c>
      <c r="H764" s="8" t="e">
        <v>#N/A</v>
      </c>
    </row>
    <row r="765">
      <c r="A765" s="4" t="n">
        <v>33834</v>
      </c>
      <c r="B765" s="4" t="inlineStr">
        <is>
          <t>clstbiw-acu-cle-p06-sn0550</t>
        </is>
      </c>
      <c r="C765" s="4" t="inlineStr">
        <is>
          <t>W00031886A</t>
        </is>
      </c>
      <c r="D765" s="6">
        <f>IF(F765&gt;=5, F765-5, IF(F765&lt;5, 0, F765))</f>
        <v/>
      </c>
      <c r="E765">
        <f>VLOOKUP(B765,[1]Namshi!$A:$B,2,0)</f>
        <v/>
      </c>
      <c r="F765" s="4">
        <f>SUMIFS('Dubai Stock'!I:I,'Dubai Stock'!H:H,Final_UAE!B:B)</f>
        <v/>
      </c>
      <c r="H765" s="8" t="e">
        <v>#N/A</v>
      </c>
      <c r="I765" s="8" t="n"/>
    </row>
    <row r="766">
      <c r="A766" s="4" t="n">
        <v>33834</v>
      </c>
      <c r="B766" s="4" t="inlineStr">
        <is>
          <t>clstdai-dai-aqua-p30-sn0800</t>
        </is>
      </c>
      <c r="C766" s="4" t="inlineStr">
        <is>
          <t>W00031886A</t>
        </is>
      </c>
      <c r="D766" s="6">
        <f>IF(F766&gt;=5, F766-5, IF(F766&lt;5, 0, F766))</f>
        <v/>
      </c>
      <c r="E766">
        <f>VLOOKUP(B766,[1]Namshi!$A:$B,2,0)</f>
        <v/>
      </c>
      <c r="F766" s="4">
        <f>SUMIFS('Dubai Stock'!I:I,'Dubai Stock'!H:H,Final_UAE!B:B)</f>
        <v/>
      </c>
      <c r="H766" s="8" t="e">
        <v>#N/A</v>
      </c>
      <c r="I766" s="8" t="n"/>
    </row>
    <row r="767">
      <c r="A767" s="4" t="n">
        <v>33834</v>
      </c>
      <c r="B767" s="4" t="inlineStr">
        <is>
          <t>clstdai-bme-1day-p30-sn0575</t>
        </is>
      </c>
      <c r="C767" s="4" t="inlineStr">
        <is>
          <t>W00031886A</t>
        </is>
      </c>
      <c r="D767" s="6">
        <f>IF(F767&gt;=5, F767-5, IF(F767&lt;5, 0, F767))</f>
        <v/>
      </c>
      <c r="E767">
        <f>VLOOKUP(B767,[1]Namshi!$A:$B,2,0)</f>
        <v/>
      </c>
      <c r="F767" s="4">
        <f>SUMIFS('Dubai Stock'!I:I,'Dubai Stock'!H:H,Final_UAE!B:B)</f>
        <v/>
      </c>
      <c r="H767" s="8" t="e">
        <v>#N/A</v>
      </c>
      <c r="I767" s="8" t="n"/>
    </row>
    <row r="768">
      <c r="A768" s="4" t="n">
        <v>33834</v>
      </c>
      <c r="B768" s="4" t="inlineStr">
        <is>
          <t>clstdai-acu-dfrb-p90-sn0550</t>
        </is>
      </c>
      <c r="C768" s="4" t="inlineStr">
        <is>
          <t>W00031886A</t>
        </is>
      </c>
      <c r="D768" s="6">
        <f>IF(F768&gt;=5, F768-5, IF(F768&lt;5, 0, F768))</f>
        <v/>
      </c>
      <c r="E768">
        <f>VLOOKUP(B768,[1]Namshi!$A:$B,2,0)</f>
        <v/>
      </c>
      <c r="F768" s="4">
        <f>SUMIFS('Dubai Stock'!I:I,'Dubai Stock'!H:H,Final_UAE!B:B)</f>
        <v/>
      </c>
      <c r="H768" s="8" t="e">
        <v>#N/A</v>
      </c>
      <c r="I768" s="8" t="n"/>
    </row>
    <row r="769">
      <c r="A769" s="4" t="n">
        <v>33834</v>
      </c>
      <c r="B769" s="4" t="inlineStr">
        <is>
          <t>sw50909-30s-000118-0909-56</t>
        </is>
      </c>
      <c r="C769" s="4" t="inlineStr">
        <is>
          <t>W00031886A</t>
        </is>
      </c>
      <c r="D769" s="6">
        <f>IF(F769&gt;=5, F769-5, IF(F769&lt;5, 0, F769))</f>
        <v/>
      </c>
      <c r="E769">
        <f>VLOOKUP(B769,[1]Namshi!$A:$B,2,0)</f>
        <v/>
      </c>
      <c r="F769" s="4">
        <f>SUMIFS('Dubai Stock'!I:I,'Dubai Stock'!H:H,Final_UAE!B:B)</f>
        <v/>
      </c>
      <c r="H769" s="8" t="e">
        <v>#N/A</v>
      </c>
    </row>
    <row r="770">
      <c r="A770" s="4" t="n">
        <v>33834</v>
      </c>
      <c r="B770" s="4" t="inlineStr">
        <is>
          <t>clstdai-eve-elit-p90-sn0525</t>
        </is>
      </c>
      <c r="C770" s="4" t="inlineStr">
        <is>
          <t>W00031886A</t>
        </is>
      </c>
      <c r="D770" s="6">
        <f>IF(F770&gt;=5, F770-5, IF(F770&lt;5, 0, F770))</f>
        <v/>
      </c>
      <c r="E770">
        <f>VLOOKUP(B770,[1]Namshi!$A:$B,2,0)</f>
        <v/>
      </c>
      <c r="F770" s="4">
        <f>SUMIFS('Dubai Stock'!I:I,'Dubai Stock'!H:H,Final_UAE!B:B)</f>
        <v/>
      </c>
      <c r="H770" s="8" t="n">
        <v>729</v>
      </c>
      <c r="I770" s="8" t="n">
        <v>357</v>
      </c>
    </row>
    <row r="771">
      <c r="A771" s="4" t="n">
        <v>33834</v>
      </c>
      <c r="B771" s="4" t="inlineStr">
        <is>
          <t>cost3mo-lay-2020-p02-hazel-brown-sn0200</t>
        </is>
      </c>
      <c r="C771" s="4" t="inlineStr">
        <is>
          <t>W00031886A</t>
        </is>
      </c>
      <c r="D771" s="6">
        <f>IF(F771&gt;=5, F771-5, IF(F771&lt;5, 0, F771))</f>
        <v/>
      </c>
      <c r="E771">
        <f>VLOOKUP(B771,[1]Namshi!$A:$B,2,0)</f>
        <v/>
      </c>
      <c r="F771" s="4">
        <f>SUMIFS('Dubai Stock'!I:I,'Dubai Stock'!H:H,Final_UAE!B:B)</f>
        <v/>
      </c>
      <c r="H771" s="8" t="e">
        <v>#N/A</v>
      </c>
      <c r="I771" s="8" t="n"/>
    </row>
    <row r="772">
      <c r="A772" s="4" t="n">
        <v>33834</v>
      </c>
      <c r="B772" s="4" t="inlineStr">
        <is>
          <t>clstdai-acu-omax-p30-sn0800</t>
        </is>
      </c>
      <c r="C772" s="4" t="inlineStr">
        <is>
          <t>W00031886A</t>
        </is>
      </c>
      <c r="D772" s="6">
        <f>IF(F772&gt;=5, F772-5, IF(F772&lt;5, 0, F772))</f>
        <v/>
      </c>
      <c r="E772">
        <f>VLOOKUP(B772,[1]Namshi!$A:$B,2,0)</f>
        <v/>
      </c>
      <c r="F772" s="4">
        <f>SUMIFS('Dubai Stock'!I:I,'Dubai Stock'!H:H,Final_UAE!B:B)</f>
        <v/>
      </c>
      <c r="H772" s="8" t="e">
        <v>#N/A</v>
      </c>
      <c r="I772" s="8" t="n"/>
    </row>
    <row r="773">
      <c r="A773" s="4" t="n">
        <v>33834</v>
      </c>
      <c r="B773" s="4" t="inlineStr">
        <is>
          <t>clstbiw-acu-oasy-p06-sp0600</t>
        </is>
      </c>
      <c r="C773" s="4" t="inlineStr">
        <is>
          <t>W00031886A</t>
        </is>
      </c>
      <c r="D773" s="6">
        <f>IF(F773&gt;=5, F773-5, IF(F773&lt;5, 0, F773))</f>
        <v/>
      </c>
      <c r="E773">
        <f>VLOOKUP(B773,[1]Namshi!$A:$B,2,0)</f>
        <v/>
      </c>
      <c r="F773" s="4">
        <f>SUMIFS('Dubai Stock'!I:I,'Dubai Stock'!H:H,Final_UAE!B:B)</f>
        <v/>
      </c>
      <c r="H773" s="8" t="e">
        <v>#N/A</v>
      </c>
      <c r="I773" s="8" t="n"/>
    </row>
    <row r="774">
      <c r="A774" s="4" t="n">
        <v>33834</v>
      </c>
      <c r="B774" s="4" t="inlineStr">
        <is>
          <t>ru61118-spc-000790-1118-42-sp0300</t>
        </is>
      </c>
      <c r="C774" s="4" t="inlineStr">
        <is>
          <t>W00031886A</t>
        </is>
      </c>
      <c r="D774" s="6">
        <f>IF(F774&gt;=5, F774-5, IF(F774&lt;5, 0, F774))</f>
        <v/>
      </c>
      <c r="E774">
        <f>VLOOKUP(B774,[1]Namshi!$A:$B,2,0)</f>
        <v/>
      </c>
      <c r="F774" s="4">
        <f>SUMIFS('Dubai Stock'!I:I,'Dubai Stock'!H:H,Final_UAE!B:B)</f>
        <v/>
      </c>
      <c r="H774" s="8" t="e">
        <v>#N/A</v>
      </c>
      <c r="I774" s="8" t="n"/>
    </row>
    <row r="775">
      <c r="A775" s="4" t="n">
        <v>33834</v>
      </c>
      <c r="B775" s="4" t="inlineStr">
        <is>
          <t>clstdai-acu-oasy-p90-sn0475</t>
        </is>
      </c>
      <c r="C775" s="4" t="inlineStr">
        <is>
          <t>W00031886A</t>
        </is>
      </c>
      <c r="D775" s="6">
        <f>IF(F775&gt;=5, F775-5, IF(F775&lt;5, 0, F775))</f>
        <v/>
      </c>
      <c r="E775">
        <f>VLOOKUP(B775,[1]Namshi!$A:$B,2,0)</f>
        <v/>
      </c>
      <c r="F775" s="4">
        <f>SUMIFS('Dubai Stock'!I:I,'Dubai Stock'!H:H,Final_UAE!B:B)</f>
        <v/>
      </c>
      <c r="H775" s="8" t="e">
        <v>#N/A</v>
      </c>
      <c r="I775" s="8" t="n"/>
    </row>
    <row r="776">
      <c r="A776" s="4" t="n">
        <v>33834</v>
      </c>
      <c r="B776" s="4" t="inlineStr">
        <is>
          <t>sw100204-bla-000267-0204-56</t>
        </is>
      </c>
      <c r="C776" s="4" t="inlineStr">
        <is>
          <t>W00031886A</t>
        </is>
      </c>
      <c r="D776" s="6">
        <f>IF(F776&gt;=5, F776-5, IF(F776&lt;5, 0, F776))</f>
        <v/>
      </c>
      <c r="E776">
        <f>VLOOKUP(B776,[1]Namshi!$A:$B,2,0)</f>
        <v/>
      </c>
      <c r="F776" s="4">
        <f>SUMIFS('Dubai Stock'!I:I,'Dubai Stock'!H:H,Final_UAE!B:B)</f>
        <v/>
      </c>
      <c r="H776" s="8" t="e">
        <v>#N/A</v>
      </c>
    </row>
    <row r="777">
      <c r="A777" s="4" t="n">
        <v>33834</v>
      </c>
      <c r="B777" s="4" t="inlineStr">
        <is>
          <t>clstdai-acu-mois-p120-sn0225</t>
        </is>
      </c>
      <c r="C777" s="4" t="inlineStr">
        <is>
          <t>W00031886A</t>
        </is>
      </c>
      <c r="D777" s="6">
        <f>IF(F777&gt;=5, F777-5, IF(F777&lt;5, 0, F777))</f>
        <v/>
      </c>
      <c r="E777">
        <f>VLOOKUP(B777,[1]Namshi!$A:$B,2,0)</f>
        <v/>
      </c>
      <c r="F777" s="4">
        <f>SUMIFS('Dubai Stock'!I:I,'Dubai Stock'!H:H,Final_UAE!B:B)</f>
        <v/>
      </c>
      <c r="H777" s="8" t="e">
        <v>#N/A</v>
      </c>
      <c r="I777" s="8" t="n"/>
    </row>
    <row r="778">
      <c r="A778" s="4" t="n">
        <v>33834</v>
      </c>
      <c r="B778" s="4" t="inlineStr">
        <is>
          <t>clstbiw-acu-oasy-p18-sn0650</t>
        </is>
      </c>
      <c r="C778" s="4" t="inlineStr">
        <is>
          <t>W00031886A</t>
        </is>
      </c>
      <c r="D778" s="6">
        <f>IF(F778&gt;=5, F778-5, IF(F778&lt;5, 0, F778))</f>
        <v/>
      </c>
      <c r="E778">
        <f>VLOOKUP(B778,[1]Namshi!$A:$B,2,0)</f>
        <v/>
      </c>
      <c r="F778" s="4">
        <f>SUMIFS('Dubai Stock'!I:I,'Dubai Stock'!H:H,Final_UAE!B:B)</f>
        <v/>
      </c>
      <c r="H778" s="8" t="e">
        <v>#N/A</v>
      </c>
      <c r="I778" s="8" t="n"/>
    </row>
    <row r="779">
      <c r="A779" s="4" t="n">
        <v>33834</v>
      </c>
      <c r="B779" s="4" t="inlineStr">
        <is>
          <t>sw31202-bla-000203-1202-56</t>
        </is>
      </c>
      <c r="C779" s="4" t="inlineStr">
        <is>
          <t>W00031886A</t>
        </is>
      </c>
      <c r="D779" s="6">
        <f>IF(F779&gt;=5, F779-5, IF(F779&lt;5, 0, F779))</f>
        <v/>
      </c>
      <c r="E779">
        <f>VLOOKUP(B779,[1]Namshi!$A:$B,2,0)</f>
        <v/>
      </c>
      <c r="F779" s="4">
        <f>SUMIFS('Dubai Stock'!I:I,'Dubai Stock'!H:H,Final_UAE!B:B)</f>
        <v/>
      </c>
      <c r="H779" s="8" t="e">
        <v>#N/A</v>
      </c>
    </row>
    <row r="780">
      <c r="A780" s="4" t="n">
        <v>33834</v>
      </c>
      <c r="B780" s="4" t="inlineStr">
        <is>
          <t>cost3mo-lay-lens-p02-chocolate-brown-sn0300</t>
        </is>
      </c>
      <c r="C780" s="4" t="inlineStr">
        <is>
          <t>W00031886A</t>
        </is>
      </c>
      <c r="D780" s="6">
        <f>IF(F780&gt;=5, F780-5, IF(F780&lt;5, 0, F780))</f>
        <v/>
      </c>
      <c r="E780">
        <f>VLOOKUP(B780,[1]Namshi!$A:$B,2,0)</f>
        <v/>
      </c>
      <c r="F780" s="4">
        <f>SUMIFS('Dubai Stock'!I:I,'Dubai Stock'!H:H,Final_UAE!B:B)</f>
        <v/>
      </c>
      <c r="H780" s="8" t="e">
        <v>#N/A</v>
      </c>
      <c r="I780" s="8" t="n"/>
    </row>
    <row r="781">
      <c r="A781" s="4" t="n">
        <v>33834</v>
      </c>
      <c r="B781" s="4" t="inlineStr">
        <is>
          <t>clstbiw-acu-cle-p06-sn0350</t>
        </is>
      </c>
      <c r="C781" s="4" t="inlineStr">
        <is>
          <t>W00031886A</t>
        </is>
      </c>
      <c r="D781" s="6">
        <f>IF(F781&gt;=5, F781-5, IF(F781&lt;5, 0, F781))</f>
        <v/>
      </c>
      <c r="E781">
        <f>VLOOKUP(B781,[1]Namshi!$A:$B,2,0)</f>
        <v/>
      </c>
      <c r="F781" s="4">
        <f>SUMIFS('Dubai Stock'!I:I,'Dubai Stock'!H:H,Final_UAE!B:B)</f>
        <v/>
      </c>
      <c r="H781" s="8" t="e">
        <v>#N/A</v>
      </c>
      <c r="I781" s="8" t="n"/>
    </row>
    <row r="782">
      <c r="A782" s="4" t="n">
        <v>33834</v>
      </c>
      <c r="B782" s="4" t="inlineStr">
        <is>
          <t>sw50101-bla-000236-0101-56</t>
        </is>
      </c>
      <c r="C782" s="4" t="inlineStr">
        <is>
          <t>W00031886A</t>
        </is>
      </c>
      <c r="D782" s="6">
        <f>IF(F782&gt;=5, F782-5, IF(F782&lt;5, 0, F782))</f>
        <v/>
      </c>
      <c r="E782">
        <f>VLOOKUP(B782,[1]Namshi!$A:$B,2,0)</f>
        <v/>
      </c>
      <c r="F782" s="4">
        <f>SUMIFS('Dubai Stock'!I:I,'Dubai Stock'!H:H,Final_UAE!B:B)</f>
        <v/>
      </c>
      <c r="H782" s="8" t="e">
        <v>#N/A</v>
      </c>
    </row>
    <row r="783">
      <c r="A783" s="4" t="n">
        <v>33834</v>
      </c>
      <c r="B783" s="4" t="inlineStr">
        <is>
          <t>clstdai-eve-elit-p90-sn0175</t>
        </is>
      </c>
      <c r="C783" s="4" t="inlineStr">
        <is>
          <t>W00031886A</t>
        </is>
      </c>
      <c r="D783" s="6">
        <f>IF(F783&gt;=5, F783-5, IF(F783&lt;5, 0, F783))</f>
        <v/>
      </c>
      <c r="E783">
        <f>VLOOKUP(B783,[1]Namshi!$A:$B,2,0)</f>
        <v/>
      </c>
      <c r="F783" s="4">
        <f>SUMIFS('Dubai Stock'!I:I,'Dubai Stock'!H:H,Final_UAE!B:B)</f>
        <v/>
      </c>
      <c r="H783" s="8" t="n">
        <v>729</v>
      </c>
      <c r="I783" s="8" t="n">
        <v>357</v>
      </c>
    </row>
    <row r="784">
      <c r="A784" s="4" t="n">
        <v>33834</v>
      </c>
      <c r="B784" s="4" t="inlineStr">
        <is>
          <t>clstbiw-acu-cle-p06-sn0275</t>
        </is>
      </c>
      <c r="C784" s="4" t="inlineStr">
        <is>
          <t>W00031886A</t>
        </is>
      </c>
      <c r="D784" s="6">
        <f>IF(F784&gt;=5, F784-5, IF(F784&lt;5, 0, F784))</f>
        <v/>
      </c>
      <c r="E784">
        <f>VLOOKUP(B784,[1]Namshi!$A:$B,2,0)</f>
        <v/>
      </c>
      <c r="F784" s="4">
        <f>SUMIFS('Dubai Stock'!I:I,'Dubai Stock'!H:H,Final_UAE!B:B)</f>
        <v/>
      </c>
      <c r="H784" s="8" t="e">
        <v>#N/A</v>
      </c>
      <c r="I784" s="8" t="n"/>
    </row>
    <row r="785">
      <c r="A785" s="4" t="n">
        <v>33834</v>
      </c>
      <c r="B785" s="4" t="inlineStr">
        <is>
          <t>cost3mo-cel-natu-p01-hazelwood-sp0350</t>
        </is>
      </c>
      <c r="C785" s="4" t="inlineStr">
        <is>
          <t>W00031886A</t>
        </is>
      </c>
      <c r="D785" s="6">
        <f>IF(F785&gt;=5, F785-5, IF(F785&lt;5, 0, F785))</f>
        <v/>
      </c>
      <c r="E785">
        <f>VLOOKUP(B785,[1]Namshi!$A:$B,2,0)</f>
        <v/>
      </c>
      <c r="F785" s="4">
        <f>SUMIFS('Dubai Stock'!I:I,'Dubai Stock'!H:H,Final_UAE!B:B)</f>
        <v/>
      </c>
      <c r="H785" s="8" t="e">
        <v>#N/A</v>
      </c>
      <c r="I785" s="8" t="n"/>
    </row>
    <row r="786">
      <c r="A786" s="4" t="n">
        <v>33834</v>
      </c>
      <c r="B786" s="4" t="inlineStr">
        <is>
          <t>clstdai-dai-tot1-p90-sp0325</t>
        </is>
      </c>
      <c r="C786" s="4" t="inlineStr">
        <is>
          <t>W00031886A</t>
        </is>
      </c>
      <c r="D786" s="6">
        <f>IF(F786&gt;=5, F786-5, IF(F786&lt;5, 0, F786))</f>
        <v/>
      </c>
      <c r="E786">
        <f>VLOOKUP(B786,[1]Namshi!$A:$B,2,0)</f>
        <v/>
      </c>
      <c r="F786" s="4">
        <f>SUMIFS('Dubai Stock'!I:I,'Dubai Stock'!H:H,Final_UAE!B:B)</f>
        <v/>
      </c>
      <c r="H786" s="8" t="e">
        <v>#N/A</v>
      </c>
      <c r="I786" s="8" t="n"/>
    </row>
    <row r="787">
      <c r="A787" s="4" t="n">
        <v>33834</v>
      </c>
      <c r="B787" s="4" t="inlineStr">
        <is>
          <t>clstbiw-acu-cle-p06-sp0550</t>
        </is>
      </c>
      <c r="C787" s="4" t="inlineStr">
        <is>
          <t>W00031886A</t>
        </is>
      </c>
      <c r="D787" s="6">
        <f>IF(F787&gt;=5, F787-5, IF(F787&lt;5, 0, F787))</f>
        <v/>
      </c>
      <c r="E787">
        <f>VLOOKUP(B787,[1]Namshi!$A:$B,2,0)</f>
        <v/>
      </c>
      <c r="F787" s="4">
        <f>SUMIFS('Dubai Stock'!I:I,'Dubai Stock'!H:H,Final_UAE!B:B)</f>
        <v/>
      </c>
      <c r="H787" s="8" t="e">
        <v>#N/A</v>
      </c>
      <c r="I787" s="8" t="n"/>
    </row>
    <row r="788">
      <c r="A788" s="4" t="n">
        <v>33834</v>
      </c>
      <c r="B788" s="4" t="inlineStr">
        <is>
          <t>costdai-acu-dffr-p30-rose-sn0150</t>
        </is>
      </c>
      <c r="C788" s="4" t="inlineStr">
        <is>
          <t>W00031886A</t>
        </is>
      </c>
      <c r="D788" s="6">
        <f>IF(F788&gt;=5, F788-5, IF(F788&lt;5, 0, F788))</f>
        <v/>
      </c>
      <c r="E788">
        <f>VLOOKUP(B788,[1]Namshi!$A:$B,2,0)</f>
        <v/>
      </c>
      <c r="F788" s="4">
        <f>SUMIFS('Dubai Stock'!I:I,'Dubai Stock'!H:H,Final_UAE!B:B)</f>
        <v/>
      </c>
      <c r="H788" s="8" t="e">
        <v>#N/A</v>
      </c>
      <c r="I788" s="8" t="n"/>
    </row>
    <row r="789">
      <c r="A789" s="4" t="n">
        <v>33834</v>
      </c>
      <c r="B789" s="4" t="inlineStr">
        <is>
          <t>clstdai-acu-omax-p90-sp0275</t>
        </is>
      </c>
      <c r="C789" s="4" t="inlineStr">
        <is>
          <t>W00031886A</t>
        </is>
      </c>
      <c r="D789" s="6">
        <f>IF(F789&gt;=5, F789-5, IF(F789&lt;5, 0, F789))</f>
        <v/>
      </c>
      <c r="E789">
        <f>VLOOKUP(B789,[1]Namshi!$A:$B,2,0)</f>
        <v/>
      </c>
      <c r="F789" s="4">
        <f>SUMIFS('Dubai Stock'!I:I,'Dubai Stock'!H:H,Final_UAE!B:B)</f>
        <v/>
      </c>
      <c r="H789" s="8" t="e">
        <v>#N/A</v>
      </c>
      <c r="I789" s="8" t="n"/>
    </row>
    <row r="790">
      <c r="A790" s="4" t="n">
        <v>33834</v>
      </c>
      <c r="B790" s="4" t="inlineStr">
        <is>
          <t>cost3mo-lay-2021-p02-sunkiss-brown-sn0400</t>
        </is>
      </c>
      <c r="C790" s="4" t="inlineStr">
        <is>
          <t>W00031886A</t>
        </is>
      </c>
      <c r="D790" s="6">
        <f>IF(F790&gt;=5, F790-5, IF(F790&lt;5, 0, F790))</f>
        <v/>
      </c>
      <c r="E790">
        <f>VLOOKUP(B790,[1]Namshi!$A:$B,2,0)</f>
        <v/>
      </c>
      <c r="F790" s="4">
        <f>SUMIFS('Dubai Stock'!I:I,'Dubai Stock'!H:H,Final_UAE!B:B)</f>
        <v/>
      </c>
      <c r="H790" s="8" t="e">
        <v>#N/A</v>
      </c>
      <c r="I790" s="8" t="n"/>
    </row>
    <row r="791">
      <c r="A791" s="4" t="n">
        <v>33834</v>
      </c>
      <c r="B791" s="4" t="inlineStr">
        <is>
          <t>clstdai-acu-dfvi-p30-sn0525</t>
        </is>
      </c>
      <c r="C791" s="4" t="inlineStr">
        <is>
          <t>W00031886A</t>
        </is>
      </c>
      <c r="D791" s="6">
        <f>IF(F791&gt;=5, F791-5, IF(F791&lt;5, 0, F791))</f>
        <v/>
      </c>
      <c r="E791">
        <f>VLOOKUP(B791,[1]Namshi!$A:$B,2,0)</f>
        <v/>
      </c>
      <c r="F791" s="4">
        <f>SUMIFS('Dubai Stock'!I:I,'Dubai Stock'!H:H,Final_UAE!B:B)</f>
        <v/>
      </c>
      <c r="H791" s="8" t="e">
        <v>#N/A</v>
      </c>
      <c r="I791" s="8" t="n"/>
    </row>
    <row r="792">
      <c r="A792" s="4" t="n">
        <v>33834</v>
      </c>
      <c r="B792" s="4" t="inlineStr">
        <is>
          <t>clstdai-dai-tot1-p30-sp0200</t>
        </is>
      </c>
      <c r="C792" s="4" t="inlineStr">
        <is>
          <t>W00031886A</t>
        </is>
      </c>
      <c r="D792" s="6">
        <f>IF(F792&gt;=5, F792-5, IF(F792&lt;5, 0, F792))</f>
        <v/>
      </c>
      <c r="E792">
        <f>VLOOKUP(B792,[1]Namshi!$A:$B,2,0)</f>
        <v/>
      </c>
      <c r="F792" s="4">
        <f>SUMIFS('Dubai Stock'!I:I,'Dubai Stock'!H:H,Final_UAE!B:B)</f>
        <v/>
      </c>
      <c r="H792" s="8" t="e">
        <v>#N/A</v>
      </c>
      <c r="I792" s="8" t="n"/>
    </row>
    <row r="793">
      <c r="A793" s="4" t="n">
        <v>33834</v>
      </c>
      <c r="B793" s="4" t="inlineStr">
        <is>
          <t>ru40118-spc-000850-0118-49-sp0200</t>
        </is>
      </c>
      <c r="C793" s="4" t="inlineStr">
        <is>
          <t>W00031886A</t>
        </is>
      </c>
      <c r="D793" s="6">
        <f>IF(F793&gt;=5, F793-5, IF(F793&lt;5, 0, F793))</f>
        <v/>
      </c>
      <c r="E793">
        <f>VLOOKUP(B793,[1]Namshi!$A:$B,2,0)</f>
        <v/>
      </c>
      <c r="F793" s="4">
        <f>SUMIFS('Dubai Stock'!I:I,'Dubai Stock'!H:H,Final_UAE!B:B)</f>
        <v/>
      </c>
      <c r="H793" s="8" t="e">
        <v>#N/A</v>
      </c>
      <c r="I793" s="8" t="n"/>
    </row>
    <row r="794">
      <c r="A794" s="4" t="n">
        <v>33834</v>
      </c>
      <c r="B794" s="4" t="inlineStr">
        <is>
          <t>cost3mo-lay-lens-p02-ocean-blue-sp0000</t>
        </is>
      </c>
      <c r="C794" s="4" t="inlineStr">
        <is>
          <t>W00031886A</t>
        </is>
      </c>
      <c r="D794" s="6">
        <f>IF(F794&gt;=5, F794-5, IF(F794&lt;5, 0, F794))</f>
        <v/>
      </c>
      <c r="E794">
        <f>VLOOKUP(B794,[1]Namshi!$A:$B,2,0)</f>
        <v/>
      </c>
      <c r="F794" s="4">
        <f>SUMIFS('Dubai Stock'!I:I,'Dubai Stock'!H:H,Final_UAE!B:B)</f>
        <v/>
      </c>
      <c r="H794" s="8" t="e">
        <v>#N/A</v>
      </c>
      <c r="I794" s="8" t="n"/>
    </row>
    <row r="795">
      <c r="A795" s="4" t="n">
        <v>33834</v>
      </c>
      <c r="B795" s="4" t="inlineStr">
        <is>
          <t>clstdai-eve-elit-p90-sn0850</t>
        </is>
      </c>
      <c r="C795" s="4" t="inlineStr">
        <is>
          <t>W00031886A</t>
        </is>
      </c>
      <c r="D795" s="6">
        <f>IF(F795&gt;=5, F795-5, IF(F795&lt;5, 0, F795))</f>
        <v/>
      </c>
      <c r="E795">
        <f>VLOOKUP(B795,[1]Namshi!$A:$B,2,0)</f>
        <v/>
      </c>
      <c r="F795" s="4">
        <f>SUMIFS('Dubai Stock'!I:I,'Dubai Stock'!H:H,Final_UAE!B:B)</f>
        <v/>
      </c>
      <c r="H795" s="8" t="n">
        <v>729</v>
      </c>
      <c r="I795" s="8" t="n">
        <v>357</v>
      </c>
    </row>
    <row r="796">
      <c r="A796" s="4" t="n">
        <v>33834</v>
      </c>
      <c r="B796" s="4" t="inlineStr">
        <is>
          <t>costmon-ama-2024-p02-matcha-sn0600</t>
        </is>
      </c>
      <c r="C796" s="4" t="inlineStr">
        <is>
          <t>W00031886A</t>
        </is>
      </c>
      <c r="D796" s="6">
        <f>IF(F796&gt;=5, F796-5, IF(F796&lt;5, 0, F796))</f>
        <v/>
      </c>
      <c r="E796">
        <f>VLOOKUP(B796,[1]Namshi!$A:$B,2,0)</f>
        <v/>
      </c>
      <c r="F796" s="4">
        <f>SUMIFS('Dubai Stock'!I:I,'Dubai Stock'!H:H,Final_UAE!B:B)</f>
        <v/>
      </c>
      <c r="H796" s="8" t="e">
        <v>#N/A</v>
      </c>
      <c r="I796" s="8" t="n"/>
    </row>
    <row r="797">
      <c r="A797" s="4" t="n">
        <v>33834</v>
      </c>
      <c r="B797" s="4" t="inlineStr">
        <is>
          <t>clstdai-acu-dfvi-p90-sn0850</t>
        </is>
      </c>
      <c r="C797" s="4" t="inlineStr">
        <is>
          <t>W00031886A</t>
        </is>
      </c>
      <c r="D797" s="6">
        <f>IF(F797&gt;=5, F797-5, IF(F797&lt;5, 0, F797))</f>
        <v/>
      </c>
      <c r="E797">
        <f>VLOOKUP(B797,[1]Namshi!$A:$B,2,0)</f>
        <v/>
      </c>
      <c r="F797" s="4">
        <f>SUMIFS('Dubai Stock'!I:I,'Dubai Stock'!H:H,Final_UAE!B:B)</f>
        <v/>
      </c>
      <c r="H797" s="8" t="e">
        <v>#N/A</v>
      </c>
      <c r="I797" s="8" t="n"/>
    </row>
    <row r="798">
      <c r="A798" s="4" t="n">
        <v>33834</v>
      </c>
      <c r="B798" s="4" t="inlineStr">
        <is>
          <t>clstdai-acu-dfrb-p90-sn0850</t>
        </is>
      </c>
      <c r="C798" s="4" t="inlineStr">
        <is>
          <t>W00031886A</t>
        </is>
      </c>
      <c r="D798" s="6">
        <f>IF(F798&gt;=5, F798-5, IF(F798&lt;5, 0, F798))</f>
        <v/>
      </c>
      <c r="E798">
        <f>VLOOKUP(B798,[1]Namshi!$A:$B,2,0)</f>
        <v/>
      </c>
      <c r="F798" s="4">
        <f>SUMIFS('Dubai Stock'!I:I,'Dubai Stock'!H:H,Final_UAE!B:B)</f>
        <v/>
      </c>
      <c r="H798" s="8" t="e">
        <v>#N/A</v>
      </c>
      <c r="I798" s="8" t="n"/>
    </row>
    <row r="799">
      <c r="A799" s="4" t="n">
        <v>33834</v>
      </c>
      <c r="B799" s="4" t="inlineStr">
        <is>
          <t>clstdai-acu-omax-p30-sn0475</t>
        </is>
      </c>
      <c r="C799" s="4" t="inlineStr">
        <is>
          <t>W00031886A</t>
        </is>
      </c>
      <c r="D799" s="6">
        <f>IF(F799&gt;=5, F799-5, IF(F799&lt;5, 0, F799))</f>
        <v/>
      </c>
      <c r="E799">
        <f>VLOOKUP(B799,[1]Namshi!$A:$B,2,0)</f>
        <v/>
      </c>
      <c r="F799" s="4">
        <f>SUMIFS('Dubai Stock'!I:I,'Dubai Stock'!H:H,Final_UAE!B:B)</f>
        <v/>
      </c>
      <c r="H799" s="8" t="e">
        <v>#N/A</v>
      </c>
      <c r="I799" s="8" t="n"/>
    </row>
    <row r="800">
      <c r="A800" s="4" t="n">
        <v>33834</v>
      </c>
      <c r="B800" s="4" t="inlineStr">
        <is>
          <t>clstdai-sof-sdai-p90-sn0300</t>
        </is>
      </c>
      <c r="C800" s="4" t="inlineStr">
        <is>
          <t>W00031886A</t>
        </is>
      </c>
      <c r="D800" s="6">
        <f>IF(F800&gt;=5, F800-5, IF(F800&lt;5, 0, F800))</f>
        <v/>
      </c>
      <c r="E800">
        <f>VLOOKUP(B800,[1]Namshi!$A:$B,2,0)</f>
        <v/>
      </c>
      <c r="F800" s="4">
        <f>SUMIFS('Dubai Stock'!I:I,'Dubai Stock'!H:H,Final_UAE!B:B)</f>
        <v/>
      </c>
      <c r="H800" s="8" t="e">
        <v>#N/A</v>
      </c>
      <c r="I800" s="8" t="n"/>
    </row>
    <row r="801">
      <c r="A801" s="4" t="n">
        <v>33834</v>
      </c>
      <c r="B801" s="4" t="inlineStr">
        <is>
          <t>clstdai-lay-cont-p30-dazzle-brown-sn0400</t>
        </is>
      </c>
      <c r="C801" s="4" t="inlineStr">
        <is>
          <t>W00031886A</t>
        </is>
      </c>
      <c r="D801" s="6">
        <f>IF(F801&gt;=5, F801-5, IF(F801&lt;5, 0, F801))</f>
        <v/>
      </c>
      <c r="E801">
        <f>VLOOKUP(B801,[1]Namshi!$A:$B,2,0)</f>
        <v/>
      </c>
      <c r="F801" s="4">
        <f>SUMIFS('Dubai Stock'!I:I,'Dubai Stock'!H:H,Final_UAE!B:B)</f>
        <v/>
      </c>
      <c r="H801" s="8" t="e">
        <v>#N/A</v>
      </c>
      <c r="I801" s="8" t="n"/>
    </row>
    <row r="802">
      <c r="A802" s="4" t="n">
        <v>33834</v>
      </c>
      <c r="B802" s="4" t="inlineStr">
        <is>
          <t>clstdai-acu-mois-p90-sn0425</t>
        </is>
      </c>
      <c r="C802" s="4" t="inlineStr">
        <is>
          <t>W00031886A</t>
        </is>
      </c>
      <c r="D802" s="6">
        <f>IF(F802&gt;=5, F802-5, IF(F802&lt;5, 0, F802))</f>
        <v/>
      </c>
      <c r="E802">
        <f>VLOOKUP(B802,[1]Namshi!$A:$B,2,0)</f>
        <v/>
      </c>
      <c r="F802" s="4">
        <f>SUMIFS('Dubai Stock'!I:I,'Dubai Stock'!H:H,Final_UAE!B:B)</f>
        <v/>
      </c>
      <c r="H802" s="8" t="e">
        <v>#N/A</v>
      </c>
      <c r="I802" s="8" t="n"/>
    </row>
    <row r="803">
      <c r="A803" s="4" t="n">
        <v>33834</v>
      </c>
      <c r="B803" s="4" t="inlineStr">
        <is>
          <t>clstdai-eve-elit-p90-sn1000</t>
        </is>
      </c>
      <c r="C803" s="4" t="inlineStr">
        <is>
          <t>W00031886A</t>
        </is>
      </c>
      <c r="D803" s="6">
        <f>IF(F803&gt;=5, F803-5, IF(F803&lt;5, 0, F803))</f>
        <v/>
      </c>
      <c r="E803">
        <f>VLOOKUP(B803,[1]Namshi!$A:$B,2,0)</f>
        <v/>
      </c>
      <c r="F803" s="4">
        <f>SUMIFS('Dubai Stock'!I:I,'Dubai Stock'!H:H,Final_UAE!B:B)</f>
        <v/>
      </c>
      <c r="H803" s="8" t="n">
        <v>729</v>
      </c>
      <c r="I803" s="8" t="n">
        <v>357</v>
      </c>
    </row>
    <row r="804">
      <c r="A804" s="4" t="n">
        <v>33834</v>
      </c>
      <c r="B804" s="4" t="inlineStr">
        <is>
          <t>saccase-30s-case101-pnk-bge-blush-pink</t>
        </is>
      </c>
      <c r="C804" s="4" t="inlineStr">
        <is>
          <t>W00031886A</t>
        </is>
      </c>
      <c r="D804" s="6">
        <f>IF(F804&gt;=5, F804-5, IF(F804&lt;5, 0, F804))</f>
        <v/>
      </c>
      <c r="E804">
        <f>VLOOKUP(B804,[1]Namshi!$A:$B,2,0)</f>
        <v/>
      </c>
      <c r="F804" s="4">
        <f>SUMIFS('Dubai Stock'!I:I,'Dubai Stock'!H:H,Final_UAE!B:B)</f>
        <v/>
      </c>
      <c r="H804" s="8" t="e">
        <v>#N/A</v>
      </c>
      <c r="I804" s="8" t="n"/>
    </row>
    <row r="805">
      <c r="A805" s="4" t="n">
        <v>33834</v>
      </c>
      <c r="B805" s="4" t="inlineStr">
        <is>
          <t>cost3mo-lay-lens-p02-platinum-gray-sp0000</t>
        </is>
      </c>
      <c r="C805" s="4" t="inlineStr">
        <is>
          <t>W00031886A</t>
        </is>
      </c>
      <c r="D805" s="6">
        <f>IF(F805&gt;=5, F805-5, IF(F805&lt;5, 0, F805))</f>
        <v/>
      </c>
      <c r="E805">
        <f>VLOOKUP(B805,[1]Namshi!$A:$B,2,0)</f>
        <v/>
      </c>
      <c r="F805" s="4">
        <f>SUMIFS('Dubai Stock'!I:I,'Dubai Stock'!H:H,Final_UAE!B:B)</f>
        <v/>
      </c>
      <c r="H805" s="8" t="e">
        <v>#N/A</v>
      </c>
      <c r="I805" s="8" t="n"/>
    </row>
    <row r="806">
      <c r="A806" s="4" t="n">
        <v>33834</v>
      </c>
      <c r="B806" s="4" t="inlineStr">
        <is>
          <t>sw50707-bla-000101-0707-62</t>
        </is>
      </c>
      <c r="C806" s="4" t="inlineStr">
        <is>
          <t>W00031886A</t>
        </is>
      </c>
      <c r="D806" s="6">
        <f>IF(F806&gt;=5, F806-5, IF(F806&lt;5, 0, F806))</f>
        <v/>
      </c>
      <c r="E806">
        <f>VLOOKUP(B806,[1]Namshi!$A:$B,2,0)</f>
        <v/>
      </c>
      <c r="F806" s="4">
        <f>SUMIFS('Dubai Stock'!I:I,'Dubai Stock'!H:H,Final_UAE!B:B)</f>
        <v/>
      </c>
      <c r="H806" s="8" t="e">
        <v>#N/A</v>
      </c>
    </row>
    <row r="807">
      <c r="A807" s="4" t="n">
        <v>33834</v>
      </c>
      <c r="B807" s="4" t="inlineStr">
        <is>
          <t>clstmon-ava-avai-p06-sn0600</t>
        </is>
      </c>
      <c r="C807" s="4" t="inlineStr">
        <is>
          <t>W00031886A</t>
        </is>
      </c>
      <c r="D807" s="6">
        <f>IF(F807&gt;=5, F807-5, IF(F807&lt;5, 0, F807))</f>
        <v/>
      </c>
      <c r="E807">
        <f>VLOOKUP(B807,[1]Namshi!$A:$B,2,0)</f>
        <v/>
      </c>
      <c r="F807" s="4">
        <f>SUMIFS('Dubai Stock'!I:I,'Dubai Stock'!H:H,Final_UAE!B:B)</f>
        <v/>
      </c>
      <c r="H807" s="8" t="e">
        <v>#N/A</v>
      </c>
      <c r="I807" s="8" t="n"/>
    </row>
    <row r="808">
      <c r="A808" s="4" t="n">
        <v>33834</v>
      </c>
      <c r="B808" s="4" t="inlineStr">
        <is>
          <t>su50504-bla-000249-0504-51</t>
        </is>
      </c>
      <c r="C808" s="4" t="inlineStr">
        <is>
          <t>W00031886A</t>
        </is>
      </c>
      <c r="D808" s="6">
        <f>IF(F808&gt;=5, F808-5, IF(F808&lt;5, 0, F808))</f>
        <v/>
      </c>
      <c r="E808">
        <f>VLOOKUP(B808,[1]Namshi!$A:$B,2,0)</f>
        <v/>
      </c>
      <c r="F808" s="4">
        <f>SUMIFS('Dubai Stock'!I:I,'Dubai Stock'!H:H,Final_UAE!B:B)</f>
        <v/>
      </c>
      <c r="H808" s="8" t="e">
        <v>#N/A</v>
      </c>
    </row>
    <row r="809">
      <c r="A809" s="4" t="n">
        <v>33834</v>
      </c>
      <c r="B809" s="4" t="inlineStr">
        <is>
          <t>clstdai-eve-elit-p90-sp0275</t>
        </is>
      </c>
      <c r="C809" s="4" t="inlineStr">
        <is>
          <t>W00031886A</t>
        </is>
      </c>
      <c r="D809" s="6">
        <f>IF(F809&gt;=5, F809-5, IF(F809&lt;5, 0, F809))</f>
        <v/>
      </c>
      <c r="E809">
        <f>VLOOKUP(B809,[1]Namshi!$A:$B,2,0)</f>
        <v/>
      </c>
      <c r="F809" s="4">
        <f>SUMIFS('Dubai Stock'!I:I,'Dubai Stock'!H:H,Final_UAE!B:B)</f>
        <v/>
      </c>
      <c r="H809" s="8" t="n">
        <v>729</v>
      </c>
      <c r="I809" s="8" t="n">
        <v>357</v>
      </c>
    </row>
    <row r="810">
      <c r="A810" s="4" t="n">
        <v>33834</v>
      </c>
      <c r="B810" s="4" t="inlineStr">
        <is>
          <t>clstmon-eve-prom-p06-sn0050</t>
        </is>
      </c>
      <c r="C810" s="4" t="inlineStr">
        <is>
          <t>W00031886A</t>
        </is>
      </c>
      <c r="D810" s="6">
        <f>IF(F810&gt;=5, F810-5, IF(F810&lt;5, 0, F810))</f>
        <v/>
      </c>
      <c r="E810">
        <f>VLOOKUP(B810,[1]Namshi!$A:$B,2,0)</f>
        <v/>
      </c>
      <c r="F810" s="4">
        <f>SUMIFS('Dubai Stock'!I:I,'Dubai Stock'!H:H,Final_UAE!B:B)</f>
        <v/>
      </c>
      <c r="H810" s="8" t="n">
        <v>212</v>
      </c>
      <c r="I810" s="8" t="n">
        <v>111.3</v>
      </c>
    </row>
    <row r="811">
      <c r="A811" s="4" t="n">
        <v>33834</v>
      </c>
      <c r="B811" s="4" t="inlineStr">
        <is>
          <t>clstdai-acu-dfvi-p30-sn0225</t>
        </is>
      </c>
      <c r="C811" s="4" t="inlineStr">
        <is>
          <t>W00031886A</t>
        </is>
      </c>
      <c r="D811" s="6">
        <f>IF(F811&gt;=5, F811-5, IF(F811&lt;5, 0, F811))</f>
        <v/>
      </c>
      <c r="E811">
        <f>VLOOKUP(B811,[1]Namshi!$A:$B,2,0)</f>
        <v/>
      </c>
      <c r="F811" s="4">
        <f>SUMIFS('Dubai Stock'!I:I,'Dubai Stock'!H:H,Final_UAE!B:B)</f>
        <v/>
      </c>
      <c r="H811" s="8" t="e">
        <v>#N/A</v>
      </c>
      <c r="I811" s="8" t="n"/>
    </row>
    <row r="812">
      <c r="A812" s="4" t="n">
        <v>33834</v>
      </c>
      <c r="B812" s="4" t="inlineStr">
        <is>
          <t>fw30918-spc-000634-0918-53</t>
        </is>
      </c>
      <c r="C812" s="4" t="inlineStr">
        <is>
          <t>W00031886A</t>
        </is>
      </c>
      <c r="D812" s="6">
        <f>IF(F812&gt;=5, F812-5, IF(F812&lt;5, 0, F812))</f>
        <v/>
      </c>
      <c r="E812">
        <f>VLOOKUP(B812,[1]Namshi!$A:$B,2,0)</f>
        <v/>
      </c>
      <c r="F812" s="4">
        <f>SUMIFS('Dubai Stock'!I:I,'Dubai Stock'!H:H,Final_UAE!B:B)</f>
        <v/>
      </c>
      <c r="H812" s="8" t="e">
        <v>#N/A</v>
      </c>
      <c r="I812" s="8" t="n"/>
    </row>
    <row r="813">
      <c r="A813" s="4" t="n">
        <v>33834</v>
      </c>
      <c r="B813" s="4" t="inlineStr">
        <is>
          <t>su50101-30s-000231-0101-62</t>
        </is>
      </c>
      <c r="C813" s="4" t="inlineStr">
        <is>
          <t>W00031886A</t>
        </is>
      </c>
      <c r="D813" s="6">
        <f>IF(F813&gt;=5, F813-5, IF(F813&lt;5, 0, F813))</f>
        <v/>
      </c>
      <c r="E813">
        <f>VLOOKUP(B813,[1]Namshi!$A:$B,2,0)</f>
        <v/>
      </c>
      <c r="F813" s="4">
        <f>SUMIFS('Dubai Stock'!I:I,'Dubai Stock'!H:H,Final_UAE!B:B)</f>
        <v/>
      </c>
      <c r="H813" s="8" t="e">
        <v>#N/A</v>
      </c>
    </row>
    <row r="814">
      <c r="A814" s="4" t="n">
        <v>33834</v>
      </c>
      <c r="B814" s="4" t="inlineStr">
        <is>
          <t>sw40404-bla-000261-0404-50</t>
        </is>
      </c>
      <c r="C814" s="4" t="inlineStr">
        <is>
          <t>W00031886A</t>
        </is>
      </c>
      <c r="D814" s="6">
        <f>IF(F814&gt;=5, F814-5, IF(F814&lt;5, 0, F814))</f>
        <v/>
      </c>
      <c r="E814">
        <f>VLOOKUP(B814,[1]Namshi!$A:$B,2,0)</f>
        <v/>
      </c>
      <c r="F814" s="4">
        <f>SUMIFS('Dubai Stock'!I:I,'Dubai Stock'!H:H,Final_UAE!B:B)</f>
        <v/>
      </c>
      <c r="H814" s="8" t="e">
        <v>#N/A</v>
      </c>
    </row>
    <row r="815">
      <c r="A815" s="4" t="n">
        <v>33834</v>
      </c>
      <c r="B815" s="4" t="inlineStr">
        <is>
          <t>sacchan-30s-chain122-gld-isla-gold</t>
        </is>
      </c>
      <c r="C815" s="4" t="inlineStr">
        <is>
          <t>W00031886A</t>
        </is>
      </c>
      <c r="D815" s="6">
        <f>IF(F815&gt;=5, F815-5, IF(F815&lt;5, 0, F815))</f>
        <v/>
      </c>
      <c r="E815">
        <f>VLOOKUP(B815,[1]Namshi!$A:$B,2,0)</f>
        <v/>
      </c>
      <c r="F815" s="4">
        <f>SUMIFS('Dubai Stock'!I:I,'Dubai Stock'!H:H,Final_UAE!B:B)</f>
        <v/>
      </c>
      <c r="H815" s="8" t="e">
        <v>#N/A</v>
      </c>
      <c r="I815" s="8" t="n"/>
    </row>
    <row r="816">
      <c r="A816" s="4" t="n">
        <v>33834</v>
      </c>
      <c r="B816" s="4" t="inlineStr">
        <is>
          <t>fu20718-spc-000302-0700-52</t>
        </is>
      </c>
      <c r="C816" s="4" t="inlineStr">
        <is>
          <t>W00031886A</t>
        </is>
      </c>
      <c r="D816" s="6">
        <f>IF(F816&gt;=5, F816-5, IF(F816&lt;5, 0, F816))</f>
        <v/>
      </c>
      <c r="E816">
        <f>VLOOKUP(B816,[1]Namshi!$A:$B,2,0)</f>
        <v/>
      </c>
      <c r="F816" s="4">
        <f>SUMIFS('Dubai Stock'!I:I,'Dubai Stock'!H:H,Final_UAE!B:B)</f>
        <v/>
      </c>
      <c r="H816" s="8" t="e">
        <v>#N/A</v>
      </c>
      <c r="I816" s="8" t="n"/>
    </row>
    <row r="817">
      <c r="A817" s="4" t="n">
        <v>33834</v>
      </c>
      <c r="B817" s="4" t="inlineStr">
        <is>
          <t>sunglasses-30Sundays-30s-000451-0606</t>
        </is>
      </c>
      <c r="C817" s="4" t="inlineStr">
        <is>
          <t>W00031886A</t>
        </is>
      </c>
      <c r="D817" s="6">
        <f>IF(F817&gt;=5, F817-5, IF(F817&lt;5, 0, F817))</f>
        <v/>
      </c>
      <c r="E817">
        <f>VLOOKUP(B817,[1]Namshi!$A:$B,2,0)</f>
        <v/>
      </c>
      <c r="F817" s="4">
        <f>SUMIFS('Dubai Stock'!I:I,'Dubai Stock'!H:H,Final_UAE!B:B)</f>
        <v/>
      </c>
      <c r="H817" s="8" t="e">
        <v>#N/A</v>
      </c>
      <c r="I817" s="8" t="n"/>
    </row>
    <row r="818">
      <c r="A818" s="4" t="n">
        <v>33834</v>
      </c>
      <c r="B818" s="4" t="inlineStr">
        <is>
          <t>sm50402-30s-000217-0404-54</t>
        </is>
      </c>
      <c r="C818" s="4" t="inlineStr">
        <is>
          <t>W00031886A</t>
        </is>
      </c>
      <c r="D818" s="6">
        <f>IF(F818&gt;=5, F818-5, IF(F818&lt;5, 0, F818))</f>
        <v/>
      </c>
      <c r="E818">
        <f>VLOOKUP(B818,[1]Namshi!$A:$B,2,0)</f>
        <v/>
      </c>
      <c r="F818" s="4">
        <f>SUMIFS('Dubai Stock'!I:I,'Dubai Stock'!H:H,Final_UAE!B:B)</f>
        <v/>
      </c>
      <c r="H818" s="8" t="e">
        <v>#N/A</v>
      </c>
    </row>
    <row r="819">
      <c r="A819" s="4" t="n">
        <v>33834</v>
      </c>
      <c r="B819" s="4" t="inlineStr">
        <is>
          <t>sw32302-30s-000263-2302-56</t>
        </is>
      </c>
      <c r="C819" s="4" t="inlineStr">
        <is>
          <t>W00031886A</t>
        </is>
      </c>
      <c r="D819" s="6">
        <f>IF(F819&gt;=5, F819-5, IF(F819&lt;5, 0, F819))</f>
        <v/>
      </c>
      <c r="E819">
        <f>VLOOKUP(B819,[1]Namshi!$A:$B,2,0)</f>
        <v/>
      </c>
      <c r="F819" s="4">
        <f>SUMIFS('Dubai Stock'!I:I,'Dubai Stock'!H:H,Final_UAE!B:B)</f>
        <v/>
      </c>
      <c r="H819" s="8" t="e">
        <v>#N/A</v>
      </c>
    </row>
    <row r="820">
      <c r="A820" s="4" t="n">
        <v>33834</v>
      </c>
      <c r="B820" s="4" t="inlineStr">
        <is>
          <t>clstdai-acu-dfna-p90-sn0250</t>
        </is>
      </c>
      <c r="C820" s="4" t="inlineStr">
        <is>
          <t>W00031886A</t>
        </is>
      </c>
      <c r="D820" s="6">
        <f>IF(F820&gt;=5, F820-5, IF(F820&lt;5, 0, F820))</f>
        <v/>
      </c>
      <c r="E820">
        <f>VLOOKUP(B820,[1]Namshi!$A:$B,2,0)</f>
        <v/>
      </c>
      <c r="F820" s="4">
        <f>SUMIFS('Dubai Stock'!I:I,'Dubai Stock'!H:H,Final_UAE!B:B)</f>
        <v/>
      </c>
      <c r="H820" s="8" t="e">
        <v>#N/A</v>
      </c>
      <c r="I820" s="8" t="n"/>
    </row>
    <row r="821">
      <c r="A821" s="4" t="n">
        <v>33834</v>
      </c>
      <c r="B821" s="4" t="inlineStr">
        <is>
          <t>clstdai-acu-oasy-p120-sn0350</t>
        </is>
      </c>
      <c r="C821" s="4" t="inlineStr">
        <is>
          <t>W00031886A</t>
        </is>
      </c>
      <c r="D821" s="6">
        <f>IF(F821&gt;=5, F821-5, IF(F821&lt;5, 0, F821))</f>
        <v/>
      </c>
      <c r="E821">
        <f>VLOOKUP(B821,[1]Namshi!$A:$B,2,0)</f>
        <v/>
      </c>
      <c r="F821" s="4">
        <f>SUMIFS('Dubai Stock'!I:I,'Dubai Stock'!H:H,Final_UAE!B:B)</f>
        <v/>
      </c>
      <c r="H821" s="8" t="e">
        <v>#N/A</v>
      </c>
      <c r="I821" s="8" t="n"/>
    </row>
    <row r="822">
      <c r="A822" s="4" t="n">
        <v>33834</v>
      </c>
      <c r="B822" s="4" t="inlineStr">
        <is>
          <t>clstmon-bme-bm55-p06-sn0525</t>
        </is>
      </c>
      <c r="C822" s="4" t="inlineStr">
        <is>
          <t>W00031886A</t>
        </is>
      </c>
      <c r="D822" s="6">
        <f>IF(F822&gt;=5, F822-5, IF(F822&lt;5, 0, F822))</f>
        <v/>
      </c>
      <c r="E822">
        <f>VLOOKUP(B822,[1]Namshi!$A:$B,2,0)</f>
        <v/>
      </c>
      <c r="F822" s="4">
        <f>SUMIFS('Dubai Stock'!I:I,'Dubai Stock'!H:H,Final_UAE!B:B)</f>
        <v/>
      </c>
      <c r="H822" s="8" t="e">
        <v>#N/A</v>
      </c>
      <c r="I822" s="8" t="n"/>
    </row>
    <row r="823">
      <c r="A823" s="4" t="n">
        <v>33834</v>
      </c>
      <c r="B823" s="4" t="inlineStr">
        <is>
          <t>clstmon-ava-avai-p06-sn0500</t>
        </is>
      </c>
      <c r="C823" s="4" t="inlineStr">
        <is>
          <t>W00031886A</t>
        </is>
      </c>
      <c r="D823" s="6">
        <f>IF(F823&gt;=5, F823-5, IF(F823&lt;5, 0, F823))</f>
        <v/>
      </c>
      <c r="E823">
        <f>VLOOKUP(B823,[1]Namshi!$A:$B,2,0)</f>
        <v/>
      </c>
      <c r="F823" s="4">
        <f>SUMIFS('Dubai Stock'!I:I,'Dubai Stock'!H:H,Final_UAE!B:B)</f>
        <v/>
      </c>
      <c r="H823" s="8" t="e">
        <v>#N/A</v>
      </c>
      <c r="I823" s="8" t="n"/>
    </row>
    <row r="824">
      <c r="A824" s="4" t="n">
        <v>33834</v>
      </c>
      <c r="B824" s="4" t="inlineStr">
        <is>
          <t>cost3mo-lay-2021-p02-stardust-gray-sn0400</t>
        </is>
      </c>
      <c r="C824" s="4" t="inlineStr">
        <is>
          <t>W00031886A</t>
        </is>
      </c>
      <c r="D824" s="6">
        <f>IF(F824&gt;=5, F824-5, IF(F824&lt;5, 0, F824))</f>
        <v/>
      </c>
      <c r="E824">
        <f>VLOOKUP(B824,[1]Namshi!$A:$B,2,0)</f>
        <v/>
      </c>
      <c r="F824" s="4">
        <f>SUMIFS('Dubai Stock'!I:I,'Dubai Stock'!H:H,Final_UAE!B:B)</f>
        <v/>
      </c>
      <c r="H824" s="8" t="e">
        <v>#N/A</v>
      </c>
      <c r="I824" s="8" t="n"/>
    </row>
    <row r="825">
      <c r="A825" s="4" t="n">
        <v>33834</v>
      </c>
      <c r="B825" s="4" t="inlineStr">
        <is>
          <t>sm20507-30s-000207-0707-52</t>
        </is>
      </c>
      <c r="C825" s="4" t="inlineStr">
        <is>
          <t>W00031886A</t>
        </is>
      </c>
      <c r="D825" s="6">
        <f>IF(F825&gt;=5, F825-5, IF(F825&lt;5, 0, F825))</f>
        <v/>
      </c>
      <c r="E825">
        <f>VLOOKUP(B825,[1]Namshi!$A:$B,2,0)</f>
        <v/>
      </c>
      <c r="F825" s="4">
        <f>SUMIFS('Dubai Stock'!I:I,'Dubai Stock'!H:H,Final_UAE!B:B)</f>
        <v/>
      </c>
      <c r="H825" s="8" t="e">
        <v>#N/A</v>
      </c>
    </row>
    <row r="826">
      <c r="A826" s="4" t="n">
        <v>33834</v>
      </c>
      <c r="B826" s="4" t="inlineStr">
        <is>
          <t>clstdai-acu-omax-p90-sn0325</t>
        </is>
      </c>
      <c r="C826" s="4" t="inlineStr">
        <is>
          <t>W00031886A</t>
        </is>
      </c>
      <c r="D826" s="6">
        <f>IF(F826&gt;=5, F826-5, IF(F826&lt;5, 0, F826))</f>
        <v/>
      </c>
      <c r="E826">
        <f>VLOOKUP(B826,[1]Namshi!$A:$B,2,0)</f>
        <v/>
      </c>
      <c r="F826" s="4">
        <f>SUMIFS('Dubai Stock'!I:I,'Dubai Stock'!H:H,Final_UAE!B:B)</f>
        <v/>
      </c>
      <c r="H826" s="8" t="e">
        <v>#N/A</v>
      </c>
      <c r="I826" s="8" t="n"/>
    </row>
    <row r="827">
      <c r="A827" s="4" t="n">
        <v>33834</v>
      </c>
      <c r="B827" s="4" t="inlineStr">
        <is>
          <t>sw31304-30s-000122-1304-53</t>
        </is>
      </c>
      <c r="C827" s="4" t="inlineStr">
        <is>
          <t>W00031886A</t>
        </is>
      </c>
      <c r="D827" s="6">
        <f>IF(F827&gt;=5, F827-5, IF(F827&lt;5, 0, F827))</f>
        <v/>
      </c>
      <c r="E827">
        <f>VLOOKUP(B827,[1]Namshi!$A:$B,2,0)</f>
        <v/>
      </c>
      <c r="F827" s="4">
        <f>SUMIFS('Dubai Stock'!I:I,'Dubai Stock'!H:H,Final_UAE!B:B)</f>
        <v/>
      </c>
      <c r="H827" s="8" t="e">
        <v>#N/A</v>
      </c>
    </row>
    <row r="828">
      <c r="A828" s="4" t="n">
        <v>33834</v>
      </c>
      <c r="B828" s="4" t="inlineStr">
        <is>
          <t>cost3mo-lay-lens-p02-golden-brown-sn0250</t>
        </is>
      </c>
      <c r="C828" s="4" t="inlineStr">
        <is>
          <t>W00031886A</t>
        </is>
      </c>
      <c r="D828" s="6">
        <f>IF(F828&gt;=5, F828-5, IF(F828&lt;5, 0, F828))</f>
        <v/>
      </c>
      <c r="E828">
        <f>VLOOKUP(B828,[1]Namshi!$A:$B,2,0)</f>
        <v/>
      </c>
      <c r="F828" s="4">
        <f>SUMIFS('Dubai Stock'!I:I,'Dubai Stock'!H:H,Final_UAE!B:B)</f>
        <v/>
      </c>
      <c r="H828" s="8" t="e">
        <v>#N/A</v>
      </c>
      <c r="I828" s="8" t="n"/>
    </row>
    <row r="829">
      <c r="A829" s="4" t="n">
        <v>33834</v>
      </c>
      <c r="B829" s="4" t="inlineStr">
        <is>
          <t>fu50118-spc-000751-0118-54</t>
        </is>
      </c>
      <c r="C829" s="4" t="inlineStr">
        <is>
          <t>W00031886A</t>
        </is>
      </c>
      <c r="D829" s="6">
        <f>IF(F829&gt;=5, F829-5, IF(F829&lt;5, 0, F829))</f>
        <v/>
      </c>
      <c r="E829">
        <f>VLOOKUP(B829,[1]Namshi!$A:$B,2,0)</f>
        <v/>
      </c>
      <c r="F829" s="4">
        <f>SUMIFS('Dubai Stock'!I:I,'Dubai Stock'!H:H,Final_UAE!B:B)</f>
        <v/>
      </c>
      <c r="H829" s="8" t="e">
        <v>#N/A</v>
      </c>
      <c r="I829" s="8" t="n"/>
    </row>
    <row r="830">
      <c r="A830" s="4" t="n">
        <v>33834</v>
      </c>
      <c r="B830" s="4" t="inlineStr">
        <is>
          <t>clstdai-acu-oasy-p30-sp0475</t>
        </is>
      </c>
      <c r="C830" s="4" t="inlineStr">
        <is>
          <t>W00031886A</t>
        </is>
      </c>
      <c r="D830" s="6">
        <f>IF(F830&gt;=5, F830-5, IF(F830&lt;5, 0, F830))</f>
        <v/>
      </c>
      <c r="E830">
        <f>VLOOKUP(B830,[1]Namshi!$A:$B,2,0)</f>
        <v/>
      </c>
      <c r="F830" s="4">
        <f>SUMIFS('Dubai Stock'!I:I,'Dubai Stock'!H:H,Final_UAE!B:B)</f>
        <v/>
      </c>
      <c r="H830" s="8" t="e">
        <v>#N/A</v>
      </c>
      <c r="I830" s="8" t="n"/>
    </row>
    <row r="831">
      <c r="A831" s="4" t="n">
        <v>33834</v>
      </c>
      <c r="B831" s="4" t="inlineStr">
        <is>
          <t>sw20404-bla-000224-0404-51</t>
        </is>
      </c>
      <c r="C831" s="4" t="inlineStr">
        <is>
          <t>W00031886A</t>
        </is>
      </c>
      <c r="D831" s="6">
        <f>IF(F831&gt;=5, F831-5, IF(F831&lt;5, 0, F831))</f>
        <v/>
      </c>
      <c r="E831">
        <f>VLOOKUP(B831,[1]Namshi!$A:$B,2,0)</f>
        <v/>
      </c>
      <c r="F831" s="4">
        <f>SUMIFS('Dubai Stock'!I:I,'Dubai Stock'!H:H,Final_UAE!B:B)</f>
        <v/>
      </c>
      <c r="H831" s="8" t="e">
        <v>#N/A</v>
      </c>
    </row>
    <row r="832">
      <c r="A832" s="4" t="n">
        <v>33834</v>
      </c>
      <c r="B832" s="4" t="inlineStr">
        <is>
          <t>clstdai-btr-oned-p90-sp0350</t>
        </is>
      </c>
      <c r="C832" s="4" t="inlineStr">
        <is>
          <t>W00031886A</t>
        </is>
      </c>
      <c r="D832" s="6">
        <f>IF(F832&gt;=5, F832-5, IF(F832&lt;5, 0, F832))</f>
        <v/>
      </c>
      <c r="E832">
        <f>VLOOKUP(B832,[1]Namshi!$A:$B,2,0)</f>
        <v/>
      </c>
      <c r="F832" s="4">
        <f>SUMIFS('Dubai Stock'!I:I,'Dubai Stock'!H:H,Final_UAE!B:B)</f>
        <v/>
      </c>
      <c r="H832" s="8" t="e">
        <v>#N/A</v>
      </c>
      <c r="I832" s="8" t="n"/>
    </row>
    <row r="833">
      <c r="A833" s="4" t="n">
        <v>33834</v>
      </c>
      <c r="B833" s="4" t="inlineStr">
        <is>
          <t>fc30818-bab-00558-0818d-45</t>
        </is>
      </c>
      <c r="C833" s="4" t="inlineStr">
        <is>
          <t>W00031886A</t>
        </is>
      </c>
      <c r="D833" s="6">
        <f>IF(F833&gt;=5, F833-5, IF(F833&lt;5, 0, F833))</f>
        <v/>
      </c>
      <c r="E833">
        <f>VLOOKUP(B833,[1]Namshi!$A:$B,2,0)</f>
        <v/>
      </c>
      <c r="F833" s="4">
        <f>SUMIFS('Dubai Stock'!I:I,'Dubai Stock'!H:H,Final_UAE!B:B)</f>
        <v/>
      </c>
      <c r="H833" s="8" t="e">
        <v>#N/A</v>
      </c>
      <c r="I833" s="8" t="n"/>
    </row>
    <row r="834">
      <c r="A834" s="4" t="n">
        <v>33834</v>
      </c>
      <c r="B834" s="4" t="inlineStr">
        <is>
          <t>cost3mo-lay-2021-p02-sunkiss-brown-sn0500</t>
        </is>
      </c>
      <c r="C834" s="4" t="inlineStr">
        <is>
          <t>W00031886A</t>
        </is>
      </c>
      <c r="D834" s="6">
        <f>IF(F834&gt;=5, F834-5, IF(F834&lt;5, 0, F834))</f>
        <v/>
      </c>
      <c r="E834">
        <f>VLOOKUP(B834,[1]Namshi!$A:$B,2,0)</f>
        <v/>
      </c>
      <c r="F834" s="4">
        <f>SUMIFS('Dubai Stock'!I:I,'Dubai Stock'!H:H,Final_UAE!B:B)</f>
        <v/>
      </c>
      <c r="H834" s="8" t="e">
        <v>#N/A</v>
      </c>
      <c r="I834" s="8" t="n"/>
    </row>
    <row r="835">
      <c r="A835" s="4" t="n">
        <v>33834</v>
      </c>
      <c r="B835" s="4" t="inlineStr">
        <is>
          <t>bc20218-bab-000502-2818-50</t>
        </is>
      </c>
      <c r="C835" s="4" t="inlineStr">
        <is>
          <t>W00031886A</t>
        </is>
      </c>
      <c r="D835" s="6">
        <f>IF(F835&gt;=5, F835-5, IF(F835&lt;5, 0, F835))</f>
        <v/>
      </c>
      <c r="E835">
        <f>VLOOKUP(B835,[1]Namshi!$A:$B,2,0)</f>
        <v/>
      </c>
      <c r="F835" s="4">
        <f>SUMIFS('Dubai Stock'!I:I,'Dubai Stock'!H:H,Final_UAE!B:B)</f>
        <v/>
      </c>
      <c r="H835" s="8" t="e">
        <v>#N/A</v>
      </c>
    </row>
    <row r="836">
      <c r="A836" s="4" t="n">
        <v>33834</v>
      </c>
      <c r="B836" s="4" t="inlineStr">
        <is>
          <t>clstdai-acu-dfrb-p30-sn0075</t>
        </is>
      </c>
      <c r="C836" s="4" t="inlineStr">
        <is>
          <t>W00031886A</t>
        </is>
      </c>
      <c r="D836" s="6">
        <f>IF(F836&gt;=5, F836-5, IF(F836&lt;5, 0, F836))</f>
        <v/>
      </c>
      <c r="E836">
        <f>VLOOKUP(B836,[1]Namshi!$A:$B,2,0)</f>
        <v/>
      </c>
      <c r="F836" s="4">
        <f>SUMIFS('Dubai Stock'!I:I,'Dubai Stock'!H:H,Final_UAE!B:B)</f>
        <v/>
      </c>
      <c r="H836" s="8" t="e">
        <v>#N/A</v>
      </c>
      <c r="I836" s="8" t="n"/>
    </row>
    <row r="837">
      <c r="A837" s="4" t="n">
        <v>33834</v>
      </c>
      <c r="B837" s="4" t="inlineStr">
        <is>
          <t>fw50218-mrw-mw69036543-49</t>
        </is>
      </c>
      <c r="C837" s="4" t="inlineStr">
        <is>
          <t>W00031886A</t>
        </is>
      </c>
      <c r="D837" s="6">
        <f>IF(F837&gt;=5, F837-5, IF(F837&lt;5, 0, F837))</f>
        <v/>
      </c>
      <c r="E837">
        <f>VLOOKUP(B837,[1]Namshi!$A:$B,2,0)</f>
        <v/>
      </c>
      <c r="F837" s="4">
        <f>SUMIFS('Dubai Stock'!I:I,'Dubai Stock'!H:H,Final_UAE!B:B)</f>
        <v/>
      </c>
      <c r="H837" s="8" t="e">
        <v>#N/A</v>
      </c>
      <c r="I837" s="8" t="n"/>
    </row>
    <row r="838">
      <c r="A838" s="4" t="n">
        <v>33834</v>
      </c>
      <c r="B838" s="4" t="inlineStr">
        <is>
          <t>cost3mo-lay-2025-p02-emerald-glow-sn0300</t>
        </is>
      </c>
      <c r="C838" s="4" t="inlineStr">
        <is>
          <t>W00031886A</t>
        </is>
      </c>
      <c r="D838" s="6">
        <f>IF(F838&gt;=5, F838-5, IF(F838&lt;5, 0, F838))</f>
        <v/>
      </c>
      <c r="E838">
        <f>VLOOKUP(B838,[1]Namshi!$A:$B,2,0)</f>
        <v/>
      </c>
      <c r="F838" s="4">
        <f>SUMIFS('Dubai Stock'!I:I,'Dubai Stock'!H:H,Final_UAE!B:B)</f>
        <v/>
      </c>
      <c r="H838" s="8" t="e">
        <v>#N/A</v>
      </c>
      <c r="I838" s="8" t="n"/>
    </row>
    <row r="839">
      <c r="A839" s="4" t="n">
        <v>33834</v>
      </c>
      <c r="B839" s="4" t="inlineStr">
        <is>
          <t>cost3mo-lay-2020-p02-ash-gray-sn0125</t>
        </is>
      </c>
      <c r="C839" s="4" t="inlineStr">
        <is>
          <t>W00031886A</t>
        </is>
      </c>
      <c r="D839" s="6">
        <f>IF(F839&gt;=5, F839-5, IF(F839&lt;5, 0, F839))</f>
        <v/>
      </c>
      <c r="E839">
        <f>VLOOKUP(B839,[1]Namshi!$A:$B,2,0)</f>
        <v/>
      </c>
      <c r="F839" s="4">
        <f>SUMIFS('Dubai Stock'!I:I,'Dubai Stock'!H:H,Final_UAE!B:B)</f>
        <v/>
      </c>
      <c r="H839" s="8" t="e">
        <v>#N/A</v>
      </c>
      <c r="I839" s="8" t="n"/>
    </row>
    <row r="840">
      <c r="A840" s="4" t="n">
        <v>33834</v>
      </c>
      <c r="B840" s="4" t="inlineStr">
        <is>
          <t>costdai-acu-dffr-p10-honey-sn0175</t>
        </is>
      </c>
      <c r="C840" s="4" t="inlineStr">
        <is>
          <t>W00031886A</t>
        </is>
      </c>
      <c r="D840" s="6">
        <f>IF(F840&gt;=5, F840-5, IF(F840&lt;5, 0, F840))</f>
        <v/>
      </c>
      <c r="E840">
        <f>VLOOKUP(B840,[1]Namshi!$A:$B,2,0)</f>
        <v/>
      </c>
      <c r="F840" s="4">
        <f>SUMIFS('Dubai Stock'!I:I,'Dubai Stock'!H:H,Final_UAE!B:B)</f>
        <v/>
      </c>
      <c r="H840" s="8" t="e">
        <v>#N/A</v>
      </c>
      <c r="I840" s="8" t="n"/>
    </row>
    <row r="841">
      <c r="A841" s="4" t="n">
        <v>33834</v>
      </c>
      <c r="B841" s="4" t="inlineStr">
        <is>
          <t>sm100707-30s-00439-0707p-50</t>
        </is>
      </c>
      <c r="C841" s="4" t="inlineStr">
        <is>
          <t>W00031886A</t>
        </is>
      </c>
      <c r="D841" s="6">
        <f>IF(F841&gt;=5, F841-5, IF(F841&lt;5, 0, F841))</f>
        <v/>
      </c>
      <c r="E841">
        <f>VLOOKUP(B841,[1]Namshi!$A:$B,2,0)</f>
        <v/>
      </c>
      <c r="F841" s="4">
        <f>SUMIFS('Dubai Stock'!I:I,'Dubai Stock'!H:H,Final_UAE!B:B)</f>
        <v/>
      </c>
      <c r="H841" s="8" t="e">
        <v>#N/A</v>
      </c>
    </row>
    <row r="842">
      <c r="A842" s="4" t="n">
        <v>33834</v>
      </c>
      <c r="B842" s="4" t="inlineStr">
        <is>
          <t>clstdai-lay-cont-p60-dazzle-brown-sn0650</t>
        </is>
      </c>
      <c r="C842" s="4" t="inlineStr">
        <is>
          <t>W00031886A</t>
        </is>
      </c>
      <c r="D842" s="6">
        <f>IF(F842&gt;=5, F842-5, IF(F842&lt;5, 0, F842))</f>
        <v/>
      </c>
      <c r="E842">
        <f>VLOOKUP(B842,[1]Namshi!$A:$B,2,0)</f>
        <v/>
      </c>
      <c r="F842" s="4">
        <f>SUMIFS('Dubai Stock'!I:I,'Dubai Stock'!H:H,Final_UAE!B:B)</f>
        <v/>
      </c>
      <c r="H842" s="8" t="e">
        <v>#N/A</v>
      </c>
      <c r="I842" s="8" t="n"/>
    </row>
    <row r="843">
      <c r="A843" s="4" t="n">
        <v>33834</v>
      </c>
      <c r="B843" s="4" t="inlineStr">
        <is>
          <t>cost3mo-cel-natu-p01-forest-green-sp0350</t>
        </is>
      </c>
      <c r="C843" s="4" t="inlineStr">
        <is>
          <t>W00031886A</t>
        </is>
      </c>
      <c r="D843" s="6">
        <f>IF(F843&gt;=5, F843-5, IF(F843&lt;5, 0, F843))</f>
        <v/>
      </c>
      <c r="E843">
        <f>VLOOKUP(B843,[1]Namshi!$A:$B,2,0)</f>
        <v/>
      </c>
      <c r="F843" s="4">
        <f>SUMIFS('Dubai Stock'!I:I,'Dubai Stock'!H:H,Final_UAE!B:B)</f>
        <v/>
      </c>
      <c r="H843" s="8" t="e">
        <v>#N/A</v>
      </c>
      <c r="I843" s="8" t="n"/>
    </row>
    <row r="844">
      <c r="A844" s="4" t="n">
        <v>33834</v>
      </c>
      <c r="B844" s="4" t="inlineStr">
        <is>
          <t>cost3mo-lay-2021-p02-sunkiss-brown-sn0525</t>
        </is>
      </c>
      <c r="C844" s="4" t="inlineStr">
        <is>
          <t>W00031886A</t>
        </is>
      </c>
      <c r="D844" s="6">
        <f>IF(F844&gt;=5, F844-5, IF(F844&lt;5, 0, F844))</f>
        <v/>
      </c>
      <c r="E844">
        <f>VLOOKUP(B844,[1]Namshi!$A:$B,2,0)</f>
        <v/>
      </c>
      <c r="F844" s="4">
        <f>SUMIFS('Dubai Stock'!I:I,'Dubai Stock'!H:H,Final_UAE!B:B)</f>
        <v/>
      </c>
      <c r="H844" s="8" t="e">
        <v>#N/A</v>
      </c>
      <c r="I844" s="8" t="n"/>
    </row>
    <row r="845">
      <c r="A845" s="4" t="n">
        <v>33834</v>
      </c>
      <c r="B845" s="4" t="inlineStr">
        <is>
          <t>clstbiw-acu-oasy-p06-sn0425</t>
        </is>
      </c>
      <c r="C845" s="4" t="inlineStr">
        <is>
          <t>W00031886A</t>
        </is>
      </c>
      <c r="D845" s="6">
        <f>IF(F845&gt;=5, F845-5, IF(F845&lt;5, 0, F845))</f>
        <v/>
      </c>
      <c r="E845">
        <f>VLOOKUP(B845,[1]Namshi!$A:$B,2,0)</f>
        <v/>
      </c>
      <c r="F845" s="4">
        <f>SUMIFS('Dubai Stock'!I:I,'Dubai Stock'!H:H,Final_UAE!B:B)</f>
        <v/>
      </c>
      <c r="H845" s="8" t="e">
        <v>#N/A</v>
      </c>
      <c r="I845" s="8" t="n"/>
    </row>
    <row r="846">
      <c r="A846" s="4" t="n">
        <v>33834</v>
      </c>
      <c r="B846" s="4" t="inlineStr">
        <is>
          <t>cost3mo-lay-lens-p02-cloudy-gray-sn0450</t>
        </is>
      </c>
      <c r="C846" s="4" t="inlineStr">
        <is>
          <t>W00031886A</t>
        </is>
      </c>
      <c r="D846" s="6">
        <f>IF(F846&gt;=5, F846-5, IF(F846&lt;5, 0, F846))</f>
        <v/>
      </c>
      <c r="E846">
        <f>VLOOKUP(B846,[1]Namshi!$A:$B,2,0)</f>
        <v/>
      </c>
      <c r="F846" s="4">
        <f>SUMIFS('Dubai Stock'!I:I,'Dubai Stock'!H:H,Final_UAE!B:B)</f>
        <v/>
      </c>
      <c r="H846" s="8" t="e">
        <v>#N/A</v>
      </c>
      <c r="I846" s="8" t="n"/>
    </row>
    <row r="847">
      <c r="A847" s="4" t="n">
        <v>33834</v>
      </c>
      <c r="B847" s="4" t="inlineStr">
        <is>
          <t>clstdai-acu-oasy-p30-sp0525</t>
        </is>
      </c>
      <c r="C847" s="4" t="inlineStr">
        <is>
          <t>W00031886A</t>
        </is>
      </c>
      <c r="D847" s="6">
        <f>IF(F847&gt;=5, F847-5, IF(F847&lt;5, 0, F847))</f>
        <v/>
      </c>
      <c r="E847">
        <f>VLOOKUP(B847,[1]Namshi!$A:$B,2,0)</f>
        <v/>
      </c>
      <c r="F847" s="4">
        <f>SUMIFS('Dubai Stock'!I:I,'Dubai Stock'!H:H,Final_UAE!B:B)</f>
        <v/>
      </c>
      <c r="H847" s="8" t="e">
        <v>#N/A</v>
      </c>
      <c r="I847" s="8" t="n"/>
    </row>
    <row r="848">
      <c r="A848" s="4" t="n">
        <v>33834</v>
      </c>
      <c r="B848" s="4" t="inlineStr">
        <is>
          <t>su100107-bla-000313-0107-56</t>
        </is>
      </c>
      <c r="C848" s="4" t="inlineStr">
        <is>
          <t>W00031886A</t>
        </is>
      </c>
      <c r="D848" s="6">
        <f>IF(F848&gt;=5, F848-5, IF(F848&lt;5, 0, F848))</f>
        <v/>
      </c>
      <c r="E848">
        <f>VLOOKUP(B848,[1]Namshi!$A:$B,2,0)</f>
        <v/>
      </c>
      <c r="F848" s="4">
        <f>SUMIFS('Dubai Stock'!I:I,'Dubai Stock'!H:H,Final_UAE!B:B)</f>
        <v/>
      </c>
      <c r="H848" s="8" t="e">
        <v>#N/A</v>
      </c>
    </row>
    <row r="849">
      <c r="A849" s="4" t="n">
        <v>33834</v>
      </c>
      <c r="B849" s="4" t="inlineStr">
        <is>
          <t>costdai-acu-dffr-p10-green-sn0550</t>
        </is>
      </c>
      <c r="C849" s="4" t="inlineStr">
        <is>
          <t>W00031886A</t>
        </is>
      </c>
      <c r="D849" s="6">
        <f>IF(F849&gt;=5, F849-5, IF(F849&lt;5, 0, F849))</f>
        <v/>
      </c>
      <c r="E849">
        <f>VLOOKUP(B849,[1]Namshi!$A:$B,2,0)</f>
        <v/>
      </c>
      <c r="F849" s="4">
        <f>SUMIFS('Dubai Stock'!I:I,'Dubai Stock'!H:H,Final_UAE!B:B)</f>
        <v/>
      </c>
      <c r="H849" s="8" t="e">
        <v>#N/A</v>
      </c>
      <c r="I849" s="8" t="n"/>
    </row>
    <row r="850">
      <c r="A850" s="4" t="n">
        <v>33834</v>
      </c>
      <c r="B850" s="4" t="inlineStr">
        <is>
          <t>costmon-ama-lens-p02-dark-sepia-sn0075</t>
        </is>
      </c>
      <c r="C850" s="4" t="inlineStr">
        <is>
          <t>W00031886A</t>
        </is>
      </c>
      <c r="D850" s="6">
        <f>IF(F850&gt;=5, F850-5, IF(F850&lt;5, 0, F850))</f>
        <v/>
      </c>
      <c r="E850">
        <f>VLOOKUP(B850,[1]Namshi!$A:$B,2,0)</f>
        <v/>
      </c>
      <c r="F850" s="4">
        <f>SUMIFS('Dubai Stock'!I:I,'Dubai Stock'!H:H,Final_UAE!B:B)</f>
        <v/>
      </c>
      <c r="H850" s="8" t="e">
        <v>#N/A</v>
      </c>
      <c r="I850" s="8" t="n"/>
    </row>
    <row r="851">
      <c r="A851" s="4" t="n">
        <v>33834</v>
      </c>
      <c r="B851" s="4" t="inlineStr">
        <is>
          <t>cost3mo-lay-lens-p02-platinum-gray-sn0550</t>
        </is>
      </c>
      <c r="C851" s="4" t="inlineStr">
        <is>
          <t>W00031886A</t>
        </is>
      </c>
      <c r="D851" s="6">
        <f>IF(F851&gt;=5, F851-5, IF(F851&lt;5, 0, F851))</f>
        <v/>
      </c>
      <c r="E851">
        <f>VLOOKUP(B851,[1]Namshi!$A:$B,2,0)</f>
        <v/>
      </c>
      <c r="F851" s="4">
        <f>SUMIFS('Dubai Stock'!I:I,'Dubai Stock'!H:H,Final_UAE!B:B)</f>
        <v/>
      </c>
      <c r="H851" s="8" t="e">
        <v>#N/A</v>
      </c>
      <c r="I851" s="8" t="n"/>
    </row>
    <row r="852">
      <c r="A852" s="4" t="n">
        <v>33834</v>
      </c>
      <c r="B852" s="4" t="inlineStr">
        <is>
          <t>costmon-ama-2020-p02-charcoal-gray-sn0800</t>
        </is>
      </c>
      <c r="C852" s="4" t="inlineStr">
        <is>
          <t>W00031886A</t>
        </is>
      </c>
      <c r="D852" s="6">
        <f>IF(F852&gt;=5, F852-5, IF(F852&lt;5, 0, F852))</f>
        <v/>
      </c>
      <c r="E852">
        <f>VLOOKUP(B852,[1]Namshi!$A:$B,2,0)</f>
        <v/>
      </c>
      <c r="F852" s="4">
        <f>SUMIFS('Dubai Stock'!I:I,'Dubai Stock'!H:H,Final_UAE!B:B)</f>
        <v/>
      </c>
      <c r="H852" s="8" t="e">
        <v>#N/A</v>
      </c>
      <c r="I852" s="8" t="n"/>
    </row>
    <row r="853">
      <c r="A853" s="4" t="n">
        <v>33834</v>
      </c>
      <c r="B853" s="4" t="inlineStr">
        <is>
          <t>clstdai-lay-cont-p60-dazzle-black-sn0550</t>
        </is>
      </c>
      <c r="C853" s="4" t="inlineStr">
        <is>
          <t>W00031886A</t>
        </is>
      </c>
      <c r="D853" s="6">
        <f>IF(F853&gt;=5, F853-5, IF(F853&lt;5, 0, F853))</f>
        <v/>
      </c>
      <c r="E853">
        <f>VLOOKUP(B853,[1]Namshi!$A:$B,2,0)</f>
        <v/>
      </c>
      <c r="F853" s="4">
        <f>SUMIFS('Dubai Stock'!I:I,'Dubai Stock'!H:H,Final_UAE!B:B)</f>
        <v/>
      </c>
      <c r="H853" s="8" t="e">
        <v>#N/A</v>
      </c>
      <c r="I853" s="8" t="n"/>
    </row>
    <row r="854">
      <c r="A854" s="4" t="n">
        <v>33834</v>
      </c>
      <c r="B854" s="4" t="inlineStr">
        <is>
          <t>clstbiw-acu-oasy-p06-sp0250</t>
        </is>
      </c>
      <c r="C854" s="4" t="inlineStr">
        <is>
          <t>W00031886A</t>
        </is>
      </c>
      <c r="D854" s="6">
        <f>IF(F854&gt;=5, F854-5, IF(F854&lt;5, 0, F854))</f>
        <v/>
      </c>
      <c r="E854">
        <f>VLOOKUP(B854,[1]Namshi!$A:$B,2,0)</f>
        <v/>
      </c>
      <c r="F854" s="4">
        <f>SUMIFS('Dubai Stock'!I:I,'Dubai Stock'!H:H,Final_UAE!B:B)</f>
        <v/>
      </c>
      <c r="H854" s="8" t="e">
        <v>#N/A</v>
      </c>
      <c r="I854" s="8" t="n"/>
    </row>
    <row r="855">
      <c r="A855" s="4" t="n">
        <v>33834</v>
      </c>
      <c r="B855" s="4" t="inlineStr">
        <is>
          <t>clstdai-lay-cont-p90-dazzle-brown-sn0200</t>
        </is>
      </c>
      <c r="C855" s="4" t="inlineStr">
        <is>
          <t>W00031886A</t>
        </is>
      </c>
      <c r="D855" s="6">
        <f>IF(F855&gt;=5, F855-5, IF(F855&lt;5, 0, F855))</f>
        <v/>
      </c>
      <c r="E855">
        <f>VLOOKUP(B855,[1]Namshi!$A:$B,2,0)</f>
        <v/>
      </c>
      <c r="F855" s="4">
        <f>SUMIFS('Dubai Stock'!I:I,'Dubai Stock'!H:H,Final_UAE!B:B)</f>
        <v/>
      </c>
      <c r="H855" s="8" t="e">
        <v>#N/A</v>
      </c>
      <c r="I855" s="8" t="n"/>
    </row>
    <row r="856">
      <c r="A856" s="4" t="n">
        <v>33834</v>
      </c>
      <c r="B856" s="4" t="inlineStr">
        <is>
          <t>cost3mo-lay-2021-p02-stardust-gray-sn0175</t>
        </is>
      </c>
      <c r="C856" s="4" t="inlineStr">
        <is>
          <t>W00031886A</t>
        </is>
      </c>
      <c r="D856" s="6">
        <f>IF(F856&gt;=5, F856-5, IF(F856&lt;5, 0, F856))</f>
        <v/>
      </c>
      <c r="E856">
        <f>VLOOKUP(B856,[1]Namshi!$A:$B,2,0)</f>
        <v/>
      </c>
      <c r="F856" s="4">
        <f>SUMIFS('Dubai Stock'!I:I,'Dubai Stock'!H:H,Final_UAE!B:B)</f>
        <v/>
      </c>
      <c r="H856" s="8" t="e">
        <v>#N/A</v>
      </c>
      <c r="I856" s="8" t="n"/>
    </row>
    <row r="857">
      <c r="A857" s="4" t="n">
        <v>33834</v>
      </c>
      <c r="B857" s="4" t="inlineStr">
        <is>
          <t>sw31207-bla-000204-1207-66</t>
        </is>
      </c>
      <c r="C857" s="4" t="inlineStr">
        <is>
          <t>W00031886A</t>
        </is>
      </c>
      <c r="D857" s="6">
        <f>IF(F857&gt;=5, F857-5, IF(F857&lt;5, 0, F857))</f>
        <v/>
      </c>
      <c r="E857">
        <f>VLOOKUP(B857,[1]Namshi!$A:$B,2,0)</f>
        <v/>
      </c>
      <c r="F857" s="4">
        <f>SUMIFS('Dubai Stock'!I:I,'Dubai Stock'!H:H,Final_UAE!B:B)</f>
        <v/>
      </c>
      <c r="H857" s="8" t="e">
        <v>#N/A</v>
      </c>
    </row>
    <row r="858">
      <c r="A858" s="4" t="n">
        <v>33834</v>
      </c>
      <c r="B858" s="4" t="inlineStr">
        <is>
          <t>clstdai-acu-dfna-p30-sn0425</t>
        </is>
      </c>
      <c r="C858" s="4" t="inlineStr">
        <is>
          <t>W00031886A</t>
        </is>
      </c>
      <c r="D858" s="6">
        <f>IF(F858&gt;=5, F858-5, IF(F858&lt;5, 0, F858))</f>
        <v/>
      </c>
      <c r="E858">
        <f>VLOOKUP(B858,[1]Namshi!$A:$B,2,0)</f>
        <v/>
      </c>
      <c r="F858" s="4">
        <f>SUMIFS('Dubai Stock'!I:I,'Dubai Stock'!H:H,Final_UAE!B:B)</f>
        <v/>
      </c>
      <c r="H858" s="8" t="e">
        <v>#N/A</v>
      </c>
      <c r="I858" s="8" t="n"/>
    </row>
    <row r="859">
      <c r="A859" s="4" t="n">
        <v>33834</v>
      </c>
      <c r="B859" s="4" t="inlineStr">
        <is>
          <t>clstdai-dai-tot1-p90-sn0525</t>
        </is>
      </c>
      <c r="C859" s="4" t="inlineStr">
        <is>
          <t>W00031886A</t>
        </is>
      </c>
      <c r="D859" s="6">
        <f>IF(F859&gt;=5, F859-5, IF(F859&lt;5, 0, F859))</f>
        <v/>
      </c>
      <c r="E859">
        <f>VLOOKUP(B859,[1]Namshi!$A:$B,2,0)</f>
        <v/>
      </c>
      <c r="F859" s="4">
        <f>SUMIFS('Dubai Stock'!I:I,'Dubai Stock'!H:H,Final_UAE!B:B)</f>
        <v/>
      </c>
      <c r="H859" s="8" t="e">
        <v>#N/A</v>
      </c>
      <c r="I859" s="8" t="n"/>
    </row>
    <row r="860">
      <c r="A860" s="4" t="n">
        <v>33834</v>
      </c>
      <c r="B860" s="4" t="inlineStr">
        <is>
          <t>sc20907-bab-000501-0907-46</t>
        </is>
      </c>
      <c r="C860" s="4" t="inlineStr">
        <is>
          <t>W00031886A</t>
        </is>
      </c>
      <c r="D860" s="6">
        <f>IF(F860&gt;=5, F860-5, IF(F860&lt;5, 0, F860))</f>
        <v/>
      </c>
      <c r="E860">
        <f>VLOOKUP(B860,[1]Namshi!$A:$B,2,0)</f>
        <v/>
      </c>
      <c r="F860" s="4">
        <f>SUMIFS('Dubai Stock'!I:I,'Dubai Stock'!H:H,Final_UAE!B:B)</f>
        <v/>
      </c>
      <c r="H860" s="8" t="e">
        <v>#N/A</v>
      </c>
    </row>
    <row r="861">
      <c r="A861" s="4" t="n">
        <v>33834</v>
      </c>
      <c r="B861" s="4" t="inlineStr">
        <is>
          <t>costdai-acu-dffr-p10-grayzel-sn0100</t>
        </is>
      </c>
      <c r="C861" s="4" t="inlineStr">
        <is>
          <t>W00031886A</t>
        </is>
      </c>
      <c r="D861" s="6">
        <f>IF(F861&gt;=5, F861-5, IF(F861&lt;5, 0, F861))</f>
        <v/>
      </c>
      <c r="E861">
        <f>VLOOKUP(B861,[1]Namshi!$A:$B,2,0)</f>
        <v/>
      </c>
      <c r="F861" s="4">
        <f>SUMIFS('Dubai Stock'!I:I,'Dubai Stock'!H:H,Final_UAE!B:B)</f>
        <v/>
      </c>
      <c r="H861" s="8" t="e">
        <v>#N/A</v>
      </c>
      <c r="I861" s="8" t="n"/>
    </row>
    <row r="862">
      <c r="A862" s="4" t="n">
        <v>33834</v>
      </c>
      <c r="B862" s="4" t="inlineStr">
        <is>
          <t>clstdai-sof-sdai-p90-sp0650</t>
        </is>
      </c>
      <c r="C862" s="4" t="inlineStr">
        <is>
          <t>W00031886A</t>
        </is>
      </c>
      <c r="D862" s="6">
        <f>IF(F862&gt;=5, F862-5, IF(F862&lt;5, 0, F862))</f>
        <v/>
      </c>
      <c r="E862">
        <f>VLOOKUP(B862,[1]Namshi!$A:$B,2,0)</f>
        <v/>
      </c>
      <c r="F862" s="4">
        <f>SUMIFS('Dubai Stock'!I:I,'Dubai Stock'!H:H,Final_UAE!B:B)</f>
        <v/>
      </c>
      <c r="H862" s="8" t="e">
        <v>#N/A</v>
      </c>
      <c r="I862" s="8" t="n"/>
    </row>
    <row r="863">
      <c r="A863" s="4" t="n">
        <v>33834</v>
      </c>
      <c r="B863" s="4" t="inlineStr">
        <is>
          <t>sw60506-bla-000377-0506-52</t>
        </is>
      </c>
      <c r="C863" s="4" t="inlineStr">
        <is>
          <t>W00031886A</t>
        </is>
      </c>
      <c r="D863" s="6">
        <f>IF(F863&gt;=5, F863-5, IF(F863&lt;5, 0, F863))</f>
        <v/>
      </c>
      <c r="E863">
        <f>VLOOKUP(B863,[1]Namshi!$A:$B,2,0)</f>
        <v/>
      </c>
      <c r="F863" s="4">
        <f>SUMIFS('Dubai Stock'!I:I,'Dubai Stock'!H:H,Final_UAE!B:B)</f>
        <v/>
      </c>
      <c r="H863" s="8" t="e">
        <v>#N/A</v>
      </c>
    </row>
    <row r="864">
      <c r="A864" s="4" t="n">
        <v>33834</v>
      </c>
      <c r="B864" s="4" t="inlineStr">
        <is>
          <t>cost3mo-lay-2021-p02-skye-blue-sn0375</t>
        </is>
      </c>
      <c r="C864" s="4" t="inlineStr">
        <is>
          <t>W00031886A</t>
        </is>
      </c>
      <c r="D864" s="6">
        <f>IF(F864&gt;=5, F864-5, IF(F864&lt;5, 0, F864))</f>
        <v/>
      </c>
      <c r="E864">
        <f>VLOOKUP(B864,[1]Namshi!$A:$B,2,0)</f>
        <v/>
      </c>
      <c r="F864" s="4">
        <f>SUMIFS('Dubai Stock'!I:I,'Dubai Stock'!H:H,Final_UAE!B:B)</f>
        <v/>
      </c>
      <c r="H864" s="8" t="e">
        <v>#N/A</v>
      </c>
      <c r="I864" s="8" t="n"/>
    </row>
    <row r="865">
      <c r="A865" s="4" t="n">
        <v>33834</v>
      </c>
      <c r="B865" s="4" t="inlineStr">
        <is>
          <t>costmon-ama-2020-p02-pure-hazel-sn0325</t>
        </is>
      </c>
      <c r="C865" s="4" t="inlineStr">
        <is>
          <t>W00031886A</t>
        </is>
      </c>
      <c r="D865" s="6">
        <f>IF(F865&gt;=5, F865-5, IF(F865&lt;5, 0, F865))</f>
        <v/>
      </c>
      <c r="E865">
        <f>VLOOKUP(B865,[1]Namshi!$A:$B,2,0)</f>
        <v/>
      </c>
      <c r="F865" s="4">
        <f>SUMIFS('Dubai Stock'!I:I,'Dubai Stock'!H:H,Final_UAE!B:B)</f>
        <v/>
      </c>
      <c r="H865" s="8" t="e">
        <v>#N/A</v>
      </c>
      <c r="I865" s="8" t="n"/>
    </row>
    <row r="866">
      <c r="A866" s="4" t="n">
        <v>33834</v>
      </c>
      <c r="B866" s="4" t="inlineStr">
        <is>
          <t>clstmon-eve-prom-p06-sn0700</t>
        </is>
      </c>
      <c r="C866" s="4" t="inlineStr">
        <is>
          <t>W00031886A</t>
        </is>
      </c>
      <c r="D866" s="6">
        <f>IF(F866&gt;=5, F866-5, IF(F866&lt;5, 0, F866))</f>
        <v/>
      </c>
      <c r="E866">
        <f>VLOOKUP(B866,[1]Namshi!$A:$B,2,0)</f>
        <v/>
      </c>
      <c r="F866" s="4">
        <f>SUMIFS('Dubai Stock'!I:I,'Dubai Stock'!H:H,Final_UAE!B:B)</f>
        <v/>
      </c>
      <c r="H866" s="8" t="n">
        <v>212</v>
      </c>
      <c r="I866" s="8" t="n">
        <v>111.3</v>
      </c>
    </row>
    <row r="867">
      <c r="A867" s="4" t="n">
        <v>33834</v>
      </c>
      <c r="B867" s="4" t="inlineStr">
        <is>
          <t>sw30404-30s-000233-0404-53</t>
        </is>
      </c>
      <c r="C867" s="4" t="inlineStr">
        <is>
          <t>W00031886A</t>
        </is>
      </c>
      <c r="D867" s="6">
        <f>IF(F867&gt;=5, F867-5, IF(F867&lt;5, 0, F867))</f>
        <v/>
      </c>
      <c r="E867">
        <f>VLOOKUP(B867,[1]Namshi!$A:$B,2,0)</f>
        <v/>
      </c>
      <c r="F867" s="4">
        <f>SUMIFS('Dubai Stock'!I:I,'Dubai Stock'!H:H,Final_UAE!B:B)</f>
        <v/>
      </c>
      <c r="H867" s="8" t="e">
        <v>#N/A</v>
      </c>
    </row>
    <row r="868">
      <c r="A868" s="4" t="n">
        <v>33834</v>
      </c>
      <c r="B868" s="4" t="inlineStr">
        <is>
          <t>clstmon-eve-prom-p06-sp0300</t>
        </is>
      </c>
      <c r="C868" s="4" t="inlineStr">
        <is>
          <t>W00031886A</t>
        </is>
      </c>
      <c r="D868" s="6">
        <f>IF(F868&gt;=5, F868-5, IF(F868&lt;5, 0, F868))</f>
        <v/>
      </c>
      <c r="E868">
        <f>VLOOKUP(B868,[1]Namshi!$A:$B,2,0)</f>
        <v/>
      </c>
      <c r="F868" s="4">
        <f>SUMIFS('Dubai Stock'!I:I,'Dubai Stock'!H:H,Final_UAE!B:B)</f>
        <v/>
      </c>
      <c r="H868" s="8" t="n">
        <v>212</v>
      </c>
      <c r="I868" s="8" t="n">
        <v>111.3</v>
      </c>
    </row>
    <row r="869">
      <c r="A869" s="4" t="n">
        <v>33834</v>
      </c>
      <c r="B869" s="4" t="inlineStr">
        <is>
          <t>clstdai-lay-cont-p10-dazzle-brown-sn0450</t>
        </is>
      </c>
      <c r="C869" s="4" t="inlineStr">
        <is>
          <t>W00031886A</t>
        </is>
      </c>
      <c r="D869" s="6">
        <f>IF(F869&gt;=5, F869-5, IF(F869&lt;5, 0, F869))</f>
        <v/>
      </c>
      <c r="E869">
        <f>VLOOKUP(B869,[1]Namshi!$A:$B,2,0)</f>
        <v/>
      </c>
      <c r="F869" s="4">
        <f>SUMIFS('Dubai Stock'!I:I,'Dubai Stock'!H:H,Final_UAE!B:B)</f>
        <v/>
      </c>
      <c r="H869" s="8" t="e">
        <v>#N/A</v>
      </c>
      <c r="I869" s="8" t="n"/>
    </row>
    <row r="870">
      <c r="A870" s="4" t="n">
        <v>33834</v>
      </c>
      <c r="B870" s="4" t="inlineStr">
        <is>
          <t>costmon-ama-lens-p02-mocca-sn0800</t>
        </is>
      </c>
      <c r="C870" s="4" t="inlineStr">
        <is>
          <t>W00031886A</t>
        </is>
      </c>
      <c r="D870" s="6">
        <f>IF(F870&gt;=5, F870-5, IF(F870&lt;5, 0, F870))</f>
        <v/>
      </c>
      <c r="E870">
        <f>VLOOKUP(B870,[1]Namshi!$A:$B,2,0)</f>
        <v/>
      </c>
      <c r="F870" s="4">
        <f>SUMIFS('Dubai Stock'!I:I,'Dubai Stock'!H:H,Final_UAE!B:B)</f>
        <v/>
      </c>
      <c r="H870" s="8" t="e">
        <v>#N/A</v>
      </c>
      <c r="I870" s="8" t="n"/>
    </row>
    <row r="871">
      <c r="A871" s="4" t="n">
        <v>33834</v>
      </c>
      <c r="B871" s="4" t="inlineStr">
        <is>
          <t>clstdai-dai-aqua-p30-sn0175</t>
        </is>
      </c>
      <c r="C871" s="4" t="inlineStr">
        <is>
          <t>W00031886A</t>
        </is>
      </c>
      <c r="D871" s="6">
        <f>IF(F871&gt;=5, F871-5, IF(F871&lt;5, 0, F871))</f>
        <v/>
      </c>
      <c r="E871">
        <f>VLOOKUP(B871,[1]Namshi!$A:$B,2,0)</f>
        <v/>
      </c>
      <c r="F871" s="4">
        <f>SUMIFS('Dubai Stock'!I:I,'Dubai Stock'!H:H,Final_UAE!B:B)</f>
        <v/>
      </c>
      <c r="H871" s="8" t="e">
        <v>#N/A</v>
      </c>
      <c r="I871" s="8" t="n"/>
    </row>
    <row r="872">
      <c r="A872" s="4" t="n">
        <v>33834</v>
      </c>
      <c r="B872" s="4" t="inlineStr">
        <is>
          <t>sw52904-30s-000120-2904-59</t>
        </is>
      </c>
      <c r="C872" s="4" t="inlineStr">
        <is>
          <t>W00031886A</t>
        </is>
      </c>
      <c r="D872" s="6">
        <f>IF(F872&gt;=5, F872-5, IF(F872&lt;5, 0, F872))</f>
        <v/>
      </c>
      <c r="E872">
        <f>VLOOKUP(B872,[1]Namshi!$A:$B,2,0)</f>
        <v/>
      </c>
      <c r="F872" s="4">
        <f>SUMIFS('Dubai Stock'!I:I,'Dubai Stock'!H:H,Final_UAE!B:B)</f>
        <v/>
      </c>
      <c r="H872" s="8" t="e">
        <v>#N/A</v>
      </c>
    </row>
    <row r="873">
      <c r="A873" s="4" t="n">
        <v>33834</v>
      </c>
      <c r="B873" s="4" t="inlineStr">
        <is>
          <t>sw32104-30s-000262-2104-50</t>
        </is>
      </c>
      <c r="C873" s="4" t="inlineStr">
        <is>
          <t>W00031886A</t>
        </is>
      </c>
      <c r="D873" s="6">
        <f>IF(F873&gt;=5, F873-5, IF(F873&lt;5, 0, F873))</f>
        <v/>
      </c>
      <c r="E873">
        <f>VLOOKUP(B873,[1]Namshi!$A:$B,2,0)</f>
        <v/>
      </c>
      <c r="F873" s="4">
        <f>SUMIFS('Dubai Stock'!I:I,'Dubai Stock'!H:H,Final_UAE!B:B)</f>
        <v/>
      </c>
      <c r="H873" s="8" t="e">
        <v>#N/A</v>
      </c>
    </row>
    <row r="874">
      <c r="A874" s="4" t="n">
        <v>33834</v>
      </c>
      <c r="B874" s="4" t="inlineStr">
        <is>
          <t>cost3mo-lay-lens-p02-chestnut-brown-sn0100</t>
        </is>
      </c>
      <c r="C874" s="4" t="inlineStr">
        <is>
          <t>W00031886A</t>
        </is>
      </c>
      <c r="D874" s="6">
        <f>IF(F874&gt;=5, F874-5, IF(F874&lt;5, 0, F874))</f>
        <v/>
      </c>
      <c r="E874">
        <f>VLOOKUP(B874,[1]Namshi!$A:$B,2,0)</f>
        <v/>
      </c>
      <c r="F874" s="4">
        <f>SUMIFS('Dubai Stock'!I:I,'Dubai Stock'!H:H,Final_UAE!B:B)</f>
        <v/>
      </c>
      <c r="H874" s="8" t="e">
        <v>#N/A</v>
      </c>
      <c r="I874" s="8" t="n"/>
    </row>
    <row r="875">
      <c r="A875" s="4" t="n">
        <v>33834</v>
      </c>
      <c r="B875" s="4" t="inlineStr">
        <is>
          <t>bc20218-bab-000527-0218-48</t>
        </is>
      </c>
      <c r="C875" s="4" t="inlineStr">
        <is>
          <t>W00031886A</t>
        </is>
      </c>
      <c r="D875" s="6">
        <f>IF(F875&gt;=5, F875-5, IF(F875&lt;5, 0, F875))</f>
        <v/>
      </c>
      <c r="E875">
        <f>VLOOKUP(B875,[1]Namshi!$A:$B,2,0)</f>
        <v/>
      </c>
      <c r="F875" s="4">
        <f>SUMIFS('Dubai Stock'!I:I,'Dubai Stock'!H:H,Final_UAE!B:B)</f>
        <v/>
      </c>
      <c r="H875" s="8" t="e">
        <v>#N/A</v>
      </c>
    </row>
    <row r="876">
      <c r="A876" s="4" t="n">
        <v>33834</v>
      </c>
      <c r="B876" s="4" t="inlineStr">
        <is>
          <t>fw30118-spc-000502-0100-54</t>
        </is>
      </c>
      <c r="C876" s="4" t="inlineStr">
        <is>
          <t>W00031886A</t>
        </is>
      </c>
      <c r="D876" s="6">
        <f>IF(F876&gt;=5, F876-5, IF(F876&lt;5, 0, F876))</f>
        <v/>
      </c>
      <c r="E876">
        <f>VLOOKUP(B876,[1]Namshi!$A:$B,2,0)</f>
        <v/>
      </c>
      <c r="F876" s="4">
        <f>SUMIFS('Dubai Stock'!I:I,'Dubai Stock'!H:H,Final_UAE!B:B)</f>
        <v/>
      </c>
      <c r="H876" s="8" t="e">
        <v>#N/A</v>
      </c>
      <c r="I876" s="8" t="n"/>
    </row>
    <row r="877">
      <c r="A877" s="4" t="n">
        <v>33834</v>
      </c>
      <c r="B877" s="4" t="inlineStr">
        <is>
          <t>cost3mo-lay-2022-p02-crescent-gray-sn0175</t>
        </is>
      </c>
      <c r="C877" s="4" t="inlineStr">
        <is>
          <t>W00031886A</t>
        </is>
      </c>
      <c r="D877" s="6">
        <f>IF(F877&gt;=5, F877-5, IF(F877&lt;5, 0, F877))</f>
        <v/>
      </c>
      <c r="E877">
        <f>VLOOKUP(B877,[1]Namshi!$A:$B,2,0)</f>
        <v/>
      </c>
      <c r="F877" s="4">
        <f>SUMIFS('Dubai Stock'!I:I,'Dubai Stock'!H:H,Final_UAE!B:B)</f>
        <v/>
      </c>
      <c r="H877" s="8" t="e">
        <v>#N/A</v>
      </c>
      <c r="I877" s="8" t="n"/>
    </row>
    <row r="878">
      <c r="A878" s="4" t="n">
        <v>33834</v>
      </c>
      <c r="B878" s="4" t="inlineStr">
        <is>
          <t>su100107-bla-000381-0107-54</t>
        </is>
      </c>
      <c r="C878" s="4" t="inlineStr">
        <is>
          <t>W00031886A</t>
        </is>
      </c>
      <c r="D878" s="6">
        <f>IF(F878&gt;=5, F878-5, IF(F878&lt;5, 0, F878))</f>
        <v/>
      </c>
      <c r="E878">
        <f>VLOOKUP(B878,[1]Namshi!$A:$B,2,0)</f>
        <v/>
      </c>
      <c r="F878" s="4">
        <f>SUMIFS('Dubai Stock'!I:I,'Dubai Stock'!H:H,Final_UAE!B:B)</f>
        <v/>
      </c>
      <c r="H878" s="8" t="e">
        <v>#N/A</v>
      </c>
    </row>
    <row r="879">
      <c r="A879" s="4" t="n">
        <v>33834</v>
      </c>
      <c r="B879" s="4" t="inlineStr">
        <is>
          <t>sm11202-30s-000286-1202-55</t>
        </is>
      </c>
      <c r="C879" s="4" t="inlineStr">
        <is>
          <t>W00031886A</t>
        </is>
      </c>
      <c r="D879" s="6">
        <f>IF(F879&gt;=5, F879-5, IF(F879&lt;5, 0, F879))</f>
        <v/>
      </c>
      <c r="E879">
        <f>VLOOKUP(B879,[1]Namshi!$A:$B,2,0)</f>
        <v/>
      </c>
      <c r="F879" s="4">
        <f>SUMIFS('Dubai Stock'!I:I,'Dubai Stock'!H:H,Final_UAE!B:B)</f>
        <v/>
      </c>
      <c r="H879" s="8" t="e">
        <v>#N/A</v>
      </c>
    </row>
    <row r="880">
      <c r="A880" s="4" t="n">
        <v>33834</v>
      </c>
      <c r="B880" s="4" t="inlineStr">
        <is>
          <t>sw31304-30s-000121-2904-49</t>
        </is>
      </c>
      <c r="C880" s="4" t="inlineStr">
        <is>
          <t>W00031886A</t>
        </is>
      </c>
      <c r="D880" s="6">
        <f>IF(F880&gt;=5, F880-5, IF(F880&lt;5, 0, F880))</f>
        <v/>
      </c>
      <c r="E880">
        <f>VLOOKUP(B880,[1]Namshi!$A:$B,2,0)</f>
        <v/>
      </c>
      <c r="F880" s="4">
        <f>SUMIFS('Dubai Stock'!I:I,'Dubai Stock'!H:H,Final_UAE!B:B)</f>
        <v/>
      </c>
      <c r="H880" s="8" t="e">
        <v>#N/A</v>
      </c>
    </row>
    <row r="881">
      <c r="A881" s="4" t="n">
        <v>33834</v>
      </c>
      <c r="B881" s="4" t="inlineStr">
        <is>
          <t>cost3mo-lay-2022-p02-royal-green-sn0500</t>
        </is>
      </c>
      <c r="C881" s="4" t="inlineStr">
        <is>
          <t>W00031886A</t>
        </is>
      </c>
      <c r="D881" s="6">
        <f>IF(F881&gt;=5, F881-5, IF(F881&lt;5, 0, F881))</f>
        <v/>
      </c>
      <c r="E881">
        <f>VLOOKUP(B881,[1]Namshi!$A:$B,2,0)</f>
        <v/>
      </c>
      <c r="F881" s="4">
        <f>SUMIFS('Dubai Stock'!I:I,'Dubai Stock'!H:H,Final_UAE!B:B)</f>
        <v/>
      </c>
      <c r="H881" s="8" t="e">
        <v>#N/A</v>
      </c>
      <c r="I881" s="8" t="n"/>
    </row>
    <row r="882">
      <c r="A882" s="4" t="n">
        <v>33834</v>
      </c>
      <c r="B882" s="4" t="inlineStr">
        <is>
          <t>costmon-ama-2024-p02-chocolate-sn0200</t>
        </is>
      </c>
      <c r="C882" s="4" t="inlineStr">
        <is>
          <t>W00031886A</t>
        </is>
      </c>
      <c r="D882" s="6">
        <f>IF(F882&gt;=5, F882-5, IF(F882&lt;5, 0, F882))</f>
        <v/>
      </c>
      <c r="E882">
        <f>VLOOKUP(B882,[1]Namshi!$A:$B,2,0)</f>
        <v/>
      </c>
      <c r="F882" s="4">
        <f>SUMIFS('Dubai Stock'!I:I,'Dubai Stock'!H:H,Final_UAE!B:B)</f>
        <v/>
      </c>
      <c r="H882" s="8" t="e">
        <v>#N/A</v>
      </c>
      <c r="I882" s="8" t="n"/>
    </row>
    <row r="883">
      <c r="A883" s="4" t="n">
        <v>33834</v>
      </c>
      <c r="B883" s="4" t="inlineStr">
        <is>
          <t>clstdai-dai-tot1-p90-sn0275</t>
        </is>
      </c>
      <c r="C883" s="4" t="inlineStr">
        <is>
          <t>W00031886A</t>
        </is>
      </c>
      <c r="D883" s="6">
        <f>IF(F883&gt;=5, F883-5, IF(F883&lt;5, 0, F883))</f>
        <v/>
      </c>
      <c r="E883">
        <f>VLOOKUP(B883,[1]Namshi!$A:$B,2,0)</f>
        <v/>
      </c>
      <c r="F883" s="4">
        <f>SUMIFS('Dubai Stock'!I:I,'Dubai Stock'!H:H,Final_UAE!B:B)</f>
        <v/>
      </c>
      <c r="H883" s="8" t="e">
        <v>#N/A</v>
      </c>
      <c r="I883" s="8" t="n"/>
    </row>
    <row r="884">
      <c r="A884" s="4" t="n">
        <v>33834</v>
      </c>
      <c r="B884" s="4" t="inlineStr">
        <is>
          <t>clstbiw-acu-oasy-p06-sn1050</t>
        </is>
      </c>
      <c r="C884" s="4" t="inlineStr">
        <is>
          <t>W00031886A</t>
        </is>
      </c>
      <c r="D884" s="6">
        <f>IF(F884&gt;=5, F884-5, IF(F884&lt;5, 0, F884))</f>
        <v/>
      </c>
      <c r="E884">
        <f>VLOOKUP(B884,[1]Namshi!$A:$B,2,0)</f>
        <v/>
      </c>
      <c r="F884" s="4">
        <f>SUMIFS('Dubai Stock'!I:I,'Dubai Stock'!H:H,Final_UAE!B:B)</f>
        <v/>
      </c>
      <c r="H884" s="8" t="e">
        <v>#N/A</v>
      </c>
      <c r="I884" s="8" t="n"/>
    </row>
    <row r="885">
      <c r="A885" s="4" t="n">
        <v>33834</v>
      </c>
      <c r="B885" s="4" t="inlineStr">
        <is>
          <t>su70406-30s-000268-2106-53</t>
        </is>
      </c>
      <c r="C885" s="4" t="inlineStr">
        <is>
          <t>W00031886A</t>
        </is>
      </c>
      <c r="D885" s="6">
        <f>IF(F885&gt;=5, F885-5, IF(F885&lt;5, 0, F885))</f>
        <v/>
      </c>
      <c r="E885">
        <f>VLOOKUP(B885,[1]Namshi!$A:$B,2,0)</f>
        <v/>
      </c>
      <c r="F885" s="4">
        <f>SUMIFS('Dubai Stock'!I:I,'Dubai Stock'!H:H,Final_UAE!B:B)</f>
        <v/>
      </c>
      <c r="H885" s="8" t="e">
        <v>#N/A</v>
      </c>
    </row>
    <row r="886">
      <c r="A886" s="4" t="n">
        <v>33834</v>
      </c>
      <c r="B886" s="4" t="inlineStr">
        <is>
          <t>clstdai-acu-mois-p30-sp0275</t>
        </is>
      </c>
      <c r="C886" s="4" t="inlineStr">
        <is>
          <t>W00031886A</t>
        </is>
      </c>
      <c r="D886" s="6">
        <f>IF(F886&gt;=5, F886-5, IF(F886&lt;5, 0, F886))</f>
        <v/>
      </c>
      <c r="E886">
        <f>VLOOKUP(B886,[1]Namshi!$A:$B,2,0)</f>
        <v/>
      </c>
      <c r="F886" s="4">
        <f>SUMIFS('Dubai Stock'!I:I,'Dubai Stock'!H:H,Final_UAE!B:B)</f>
        <v/>
      </c>
      <c r="H886" s="8" t="e">
        <v>#N/A</v>
      </c>
      <c r="I886" s="8" t="n"/>
    </row>
    <row r="887">
      <c r="A887" s="4" t="n">
        <v>33834</v>
      </c>
      <c r="B887" s="4" t="inlineStr">
        <is>
          <t>costmon-ama-2022-p02-dream-sn0100</t>
        </is>
      </c>
      <c r="C887" s="4" t="inlineStr">
        <is>
          <t>W00031886A</t>
        </is>
      </c>
      <c r="D887" s="6">
        <f>IF(F887&gt;=5, F887-5, IF(F887&lt;5, 0, F887))</f>
        <v/>
      </c>
      <c r="E887">
        <f>VLOOKUP(B887,[1]Namshi!$A:$B,2,0)</f>
        <v/>
      </c>
      <c r="F887" s="4">
        <f>SUMIFS('Dubai Stock'!I:I,'Dubai Stock'!H:H,Final_UAE!B:B)</f>
        <v/>
      </c>
      <c r="H887" s="8" t="e">
        <v>#N/A</v>
      </c>
      <c r="I887" s="8" t="n"/>
    </row>
    <row r="888">
      <c r="A888" s="4" t="n">
        <v>33834</v>
      </c>
      <c r="B888" s="4" t="inlineStr">
        <is>
          <t>clstbiw-acu-0002-p06-sp0125</t>
        </is>
      </c>
      <c r="C888" s="4" t="inlineStr">
        <is>
          <t>W00031886A</t>
        </is>
      </c>
      <c r="D888" s="6">
        <f>IF(F888&gt;=5, F888-5, IF(F888&lt;5, 0, F888))</f>
        <v/>
      </c>
      <c r="E888">
        <f>VLOOKUP(B888,[1]Namshi!$A:$B,2,0)</f>
        <v/>
      </c>
      <c r="F888" s="4">
        <f>SUMIFS('Dubai Stock'!I:I,'Dubai Stock'!H:H,Final_UAE!B:B)</f>
        <v/>
      </c>
      <c r="H888" s="8" t="e">
        <v>#N/A</v>
      </c>
      <c r="I888" s="8" t="n"/>
    </row>
    <row r="889">
      <c r="A889" s="4" t="n">
        <v>33834</v>
      </c>
      <c r="B889" s="4" t="inlineStr">
        <is>
          <t>clstbiw-acu-oasy-p06-sp0125</t>
        </is>
      </c>
      <c r="C889" s="4" t="inlineStr">
        <is>
          <t>W00031886A</t>
        </is>
      </c>
      <c r="D889" s="6">
        <f>IF(F889&gt;=5, F889-5, IF(F889&lt;5, 0, F889))</f>
        <v/>
      </c>
      <c r="E889">
        <f>VLOOKUP(B889,[1]Namshi!$A:$B,2,0)</f>
        <v/>
      </c>
      <c r="F889" s="4">
        <f>SUMIFS('Dubai Stock'!I:I,'Dubai Stock'!H:H,Final_UAE!B:B)</f>
        <v/>
      </c>
      <c r="H889" s="8" t="e">
        <v>#N/A</v>
      </c>
      <c r="I889" s="8" t="n"/>
    </row>
    <row r="890">
      <c r="A890" s="4" t="n">
        <v>33834</v>
      </c>
      <c r="B890" s="4" t="inlineStr">
        <is>
          <t>cost3mo-lay-2022-p02-avena-brown-sn0550</t>
        </is>
      </c>
      <c r="C890" s="4" t="inlineStr">
        <is>
          <t>W00031886A</t>
        </is>
      </c>
      <c r="D890" s="6">
        <f>IF(F890&gt;=5, F890-5, IF(F890&lt;5, 0, F890))</f>
        <v/>
      </c>
      <c r="E890">
        <f>VLOOKUP(B890,[1]Namshi!$A:$B,2,0)</f>
        <v/>
      </c>
      <c r="F890" s="4">
        <f>SUMIFS('Dubai Stock'!I:I,'Dubai Stock'!H:H,Final_UAE!B:B)</f>
        <v/>
      </c>
      <c r="H890" s="8" t="e">
        <v>#N/A</v>
      </c>
      <c r="I890" s="8" t="n"/>
    </row>
    <row r="891">
      <c r="A891" s="4" t="n">
        <v>33834</v>
      </c>
      <c r="B891" s="4" t="inlineStr">
        <is>
          <t>clstdai-eve-pure-p90-sn0050</t>
        </is>
      </c>
      <c r="C891" s="4" t="inlineStr">
        <is>
          <t>W00031886A</t>
        </is>
      </c>
      <c r="D891" s="6">
        <f>IF(F891&gt;=5, F891-5, IF(F891&lt;5, 0, F891))</f>
        <v/>
      </c>
      <c r="E891">
        <f>VLOOKUP(B891,[1]Namshi!$A:$B,2,0)</f>
        <v/>
      </c>
      <c r="F891" s="4">
        <f>SUMIFS('Dubai Stock'!I:I,'Dubai Stock'!H:H,Final_UAE!B:B)</f>
        <v/>
      </c>
      <c r="H891" s="8" t="n">
        <v>529</v>
      </c>
      <c r="I891" s="8" t="n">
        <v>259</v>
      </c>
    </row>
    <row r="892">
      <c r="A892" s="4" t="n">
        <v>33834</v>
      </c>
      <c r="B892" s="4" t="inlineStr">
        <is>
          <t>clstdai-eve-pure-p90-sn0175</t>
        </is>
      </c>
      <c r="C892" s="4" t="inlineStr">
        <is>
          <t>W00031886A</t>
        </is>
      </c>
      <c r="D892" s="6">
        <f>IF(F892&gt;=5, F892-5, IF(F892&lt;5, 0, F892))</f>
        <v/>
      </c>
      <c r="E892">
        <f>VLOOKUP(B892,[1]Namshi!$A:$B,2,0)</f>
        <v/>
      </c>
      <c r="F892" s="4">
        <f>SUMIFS('Dubai Stock'!I:I,'Dubai Stock'!H:H,Final_UAE!B:B)</f>
        <v/>
      </c>
      <c r="H892" s="8" t="n">
        <v>529</v>
      </c>
      <c r="I892" s="8" t="n">
        <v>259</v>
      </c>
    </row>
    <row r="893">
      <c r="A893" s="4" t="n">
        <v>33834</v>
      </c>
      <c r="B893" s="4" t="inlineStr">
        <is>
          <t>clstdai-acu-mois-p90-sn0150</t>
        </is>
      </c>
      <c r="C893" s="4" t="inlineStr">
        <is>
          <t>W00031886A</t>
        </is>
      </c>
      <c r="D893" s="6">
        <f>IF(F893&gt;=5, F893-5, IF(F893&lt;5, 0, F893))</f>
        <v/>
      </c>
      <c r="E893">
        <f>VLOOKUP(B893,[1]Namshi!$A:$B,2,0)</f>
        <v/>
      </c>
      <c r="F893" s="4">
        <f>SUMIFS('Dubai Stock'!I:I,'Dubai Stock'!H:H,Final_UAE!B:B)</f>
        <v/>
      </c>
      <c r="H893" s="8" t="e">
        <v>#N/A</v>
      </c>
      <c r="I893" s="8" t="n"/>
    </row>
    <row r="894">
      <c r="A894" s="4" t="n">
        <v>33834</v>
      </c>
      <c r="B894" s="4" t="inlineStr">
        <is>
          <t>fw30118-spc-000750-0118-53</t>
        </is>
      </c>
      <c r="C894" s="4" t="inlineStr">
        <is>
          <t>W00031886A</t>
        </is>
      </c>
      <c r="D894" s="6">
        <f>IF(F894&gt;=5, F894-5, IF(F894&lt;5, 0, F894))</f>
        <v/>
      </c>
      <c r="E894">
        <f>VLOOKUP(B894,[1]Namshi!$A:$B,2,0)</f>
        <v/>
      </c>
      <c r="F894" s="4">
        <f>SUMIFS('Dubai Stock'!I:I,'Dubai Stock'!H:H,Final_UAE!B:B)</f>
        <v/>
      </c>
      <c r="H894" s="8" t="e">
        <v>#N/A</v>
      </c>
      <c r="I894" s="8" t="n"/>
    </row>
    <row r="895">
      <c r="A895" s="4" t="n">
        <v>33834</v>
      </c>
      <c r="B895" s="4" t="inlineStr">
        <is>
          <t>sw80509-bla-000205-2709-61</t>
        </is>
      </c>
      <c r="C895" s="4" t="inlineStr">
        <is>
          <t>W00031886A</t>
        </is>
      </c>
      <c r="D895" s="6">
        <f>IF(F895&gt;=5, F895-5, IF(F895&lt;5, 0, F895))</f>
        <v/>
      </c>
      <c r="E895">
        <f>VLOOKUP(B895,[1]Namshi!$A:$B,2,0)</f>
        <v/>
      </c>
      <c r="F895" s="4">
        <f>SUMIFS('Dubai Stock'!I:I,'Dubai Stock'!H:H,Final_UAE!B:B)</f>
        <v/>
      </c>
      <c r="H895" s="8" t="e">
        <v>#N/A</v>
      </c>
    </row>
    <row r="896">
      <c r="A896" s="4" t="n">
        <v>33834</v>
      </c>
      <c r="B896" s="4" t="inlineStr">
        <is>
          <t>clstdai-acu-omax-p30-sp0050</t>
        </is>
      </c>
      <c r="C896" s="4" t="inlineStr">
        <is>
          <t>W00031886A</t>
        </is>
      </c>
      <c r="D896" s="6">
        <f>IF(F896&gt;=5, F896-5, IF(F896&lt;5, 0, F896))</f>
        <v/>
      </c>
      <c r="E896">
        <f>VLOOKUP(B896,[1]Namshi!$A:$B,2,0)</f>
        <v/>
      </c>
      <c r="F896" s="4">
        <f>SUMIFS('Dubai Stock'!I:I,'Dubai Stock'!H:H,Final_UAE!B:B)</f>
        <v/>
      </c>
      <c r="H896" s="8" t="e">
        <v>#N/A</v>
      </c>
      <c r="I896" s="8" t="n"/>
    </row>
    <row r="897">
      <c r="A897" s="4" t="n">
        <v>33834</v>
      </c>
      <c r="B897" s="4" t="inlineStr">
        <is>
          <t>su10707-rov-8006-12-14-57</t>
        </is>
      </c>
      <c r="C897" s="4" t="inlineStr">
        <is>
          <t>W00031886A</t>
        </is>
      </c>
      <c r="D897" s="6">
        <f>IF(F897&gt;=5, F897-5, IF(F897&lt;5, 0, F897))</f>
        <v/>
      </c>
      <c r="E897">
        <f>VLOOKUP(B897,[1]Namshi!$A:$B,2,0)</f>
        <v/>
      </c>
      <c r="F897" s="4">
        <f>SUMIFS('Dubai Stock'!I:I,'Dubai Stock'!H:H,Final_UAE!B:B)</f>
        <v/>
      </c>
      <c r="H897" s="8" t="e">
        <v>#N/A</v>
      </c>
      <c r="I897" s="8" t="n"/>
    </row>
    <row r="898">
      <c r="A898" s="4" t="n">
        <v>33834</v>
      </c>
      <c r="B898" s="4" t="inlineStr">
        <is>
          <t>sw30404-30s-000265-0404-54</t>
        </is>
      </c>
      <c r="C898" s="4" t="inlineStr">
        <is>
          <t>W00031886A</t>
        </is>
      </c>
      <c r="D898" s="6">
        <f>IF(F898&gt;=5, F898-5, IF(F898&lt;5, 0, F898))</f>
        <v/>
      </c>
      <c r="E898">
        <f>VLOOKUP(B898,[1]Namshi!$A:$B,2,0)</f>
        <v/>
      </c>
      <c r="F898" s="4">
        <f>SUMIFS('Dubai Stock'!I:I,'Dubai Stock'!H:H,Final_UAE!B:B)</f>
        <v/>
      </c>
      <c r="H898" s="8" t="e">
        <v>#N/A</v>
      </c>
    </row>
    <row r="899">
      <c r="A899" s="4" t="n">
        <v>33834</v>
      </c>
      <c r="B899" s="4" t="inlineStr">
        <is>
          <t>sw30107-30s-000126-0107-54</t>
        </is>
      </c>
      <c r="C899" s="4" t="inlineStr">
        <is>
          <t>W00031886A</t>
        </is>
      </c>
      <c r="D899" s="6">
        <f>IF(F899&gt;=5, F899-5, IF(F899&lt;5, 0, F899))</f>
        <v/>
      </c>
      <c r="E899">
        <f>VLOOKUP(B899,[1]Namshi!$A:$B,2,0)</f>
        <v/>
      </c>
      <c r="F899" s="4">
        <f>SUMIFS('Dubai Stock'!I:I,'Dubai Stock'!H:H,Final_UAE!B:B)</f>
        <v/>
      </c>
      <c r="H899" s="8" t="e">
        <v>#N/A</v>
      </c>
    </row>
    <row r="900">
      <c r="A900" s="4" t="n">
        <v>33834</v>
      </c>
      <c r="B900" s="4" t="inlineStr">
        <is>
          <t>clstdai-acu-dfvi-p30-sn0200</t>
        </is>
      </c>
      <c r="C900" s="4" t="inlineStr">
        <is>
          <t>W00031886A</t>
        </is>
      </c>
      <c r="D900" s="6">
        <f>IF(F900&gt;=5, F900-5, IF(F900&lt;5, 0, F900))</f>
        <v/>
      </c>
      <c r="E900">
        <f>VLOOKUP(B900,[1]Namshi!$A:$B,2,0)</f>
        <v/>
      </c>
      <c r="F900" s="4">
        <f>SUMIFS('Dubai Stock'!I:I,'Dubai Stock'!H:H,Final_UAE!B:B)</f>
        <v/>
      </c>
      <c r="H900" s="8" t="e">
        <v>#N/A</v>
      </c>
      <c r="I900" s="8" t="n"/>
    </row>
    <row r="901">
      <c r="A901" s="4" t="n">
        <v>33834</v>
      </c>
      <c r="B901" s="4" t="inlineStr">
        <is>
          <t>su51707-rov-8002-13-41-53</t>
        </is>
      </c>
      <c r="C901" s="4" t="inlineStr">
        <is>
          <t>W00031886A</t>
        </is>
      </c>
      <c r="D901" s="6">
        <f>IF(F901&gt;=5, F901-5, IF(F901&lt;5, 0, F901))</f>
        <v/>
      </c>
      <c r="E901">
        <f>VLOOKUP(B901,[1]Namshi!$A:$B,2,0)</f>
        <v/>
      </c>
      <c r="F901" s="4">
        <f>SUMIFS('Dubai Stock'!I:I,'Dubai Stock'!H:H,Final_UAE!B:B)</f>
        <v/>
      </c>
      <c r="H901" s="8" t="e">
        <v>#N/A</v>
      </c>
      <c r="I901" s="8" t="n"/>
    </row>
    <row r="902">
      <c r="A902" s="4" t="n">
        <v>33834</v>
      </c>
      <c r="B902" s="4" t="inlineStr">
        <is>
          <t>clstdai-acu-mois-p30-sn0525</t>
        </is>
      </c>
      <c r="C902" s="4" t="inlineStr">
        <is>
          <t>W00031886A</t>
        </is>
      </c>
      <c r="D902" s="6">
        <f>IF(F902&gt;=5, F902-5, IF(F902&lt;5, 0, F902))</f>
        <v/>
      </c>
      <c r="E902">
        <f>VLOOKUP(B902,[1]Namshi!$A:$B,2,0)</f>
        <v/>
      </c>
      <c r="F902" s="4">
        <f>SUMIFS('Dubai Stock'!I:I,'Dubai Stock'!H:H,Final_UAE!B:B)</f>
        <v/>
      </c>
      <c r="H902" s="8" t="e">
        <v>#N/A</v>
      </c>
      <c r="I902" s="8" t="n"/>
    </row>
    <row r="903">
      <c r="A903" s="4" t="n">
        <v>33834</v>
      </c>
      <c r="B903" s="4" t="inlineStr">
        <is>
          <t>cost3mo-lay-2022-p02-emerald-glow-sn0500</t>
        </is>
      </c>
      <c r="C903" s="4" t="inlineStr">
        <is>
          <t>W00031886A</t>
        </is>
      </c>
      <c r="D903" s="6">
        <f>IF(F903&gt;=5, F903-5, IF(F903&lt;5, 0, F903))</f>
        <v/>
      </c>
      <c r="E903">
        <f>VLOOKUP(B903,[1]Namshi!$A:$B,2,0)</f>
        <v/>
      </c>
      <c r="F903" s="4">
        <f>SUMIFS('Dubai Stock'!I:I,'Dubai Stock'!H:H,Final_UAE!B:B)</f>
        <v/>
      </c>
      <c r="H903" s="8" t="e">
        <v>#N/A</v>
      </c>
      <c r="I903" s="8" t="n"/>
    </row>
    <row r="904">
      <c r="A904" s="4" t="n">
        <v>33834</v>
      </c>
      <c r="B904" s="4" t="inlineStr">
        <is>
          <t>clstdai-acu-oasy-p90-sn1200</t>
        </is>
      </c>
      <c r="C904" s="4" t="inlineStr">
        <is>
          <t>W00031886A</t>
        </is>
      </c>
      <c r="D904" s="6">
        <f>IF(F904&gt;=5, F904-5, IF(F904&lt;5, 0, F904))</f>
        <v/>
      </c>
      <c r="E904">
        <f>VLOOKUP(B904,[1]Namshi!$A:$B,2,0)</f>
        <v/>
      </c>
      <c r="F904" s="4">
        <f>SUMIFS('Dubai Stock'!I:I,'Dubai Stock'!H:H,Final_UAE!B:B)</f>
        <v/>
      </c>
      <c r="H904" s="8" t="e">
        <v>#N/A</v>
      </c>
      <c r="I904" s="8" t="n"/>
    </row>
    <row r="905">
      <c r="A905" s="4" t="n">
        <v>33834</v>
      </c>
      <c r="B905" s="4" t="inlineStr">
        <is>
          <t>sw21207-bla-000269-1207-54</t>
        </is>
      </c>
      <c r="C905" s="4" t="inlineStr">
        <is>
          <t>W00031886A</t>
        </is>
      </c>
      <c r="D905" s="6">
        <f>IF(F905&gt;=5, F905-5, IF(F905&lt;5, 0, F905))</f>
        <v/>
      </c>
      <c r="E905">
        <f>VLOOKUP(B905,[1]Namshi!$A:$B,2,0)</f>
        <v/>
      </c>
      <c r="F905" s="4">
        <f>SUMIFS('Dubai Stock'!I:I,'Dubai Stock'!H:H,Final_UAE!B:B)</f>
        <v/>
      </c>
      <c r="H905" s="8" t="e">
        <v>#N/A</v>
      </c>
    </row>
    <row r="906">
      <c r="A906" s="4" t="n">
        <v>33834</v>
      </c>
      <c r="B906" s="4" t="inlineStr">
        <is>
          <t>costmon-ama-lens-p02-mocca-sn0575</t>
        </is>
      </c>
      <c r="C906" s="4" t="inlineStr">
        <is>
          <t>W00031886A</t>
        </is>
      </c>
      <c r="D906" s="6">
        <f>IF(F906&gt;=5, F906-5, IF(F906&lt;5, 0, F906))</f>
        <v/>
      </c>
      <c r="E906">
        <f>VLOOKUP(B906,[1]Namshi!$A:$B,2,0)</f>
        <v/>
      </c>
      <c r="F906" s="4">
        <f>SUMIFS('Dubai Stock'!I:I,'Dubai Stock'!H:H,Final_UAE!B:B)</f>
        <v/>
      </c>
      <c r="H906" s="8" t="e">
        <v>#N/A</v>
      </c>
      <c r="I906" s="8" t="n"/>
    </row>
    <row r="907">
      <c r="A907" s="4" t="n">
        <v>33834</v>
      </c>
      <c r="B907" s="4" t="inlineStr">
        <is>
          <t>fu61318-spc-000571-1300-51</t>
        </is>
      </c>
      <c r="C907" s="4" t="inlineStr">
        <is>
          <t>W00031886A</t>
        </is>
      </c>
      <c r="D907" s="6">
        <f>IF(F907&gt;=5, F907-5, IF(F907&lt;5, 0, F907))</f>
        <v/>
      </c>
      <c r="E907">
        <f>VLOOKUP(B907,[1]Namshi!$A:$B,2,0)</f>
        <v/>
      </c>
      <c r="F907" s="4">
        <f>SUMIFS('Dubai Stock'!I:I,'Dubai Stock'!H:H,Final_UAE!B:B)</f>
        <v/>
      </c>
      <c r="H907" s="8" t="e">
        <v>#N/A</v>
      </c>
      <c r="I907" s="8" t="n"/>
    </row>
    <row r="908">
      <c r="A908" s="4" t="n">
        <v>33834</v>
      </c>
      <c r="B908" s="4" t="inlineStr">
        <is>
          <t>costmon-ama-2020-p02-pure-hazel-sn0525</t>
        </is>
      </c>
      <c r="C908" s="4" t="inlineStr">
        <is>
          <t>W00031886A</t>
        </is>
      </c>
      <c r="D908" s="6">
        <f>IF(F908&gt;=5, F908-5, IF(F908&lt;5, 0, F908))</f>
        <v/>
      </c>
      <c r="E908">
        <f>VLOOKUP(B908,[1]Namshi!$A:$B,2,0)</f>
        <v/>
      </c>
      <c r="F908" s="4">
        <f>SUMIFS('Dubai Stock'!I:I,'Dubai Stock'!H:H,Final_UAE!B:B)</f>
        <v/>
      </c>
      <c r="H908" s="8" t="e">
        <v>#N/A</v>
      </c>
      <c r="I908" s="8" t="n"/>
    </row>
    <row r="909">
      <c r="A909" s="4" t="n">
        <v>33834</v>
      </c>
      <c r="B909" s="4" t="inlineStr">
        <is>
          <t>sw40107-30s-000123-0107-51</t>
        </is>
      </c>
      <c r="C909" s="4" t="inlineStr">
        <is>
          <t>W00031886A</t>
        </is>
      </c>
      <c r="D909" s="6">
        <f>IF(F909&gt;=5, F909-5, IF(F909&lt;5, 0, F909))</f>
        <v/>
      </c>
      <c r="E909">
        <f>VLOOKUP(B909,[1]Namshi!$A:$B,2,0)</f>
        <v/>
      </c>
      <c r="F909" s="4">
        <f>SUMIFS('Dubai Stock'!I:I,'Dubai Stock'!H:H,Final_UAE!B:B)</f>
        <v/>
      </c>
      <c r="H909" s="8" t="e">
        <v>#N/A</v>
      </c>
    </row>
    <row r="910">
      <c r="A910" s="4" t="n">
        <v>33834</v>
      </c>
      <c r="B910" s="4" t="inlineStr">
        <is>
          <t>sacchan-30s-chain143-gld-juno-gold</t>
        </is>
      </c>
      <c r="C910" s="4" t="inlineStr">
        <is>
          <t>W00031886A</t>
        </is>
      </c>
      <c r="D910" s="6">
        <f>IF(F910&gt;=5, F910-5, IF(F910&lt;5, 0, F910))</f>
        <v/>
      </c>
      <c r="E910">
        <f>VLOOKUP(B910,[1]Namshi!$A:$B,2,0)</f>
        <v/>
      </c>
      <c r="F910" s="4">
        <f>SUMIFS('Dubai Stock'!I:I,'Dubai Stock'!H:H,Final_UAE!B:B)</f>
        <v/>
      </c>
      <c r="H910" s="8" t="e">
        <v>#N/A</v>
      </c>
      <c r="I910" s="8" t="n"/>
    </row>
    <row r="911">
      <c r="A911" s="4" t="n">
        <v>33834</v>
      </c>
      <c r="B911" s="4" t="inlineStr">
        <is>
          <t>clstdai-acu-dfvi-p90-sn0175</t>
        </is>
      </c>
      <c r="C911" s="4" t="inlineStr">
        <is>
          <t>W00031886A</t>
        </is>
      </c>
      <c r="D911" s="6">
        <f>IF(F911&gt;=5, F911-5, IF(F911&lt;5, 0, F911))</f>
        <v/>
      </c>
      <c r="E911">
        <f>VLOOKUP(B911,[1]Namshi!$A:$B,2,0)</f>
        <v/>
      </c>
      <c r="F911" s="4">
        <f>SUMIFS('Dubai Stock'!I:I,'Dubai Stock'!H:H,Final_UAE!B:B)</f>
        <v/>
      </c>
      <c r="H911" s="8" t="e">
        <v>#N/A</v>
      </c>
      <c r="I911" s="8" t="n"/>
    </row>
    <row r="912">
      <c r="A912" s="4" t="n">
        <v>33834</v>
      </c>
      <c r="B912" s="4" t="inlineStr">
        <is>
          <t>clstdai-acu-omax-p30-sp0200</t>
        </is>
      </c>
      <c r="C912" s="4" t="inlineStr">
        <is>
          <t>W00031886A</t>
        </is>
      </c>
      <c r="D912" s="6">
        <f>IF(F912&gt;=5, F912-5, IF(F912&lt;5, 0, F912))</f>
        <v/>
      </c>
      <c r="E912">
        <f>VLOOKUP(B912,[1]Namshi!$A:$B,2,0)</f>
        <v/>
      </c>
      <c r="F912" s="4">
        <f>SUMIFS('Dubai Stock'!I:I,'Dubai Stock'!H:H,Final_UAE!B:B)</f>
        <v/>
      </c>
      <c r="H912" s="8" t="e">
        <v>#N/A</v>
      </c>
      <c r="I912" s="8" t="n"/>
    </row>
    <row r="913">
      <c r="A913" s="4" t="n">
        <v>33834</v>
      </c>
      <c r="B913" s="4" t="inlineStr">
        <is>
          <t>clstdai-acu-mois-p90-sn1050</t>
        </is>
      </c>
      <c r="C913" s="4" t="inlineStr">
        <is>
          <t>W00031886A</t>
        </is>
      </c>
      <c r="D913" s="6">
        <f>IF(F913&gt;=5, F913-5, IF(F913&lt;5, 0, F913))</f>
        <v/>
      </c>
      <c r="E913">
        <f>VLOOKUP(B913,[1]Namshi!$A:$B,2,0)</f>
        <v/>
      </c>
      <c r="F913" s="4">
        <f>SUMIFS('Dubai Stock'!I:I,'Dubai Stock'!H:H,Final_UAE!B:B)</f>
        <v/>
      </c>
      <c r="H913" s="8" t="e">
        <v>#N/A</v>
      </c>
      <c r="I913" s="8" t="n"/>
    </row>
    <row r="914">
      <c r="A914" s="4" t="n">
        <v>33834</v>
      </c>
      <c r="B914" s="4" t="inlineStr">
        <is>
          <t>fw32418-spc-000709-2418-54</t>
        </is>
      </c>
      <c r="C914" s="4" t="inlineStr">
        <is>
          <t>W00031886A</t>
        </is>
      </c>
      <c r="D914" s="6">
        <f>IF(F914&gt;=5, F914-5, IF(F914&lt;5, 0, F914))</f>
        <v/>
      </c>
      <c r="E914">
        <f>VLOOKUP(B914,[1]Namshi!$A:$B,2,0)</f>
        <v/>
      </c>
      <c r="F914" s="4">
        <f>SUMIFS('Dubai Stock'!I:I,'Dubai Stock'!H:H,Final_UAE!B:B)</f>
        <v/>
      </c>
      <c r="H914" s="8" t="e">
        <v>#N/A</v>
      </c>
      <c r="I914" s="8" t="n"/>
    </row>
    <row r="915">
      <c r="A915" s="4" t="n">
        <v>33834</v>
      </c>
      <c r="B915" s="4" t="inlineStr">
        <is>
          <t>cost3mo-lay-2020-p02-hazel-brown-sn0100</t>
        </is>
      </c>
      <c r="C915" s="4" t="inlineStr">
        <is>
          <t>W00031886A</t>
        </is>
      </c>
      <c r="D915" s="6">
        <f>IF(F915&gt;=5, F915-5, IF(F915&lt;5, 0, F915))</f>
        <v/>
      </c>
      <c r="E915">
        <f>VLOOKUP(B915,[1]Namshi!$A:$B,2,0)</f>
        <v/>
      </c>
      <c r="F915" s="4">
        <f>SUMIFS('Dubai Stock'!I:I,'Dubai Stock'!H:H,Final_UAE!B:B)</f>
        <v/>
      </c>
      <c r="H915" s="8" t="e">
        <v>#N/A</v>
      </c>
      <c r="I915" s="8" t="n"/>
    </row>
    <row r="916">
      <c r="A916" s="4" t="n">
        <v>33834</v>
      </c>
      <c r="B916" s="4" t="inlineStr">
        <is>
          <t>fw32318-spc-000809-2318-61</t>
        </is>
      </c>
      <c r="C916" s="4" t="inlineStr">
        <is>
          <t>W00031886A</t>
        </is>
      </c>
      <c r="D916" s="6">
        <f>IF(F916&gt;=5, F916-5, IF(F916&lt;5, 0, F916))</f>
        <v/>
      </c>
      <c r="E916">
        <f>VLOOKUP(B916,[1]Namshi!$A:$B,2,0)</f>
        <v/>
      </c>
      <c r="F916" s="4">
        <f>SUMIFS('Dubai Stock'!I:I,'Dubai Stock'!H:H,Final_UAE!B:B)</f>
        <v/>
      </c>
      <c r="H916" s="8" t="e">
        <v>#N/A</v>
      </c>
      <c r="I916" s="8" t="n"/>
    </row>
    <row r="917">
      <c r="A917" s="4" t="n">
        <v>33834</v>
      </c>
      <c r="B917" s="4" t="inlineStr">
        <is>
          <t>clstbiw-acu-oasy-p18-sn0300</t>
        </is>
      </c>
      <c r="C917" s="4" t="inlineStr">
        <is>
          <t>W00031886A</t>
        </is>
      </c>
      <c r="D917" s="6">
        <f>IF(F917&gt;=5, F917-5, IF(F917&lt;5, 0, F917))</f>
        <v/>
      </c>
      <c r="E917">
        <f>VLOOKUP(B917,[1]Namshi!$A:$B,2,0)</f>
        <v/>
      </c>
      <c r="F917" s="4">
        <f>SUMIFS('Dubai Stock'!I:I,'Dubai Stock'!H:H,Final_UAE!B:B)</f>
        <v/>
      </c>
      <c r="H917" s="8" t="e">
        <v>#N/A</v>
      </c>
      <c r="I917" s="8" t="n"/>
    </row>
    <row r="918">
      <c r="A918" s="4" t="n">
        <v>33834</v>
      </c>
      <c r="B918" s="4" t="inlineStr">
        <is>
          <t>sm51306-30s-000234-1306-48</t>
        </is>
      </c>
      <c r="C918" s="4" t="inlineStr">
        <is>
          <t>W00031886A</t>
        </is>
      </c>
      <c r="D918" s="6">
        <f>IF(F918&gt;=5, F918-5, IF(F918&lt;5, 0, F918))</f>
        <v/>
      </c>
      <c r="E918">
        <f>VLOOKUP(B918,[1]Namshi!$A:$B,2,0)</f>
        <v/>
      </c>
      <c r="F918" s="4">
        <f>SUMIFS('Dubai Stock'!I:I,'Dubai Stock'!H:H,Final_UAE!B:B)</f>
        <v/>
      </c>
      <c r="H918" s="8" t="e">
        <v>#N/A</v>
      </c>
    </row>
    <row r="919">
      <c r="A919" s="4" t="n">
        <v>33834</v>
      </c>
      <c r="B919" s="4" t="inlineStr">
        <is>
          <t>clstdai-acu-oasy-p60-sn0325</t>
        </is>
      </c>
      <c r="C919" s="4" t="inlineStr">
        <is>
          <t>W00031886A</t>
        </is>
      </c>
      <c r="D919" s="6">
        <f>IF(F919&gt;=5, F919-5, IF(F919&lt;5, 0, F919))</f>
        <v/>
      </c>
      <c r="E919">
        <f>VLOOKUP(B919,[1]Namshi!$A:$B,2,0)</f>
        <v/>
      </c>
      <c r="F919" s="4">
        <f>SUMIFS('Dubai Stock'!I:I,'Dubai Stock'!H:H,Final_UAE!B:B)</f>
        <v/>
      </c>
      <c r="H919" s="8" t="e">
        <v>#N/A</v>
      </c>
      <c r="I919" s="8" t="n"/>
    </row>
    <row r="920">
      <c r="A920" s="4" t="n">
        <v>33834</v>
      </c>
      <c r="B920" s="4" t="inlineStr">
        <is>
          <t>costdai-ama-dail-p10-shadow-sn0525</t>
        </is>
      </c>
      <c r="C920" s="4" t="inlineStr">
        <is>
          <t>W00031886A</t>
        </is>
      </c>
      <c r="D920" s="6">
        <f>IF(F920&gt;=5, F920-5, IF(F920&lt;5, 0, F920))</f>
        <v/>
      </c>
      <c r="E920">
        <f>VLOOKUP(B920,[1]Namshi!$A:$B,2,0)</f>
        <v/>
      </c>
      <c r="F920" s="4">
        <f>SUMIFS('Dubai Stock'!I:I,'Dubai Stock'!H:H,Final_UAE!B:B)</f>
        <v/>
      </c>
      <c r="H920" s="8" t="e">
        <v>#N/A</v>
      </c>
      <c r="I920" s="8" t="n"/>
    </row>
    <row r="921">
      <c r="A921" s="4" t="n">
        <v>33834</v>
      </c>
      <c r="B921" s="4" t="inlineStr">
        <is>
          <t>cost3mo-lay-lens-p02-chocolate-brown-sn0175</t>
        </is>
      </c>
      <c r="C921" s="4" t="inlineStr">
        <is>
          <t>W00031886A</t>
        </is>
      </c>
      <c r="D921" s="6">
        <f>IF(F921&gt;=5, F921-5, IF(F921&lt;5, 0, F921))</f>
        <v/>
      </c>
      <c r="E921">
        <f>VLOOKUP(B921,[1]Namshi!$A:$B,2,0)</f>
        <v/>
      </c>
      <c r="F921" s="4">
        <f>SUMIFS('Dubai Stock'!I:I,'Dubai Stock'!H:H,Final_UAE!B:B)</f>
        <v/>
      </c>
      <c r="H921" s="8" t="e">
        <v>#N/A</v>
      </c>
      <c r="I921" s="8" t="n"/>
    </row>
    <row r="922">
      <c r="A922" s="4" t="n">
        <v>33834</v>
      </c>
      <c r="B922" s="4" t="inlineStr">
        <is>
          <t>clstdai-acu-mois-p90-sp0100</t>
        </is>
      </c>
      <c r="C922" s="4" t="inlineStr">
        <is>
          <t>W00031886A</t>
        </is>
      </c>
      <c r="D922" s="6">
        <f>IF(F922&gt;=5, F922-5, IF(F922&lt;5, 0, F922))</f>
        <v/>
      </c>
      <c r="E922">
        <f>VLOOKUP(B922,[1]Namshi!$A:$B,2,0)</f>
        <v/>
      </c>
      <c r="F922" s="4">
        <f>SUMIFS('Dubai Stock'!I:I,'Dubai Stock'!H:H,Final_UAE!B:B)</f>
        <v/>
      </c>
      <c r="H922" s="8" t="e">
        <v>#N/A</v>
      </c>
      <c r="I922" s="8" t="n"/>
    </row>
    <row r="923">
      <c r="A923" s="4" t="n">
        <v>33834</v>
      </c>
      <c r="B923" s="4" t="inlineStr">
        <is>
          <t>cost3mo-lay-2024-p02-moon-gray-sn0075</t>
        </is>
      </c>
      <c r="C923" s="4" t="inlineStr">
        <is>
          <t>W00031886A</t>
        </is>
      </c>
      <c r="D923" s="6">
        <f>IF(F923&gt;=5, F923-5, IF(F923&lt;5, 0, F923))</f>
        <v/>
      </c>
      <c r="E923">
        <f>VLOOKUP(B923,[1]Namshi!$A:$B,2,0)</f>
        <v/>
      </c>
      <c r="F923" s="4">
        <f>SUMIFS('Dubai Stock'!I:I,'Dubai Stock'!H:H,Final_UAE!B:B)</f>
        <v/>
      </c>
      <c r="H923" s="8" t="e">
        <v>#N/A</v>
      </c>
      <c r="I923" s="8" t="n"/>
    </row>
    <row r="924">
      <c r="A924" s="4" t="n">
        <v>33834</v>
      </c>
      <c r="B924" s="4" t="inlineStr">
        <is>
          <t>clstbiw-acu-0002-p06-sn0650</t>
        </is>
      </c>
      <c r="C924" s="4" t="inlineStr">
        <is>
          <t>W00031886A</t>
        </is>
      </c>
      <c r="D924" s="6">
        <f>IF(F924&gt;=5, F924-5, IF(F924&lt;5, 0, F924))</f>
        <v/>
      </c>
      <c r="E924">
        <f>VLOOKUP(B924,[1]Namshi!$A:$B,2,0)</f>
        <v/>
      </c>
      <c r="F924" s="4">
        <f>SUMIFS('Dubai Stock'!I:I,'Dubai Stock'!H:H,Final_UAE!B:B)</f>
        <v/>
      </c>
      <c r="H924" s="8" t="e">
        <v>#N/A</v>
      </c>
      <c r="I924" s="8" t="n"/>
    </row>
    <row r="925">
      <c r="A925" s="4" t="n">
        <v>33834</v>
      </c>
      <c r="B925" s="4" t="inlineStr">
        <is>
          <t>sw100504-30s-000450-0504-53</t>
        </is>
      </c>
      <c r="C925" s="4" t="inlineStr">
        <is>
          <t>W00031886A</t>
        </is>
      </c>
      <c r="D925" s="6">
        <f>IF(F925&gt;=5, F925-5, IF(F925&lt;5, 0, F925))</f>
        <v/>
      </c>
      <c r="E925">
        <f>VLOOKUP(B925,[1]Namshi!$A:$B,2,0)</f>
        <v/>
      </c>
      <c r="F925" s="4">
        <f>SUMIFS('Dubai Stock'!I:I,'Dubai Stock'!H:H,Final_UAE!B:B)</f>
        <v/>
      </c>
      <c r="H925" s="8" t="e">
        <v>#N/A</v>
      </c>
    </row>
    <row r="926">
      <c r="A926" s="4" t="n">
        <v>33834</v>
      </c>
      <c r="B926" s="4" t="inlineStr">
        <is>
          <t>costdai-acu-dffr-p30-blue-sn0325</t>
        </is>
      </c>
      <c r="C926" s="4" t="inlineStr">
        <is>
          <t>W00031886A</t>
        </is>
      </c>
      <c r="D926" s="6">
        <f>IF(F926&gt;=5, F926-5, IF(F926&lt;5, 0, F926))</f>
        <v/>
      </c>
      <c r="E926">
        <f>VLOOKUP(B926,[1]Namshi!$A:$B,2,0)</f>
        <v/>
      </c>
      <c r="F926" s="4">
        <f>SUMIFS('Dubai Stock'!I:I,'Dubai Stock'!H:H,Final_UAE!B:B)</f>
        <v/>
      </c>
      <c r="H926" s="8" t="e">
        <v>#N/A</v>
      </c>
      <c r="I926" s="8" t="n"/>
    </row>
    <row r="927">
      <c r="A927" s="4" t="n">
        <v>33834</v>
      </c>
      <c r="B927" s="4" t="inlineStr">
        <is>
          <t>costmon-ama-2022-p02-tan-sn0200</t>
        </is>
      </c>
      <c r="C927" s="4" t="inlineStr">
        <is>
          <t>W00031886A</t>
        </is>
      </c>
      <c r="D927" s="6">
        <f>IF(F927&gt;=5, F927-5, IF(F927&lt;5, 0, F927))</f>
        <v/>
      </c>
      <c r="E927">
        <f>VLOOKUP(B927,[1]Namshi!$A:$B,2,0)</f>
        <v/>
      </c>
      <c r="F927" s="4">
        <f>SUMIFS('Dubai Stock'!I:I,'Dubai Stock'!H:H,Final_UAE!B:B)</f>
        <v/>
      </c>
      <c r="H927" s="8" t="e">
        <v>#N/A</v>
      </c>
      <c r="I927" s="8" t="n"/>
    </row>
    <row r="928">
      <c r="A928" s="4" t="n">
        <v>33834</v>
      </c>
      <c r="B928" s="4" t="inlineStr">
        <is>
          <t>clstdai-acu-omax-p90-sn0550</t>
        </is>
      </c>
      <c r="C928" s="4" t="inlineStr">
        <is>
          <t>W00031886A</t>
        </is>
      </c>
      <c r="D928" s="6">
        <f>IF(F928&gt;=5, F928-5, IF(F928&lt;5, 0, F928))</f>
        <v/>
      </c>
      <c r="E928">
        <f>VLOOKUP(B928,[1]Namshi!$A:$B,2,0)</f>
        <v/>
      </c>
      <c r="F928" s="4">
        <f>SUMIFS('Dubai Stock'!I:I,'Dubai Stock'!H:H,Final_UAE!B:B)</f>
        <v/>
      </c>
      <c r="H928" s="8" t="e">
        <v>#N/A</v>
      </c>
      <c r="I928" s="8" t="n"/>
    </row>
    <row r="929">
      <c r="A929" s="4" t="n">
        <v>33834</v>
      </c>
      <c r="B929" s="4" t="inlineStr">
        <is>
          <t>clstdai-lay-cont-p60-dazzle-black-sn0950</t>
        </is>
      </c>
      <c r="C929" s="4" t="inlineStr">
        <is>
          <t>W00031886A</t>
        </is>
      </c>
      <c r="D929" s="6">
        <f>IF(F929&gt;=5, F929-5, IF(F929&lt;5, 0, F929))</f>
        <v/>
      </c>
      <c r="E929">
        <f>VLOOKUP(B929,[1]Namshi!$A:$B,2,0)</f>
        <v/>
      </c>
      <c r="F929" s="4">
        <f>SUMIFS('Dubai Stock'!I:I,'Dubai Stock'!H:H,Final_UAE!B:B)</f>
        <v/>
      </c>
      <c r="H929" s="8" t="e">
        <v>#N/A</v>
      </c>
      <c r="I929" s="8" t="n"/>
    </row>
    <row r="930">
      <c r="A930" s="4" t="n">
        <v>33834</v>
      </c>
      <c r="B930" s="4" t="inlineStr">
        <is>
          <t>bc50618-bab-000504-0618-51</t>
        </is>
      </c>
      <c r="C930" s="4" t="inlineStr">
        <is>
          <t>W00031886A</t>
        </is>
      </c>
      <c r="D930" s="6">
        <f>IF(F930&gt;=5, F930-5, IF(F930&lt;5, 0, F930))</f>
        <v/>
      </c>
      <c r="E930">
        <f>VLOOKUP(B930,[1]Namshi!$A:$B,2,0)</f>
        <v/>
      </c>
      <c r="F930" s="4">
        <f>SUMIFS('Dubai Stock'!I:I,'Dubai Stock'!H:H,Final_UAE!B:B)</f>
        <v/>
      </c>
      <c r="H930" s="8" t="e">
        <v>#N/A</v>
      </c>
      <c r="I930" s="8" t="n"/>
    </row>
    <row r="931">
      <c r="A931" s="4" t="n">
        <v>33834</v>
      </c>
      <c r="B931" s="4" t="inlineStr">
        <is>
          <t>clstdai-acu-mois-p30-sp0050</t>
        </is>
      </c>
      <c r="C931" s="4" t="inlineStr">
        <is>
          <t>W00031886A</t>
        </is>
      </c>
      <c r="D931" s="6">
        <f>IF(F931&gt;=5, F931-5, IF(F931&lt;5, 0, F931))</f>
        <v/>
      </c>
      <c r="E931">
        <f>VLOOKUP(B931,[1]Namshi!$A:$B,2,0)</f>
        <v/>
      </c>
      <c r="F931" s="4">
        <f>SUMIFS('Dubai Stock'!I:I,'Dubai Stock'!H:H,Final_UAE!B:B)</f>
        <v/>
      </c>
      <c r="H931" s="8" t="e">
        <v>#N/A</v>
      </c>
      <c r="I931" s="8" t="n"/>
    </row>
    <row r="932">
      <c r="A932" s="4" t="n">
        <v>33834</v>
      </c>
      <c r="B932" s="4" t="inlineStr">
        <is>
          <t>su40404-30s-000287-0304-52</t>
        </is>
      </c>
      <c r="C932" s="4" t="inlineStr">
        <is>
          <t>W00031886A</t>
        </is>
      </c>
      <c r="D932" s="6">
        <f>IF(F932&gt;=5, F932-5, IF(F932&lt;5, 0, F932))</f>
        <v/>
      </c>
      <c r="E932">
        <f>VLOOKUP(B932,[1]Namshi!$A:$B,2,0)</f>
        <v/>
      </c>
      <c r="F932" s="4">
        <f>SUMIFS('Dubai Stock'!I:I,'Dubai Stock'!H:H,Final_UAE!B:B)</f>
        <v/>
      </c>
      <c r="H932" s="8" t="e">
        <v>#N/A</v>
      </c>
    </row>
    <row r="933">
      <c r="A933" s="4" t="n">
        <v>33834</v>
      </c>
      <c r="B933" s="4" t="inlineStr">
        <is>
          <t>clstdai-acu-mois-p60-sn1200</t>
        </is>
      </c>
      <c r="C933" s="4" t="inlineStr">
        <is>
          <t>W00031886A</t>
        </is>
      </c>
      <c r="D933" s="6">
        <f>IF(F933&gt;=5, F933-5, IF(F933&lt;5, 0, F933))</f>
        <v/>
      </c>
      <c r="E933">
        <f>VLOOKUP(B933,[1]Namshi!$A:$B,2,0)</f>
        <v/>
      </c>
      <c r="F933" s="4">
        <f>SUMIFS('Dubai Stock'!I:I,'Dubai Stock'!H:H,Final_UAE!B:B)</f>
        <v/>
      </c>
      <c r="H933" s="8" t="e">
        <v>#N/A</v>
      </c>
      <c r="I933" s="8" t="n"/>
    </row>
    <row r="934">
      <c r="A934" s="4" t="n">
        <v>33834</v>
      </c>
      <c r="B934" s="4" t="inlineStr">
        <is>
          <t>clstdai-lay-cont-p30-dazzle-black-sn1000</t>
        </is>
      </c>
      <c r="C934" s="4" t="inlineStr">
        <is>
          <t>W00031886A</t>
        </is>
      </c>
      <c r="D934" s="6">
        <f>IF(F934&gt;=5, F934-5, IF(F934&lt;5, 0, F934))</f>
        <v/>
      </c>
      <c r="E934">
        <f>VLOOKUP(B934,[1]Namshi!$A:$B,2,0)</f>
        <v/>
      </c>
      <c r="F934" s="4">
        <f>SUMIFS('Dubai Stock'!I:I,'Dubai Stock'!H:H,Final_UAE!B:B)</f>
        <v/>
      </c>
      <c r="H934" s="8" t="e">
        <v>#N/A</v>
      </c>
      <c r="I934" s="8" t="n"/>
    </row>
    <row r="935">
      <c r="A935" s="4" t="n">
        <v>33834</v>
      </c>
      <c r="B935" s="4" t="inlineStr">
        <is>
          <t>fw32318-spc-000841-2318-53</t>
        </is>
      </c>
      <c r="C935" s="4" t="inlineStr">
        <is>
          <t>W00031886A</t>
        </is>
      </c>
      <c r="D935" s="6">
        <f>IF(F935&gt;=5, F935-5, IF(F935&lt;5, 0, F935))</f>
        <v/>
      </c>
      <c r="E935">
        <f>VLOOKUP(B935,[1]Namshi!$A:$B,2,0)</f>
        <v/>
      </c>
      <c r="F935" s="4">
        <f>SUMIFS('Dubai Stock'!I:I,'Dubai Stock'!H:H,Final_UAE!B:B)</f>
        <v/>
      </c>
      <c r="H935" s="8" t="e">
        <v>#N/A</v>
      </c>
      <c r="I935" s="8" t="n"/>
    </row>
    <row r="936">
      <c r="A936" s="4" t="n">
        <v>33834</v>
      </c>
      <c r="B936" s="4" t="inlineStr">
        <is>
          <t>clstbiw-acu-oasy-p06-sn1200</t>
        </is>
      </c>
      <c r="C936" s="4" t="inlineStr">
        <is>
          <t>W00031886A</t>
        </is>
      </c>
      <c r="D936" s="6">
        <f>IF(F936&gt;=5, F936-5, IF(F936&lt;5, 0, F936))</f>
        <v/>
      </c>
      <c r="E936">
        <f>VLOOKUP(B936,[1]Namshi!$A:$B,2,0)</f>
        <v/>
      </c>
      <c r="F936" s="4">
        <f>SUMIFS('Dubai Stock'!I:I,'Dubai Stock'!H:H,Final_UAE!B:B)</f>
        <v/>
      </c>
      <c r="H936" s="8" t="e">
        <v>#N/A</v>
      </c>
      <c r="I936" s="8" t="n"/>
    </row>
    <row r="937">
      <c r="A937" s="4" t="n">
        <v>33834</v>
      </c>
      <c r="B937" s="4" t="inlineStr">
        <is>
          <t>cost3mo-lay-lens-p02-forest-green-sn0375</t>
        </is>
      </c>
      <c r="C937" s="4" t="inlineStr">
        <is>
          <t>W00031886A</t>
        </is>
      </c>
      <c r="D937" s="6">
        <f>IF(F937&gt;=5, F937-5, IF(F937&lt;5, 0, F937))</f>
        <v/>
      </c>
      <c r="E937">
        <f>VLOOKUP(B937,[1]Namshi!$A:$B,2,0)</f>
        <v/>
      </c>
      <c r="F937" s="4">
        <f>SUMIFS('Dubai Stock'!I:I,'Dubai Stock'!H:H,Final_UAE!B:B)</f>
        <v/>
      </c>
      <c r="H937" s="8" t="e">
        <v>#N/A</v>
      </c>
      <c r="I937" s="8" t="n"/>
    </row>
    <row r="938">
      <c r="A938" s="4" t="n">
        <v>33834</v>
      </c>
      <c r="B938" s="4" t="inlineStr">
        <is>
          <t>cost3mo-lay-2024-p02-moon-gray-sn0200</t>
        </is>
      </c>
      <c r="C938" s="4" t="inlineStr">
        <is>
          <t>W00031886A</t>
        </is>
      </c>
      <c r="D938" s="6">
        <f>IF(F938&gt;=5, F938-5, IF(F938&lt;5, 0, F938))</f>
        <v/>
      </c>
      <c r="E938">
        <f>VLOOKUP(B938,[1]Namshi!$A:$B,2,0)</f>
        <v/>
      </c>
      <c r="F938" s="4">
        <f>SUMIFS('Dubai Stock'!I:I,'Dubai Stock'!H:H,Final_UAE!B:B)</f>
        <v/>
      </c>
      <c r="H938" s="8" t="e">
        <v>#N/A</v>
      </c>
      <c r="I938" s="8" t="n"/>
    </row>
    <row r="939">
      <c r="A939" s="4" t="n">
        <v>33834</v>
      </c>
      <c r="B939" s="4" t="inlineStr">
        <is>
          <t>clstdai-eve-elit-p90-sp0200</t>
        </is>
      </c>
      <c r="C939" s="4" t="inlineStr">
        <is>
          <t>W00031886A</t>
        </is>
      </c>
      <c r="D939" s="6">
        <f>IF(F939&gt;=5, F939-5, IF(F939&lt;5, 0, F939))</f>
        <v/>
      </c>
      <c r="E939">
        <f>VLOOKUP(B939,[1]Namshi!$A:$B,2,0)</f>
        <v/>
      </c>
      <c r="F939" s="4">
        <f>SUMIFS('Dubai Stock'!I:I,'Dubai Stock'!H:H,Final_UAE!B:B)</f>
        <v/>
      </c>
      <c r="H939" s="8" t="n">
        <v>729</v>
      </c>
      <c r="I939" s="8" t="n">
        <v>357</v>
      </c>
    </row>
    <row r="940">
      <c r="A940" s="4" t="n">
        <v>33834</v>
      </c>
      <c r="B940" s="4" t="inlineStr">
        <is>
          <t>clstmon-eve-prom-p06-sp0350</t>
        </is>
      </c>
      <c r="C940" s="4" t="inlineStr">
        <is>
          <t>W00031886A</t>
        </is>
      </c>
      <c r="D940" s="6">
        <f>IF(F940&gt;=5, F940-5, IF(F940&lt;5, 0, F940))</f>
        <v/>
      </c>
      <c r="E940">
        <f>VLOOKUP(B940,[1]Namshi!$A:$B,2,0)</f>
        <v/>
      </c>
      <c r="F940" s="4">
        <f>SUMIFS('Dubai Stock'!I:I,'Dubai Stock'!H:H,Final_UAE!B:B)</f>
        <v/>
      </c>
      <c r="H940" s="8" t="n">
        <v>212</v>
      </c>
      <c r="I940" s="8" t="n">
        <v>111.3</v>
      </c>
    </row>
    <row r="941">
      <c r="A941" s="4" t="n">
        <v>33834</v>
      </c>
      <c r="B941" s="4" t="inlineStr">
        <is>
          <t>costdai-acu-dffr-p10-honey-sn0450</t>
        </is>
      </c>
      <c r="C941" s="4" t="inlineStr">
        <is>
          <t>W00031886A</t>
        </is>
      </c>
      <c r="D941" s="6">
        <f>IF(F941&gt;=5, F941-5, IF(F941&lt;5, 0, F941))</f>
        <v/>
      </c>
      <c r="E941">
        <f>VLOOKUP(B941,[1]Namshi!$A:$B,2,0)</f>
        <v/>
      </c>
      <c r="F941" s="4">
        <f>SUMIFS('Dubai Stock'!I:I,'Dubai Stock'!H:H,Final_UAE!B:B)</f>
        <v/>
      </c>
      <c r="H941" s="8" t="e">
        <v>#N/A</v>
      </c>
      <c r="I941" s="8" t="n"/>
    </row>
    <row r="942">
      <c r="A942" s="4" t="n">
        <v>33834</v>
      </c>
      <c r="B942" s="4" t="inlineStr">
        <is>
          <t>clstbiw-acu-cle-p06-sn0200</t>
        </is>
      </c>
      <c r="C942" s="4" t="inlineStr">
        <is>
          <t>W00031886A</t>
        </is>
      </c>
      <c r="D942" s="6">
        <f>IF(F942&gt;=5, F942-5, IF(F942&lt;5, 0, F942))</f>
        <v/>
      </c>
      <c r="E942">
        <f>VLOOKUP(B942,[1]Namshi!$A:$B,2,0)</f>
        <v/>
      </c>
      <c r="F942" s="4">
        <f>SUMIFS('Dubai Stock'!I:I,'Dubai Stock'!H:H,Final_UAE!B:B)</f>
        <v/>
      </c>
      <c r="H942" s="8" t="e">
        <v>#N/A</v>
      </c>
      <c r="I942" s="8" t="n"/>
    </row>
    <row r="943">
      <c r="A943" s="4" t="n">
        <v>33834</v>
      </c>
      <c r="B943" s="4" t="inlineStr">
        <is>
          <t>clstdai-acu-dfna-p90-sn0200</t>
        </is>
      </c>
      <c r="C943" s="4" t="inlineStr">
        <is>
          <t>W00031886A</t>
        </is>
      </c>
      <c r="D943" s="6">
        <f>IF(F943&gt;=5, F943-5, IF(F943&lt;5, 0, F943))</f>
        <v/>
      </c>
      <c r="E943">
        <f>VLOOKUP(B943,[1]Namshi!$A:$B,2,0)</f>
        <v/>
      </c>
      <c r="F943" s="4">
        <f>SUMIFS('Dubai Stock'!I:I,'Dubai Stock'!H:H,Final_UAE!B:B)</f>
        <v/>
      </c>
      <c r="H943" s="8" t="e">
        <v>#N/A</v>
      </c>
      <c r="I943" s="8" t="n"/>
    </row>
    <row r="944">
      <c r="A944" s="4" t="n">
        <v>33834</v>
      </c>
      <c r="B944" s="4" t="inlineStr">
        <is>
          <t>clstdai-acu-dfvi-p90-sn0100</t>
        </is>
      </c>
      <c r="C944" s="4" t="inlineStr">
        <is>
          <t>W00031886A</t>
        </is>
      </c>
      <c r="D944" s="6">
        <f>IF(F944&gt;=5, F944-5, IF(F944&lt;5, 0, F944))</f>
        <v/>
      </c>
      <c r="E944">
        <f>VLOOKUP(B944,[1]Namshi!$A:$B,2,0)</f>
        <v/>
      </c>
      <c r="F944" s="4">
        <f>SUMIFS('Dubai Stock'!I:I,'Dubai Stock'!H:H,Final_UAE!B:B)</f>
        <v/>
      </c>
      <c r="H944" s="8" t="e">
        <v>#N/A</v>
      </c>
      <c r="I944" s="8" t="n"/>
    </row>
    <row r="945">
      <c r="A945" s="4" t="n">
        <v>33834</v>
      </c>
      <c r="B945" s="4" t="inlineStr">
        <is>
          <t>clstdai-lay-cont-p60-dazzle-black-sn0700</t>
        </is>
      </c>
      <c r="C945" s="4" t="inlineStr">
        <is>
          <t>W00031886A</t>
        </is>
      </c>
      <c r="D945" s="6">
        <f>IF(F945&gt;=5, F945-5, IF(F945&lt;5, 0, F945))</f>
        <v/>
      </c>
      <c r="E945">
        <f>VLOOKUP(B945,[1]Namshi!$A:$B,2,0)</f>
        <v/>
      </c>
      <c r="F945" s="4">
        <f>SUMIFS('Dubai Stock'!I:I,'Dubai Stock'!H:H,Final_UAE!B:B)</f>
        <v/>
      </c>
      <c r="H945" s="8" t="e">
        <v>#N/A</v>
      </c>
      <c r="I945" s="8" t="n"/>
    </row>
    <row r="946">
      <c r="A946" s="4" t="n">
        <v>33834</v>
      </c>
      <c r="B946" s="4" t="inlineStr">
        <is>
          <t>clstbiw-acu-0002-p06-sn0550</t>
        </is>
      </c>
      <c r="C946" s="4" t="inlineStr">
        <is>
          <t>W00031886A</t>
        </is>
      </c>
      <c r="D946" s="6">
        <f>IF(F946&gt;=5, F946-5, IF(F946&lt;5, 0, F946))</f>
        <v/>
      </c>
      <c r="E946">
        <f>VLOOKUP(B946,[1]Namshi!$A:$B,2,0)</f>
        <v/>
      </c>
      <c r="F946" s="4">
        <f>SUMIFS('Dubai Stock'!I:I,'Dubai Stock'!H:H,Final_UAE!B:B)</f>
        <v/>
      </c>
      <c r="H946" s="8" t="e">
        <v>#N/A</v>
      </c>
      <c r="I946" s="8" t="n"/>
    </row>
    <row r="947">
      <c r="A947" s="4" t="n">
        <v>33834</v>
      </c>
      <c r="B947" s="4" t="inlineStr">
        <is>
          <t>clstbiw-acu-oasy-p06-sn1000</t>
        </is>
      </c>
      <c r="C947" s="4" t="inlineStr">
        <is>
          <t>W00031886A</t>
        </is>
      </c>
      <c r="D947" s="6">
        <f>IF(F947&gt;=5, F947-5, IF(F947&lt;5, 0, F947))</f>
        <v/>
      </c>
      <c r="E947">
        <f>VLOOKUP(B947,[1]Namshi!$A:$B,2,0)</f>
        <v/>
      </c>
      <c r="F947" s="4">
        <f>SUMIFS('Dubai Stock'!I:I,'Dubai Stock'!H:H,Final_UAE!B:B)</f>
        <v/>
      </c>
      <c r="H947" s="8" t="e">
        <v>#N/A</v>
      </c>
      <c r="I947" s="8" t="n"/>
    </row>
    <row r="948">
      <c r="A948" s="4" t="n">
        <v>33834</v>
      </c>
      <c r="B948" s="4" t="inlineStr">
        <is>
          <t>clstdai-acu-omax-p90-sn0050</t>
        </is>
      </c>
      <c r="C948" s="4" t="inlineStr">
        <is>
          <t>W00031886A</t>
        </is>
      </c>
      <c r="D948" s="6">
        <f>IF(F948&gt;=5, F948-5, IF(F948&lt;5, 0, F948))</f>
        <v/>
      </c>
      <c r="E948">
        <f>VLOOKUP(B948,[1]Namshi!$A:$B,2,0)</f>
        <v/>
      </c>
      <c r="F948" s="4">
        <f>SUMIFS('Dubai Stock'!I:I,'Dubai Stock'!H:H,Final_UAE!B:B)</f>
        <v/>
      </c>
      <c r="H948" s="8" t="e">
        <v>#N/A</v>
      </c>
      <c r="I948" s="8" t="n"/>
    </row>
    <row r="949">
      <c r="A949" s="4" t="n">
        <v>33834</v>
      </c>
      <c r="B949" s="4" t="inlineStr">
        <is>
          <t>cltobiw-acu-oasy-p06-sn0525-cn0075-a010</t>
        </is>
      </c>
      <c r="C949" s="4" t="inlineStr">
        <is>
          <t>W00031886A</t>
        </is>
      </c>
      <c r="D949" s="6">
        <f>IF(F949&gt;=5, F949-5, IF(F949&lt;5, 0, F949))</f>
        <v/>
      </c>
      <c r="E949">
        <f>VLOOKUP(B949,[1]Namshi!$A:$B,2,0)</f>
        <v/>
      </c>
      <c r="F949" s="4">
        <f>SUMIFS('Dubai Stock'!I:I,'Dubai Stock'!H:H,Final_UAE!B:B)</f>
        <v/>
      </c>
      <c r="H949" s="8" t="e">
        <v>#N/A</v>
      </c>
      <c r="I949" s="8" t="n"/>
    </row>
    <row r="950">
      <c r="A950" s="4" t="n">
        <v>33834</v>
      </c>
      <c r="B950" s="4" t="inlineStr">
        <is>
          <t>costdai-acu-dffr-p10-green-sn0600</t>
        </is>
      </c>
      <c r="C950" s="4" t="inlineStr">
        <is>
          <t>W00031886A</t>
        </is>
      </c>
      <c r="D950" s="6">
        <f>IF(F950&gt;=5, F950-5, IF(F950&lt;5, 0, F950))</f>
        <v/>
      </c>
      <c r="E950">
        <f>VLOOKUP(B950,[1]Namshi!$A:$B,2,0)</f>
        <v/>
      </c>
      <c r="F950" s="4">
        <f>SUMIFS('Dubai Stock'!I:I,'Dubai Stock'!H:H,Final_UAE!B:B)</f>
        <v/>
      </c>
      <c r="H950" s="8" t="e">
        <v>#N/A</v>
      </c>
      <c r="I950" s="8" t="n"/>
    </row>
    <row r="951">
      <c r="A951" s="4" t="n">
        <v>33834</v>
      </c>
      <c r="B951" s="4" t="inlineStr">
        <is>
          <t>cost3mo-cel-natu-p01-forest-green-sp0400</t>
        </is>
      </c>
      <c r="C951" s="4" t="inlineStr">
        <is>
          <t>W00031886A</t>
        </is>
      </c>
      <c r="D951" s="6">
        <f>IF(F951&gt;=5, F951-5, IF(F951&lt;5, 0, F951))</f>
        <v/>
      </c>
      <c r="E951">
        <f>VLOOKUP(B951,[1]Namshi!$A:$B,2,0)</f>
        <v/>
      </c>
      <c r="F951" s="4">
        <f>SUMIFS('Dubai Stock'!I:I,'Dubai Stock'!H:H,Final_UAE!B:B)</f>
        <v/>
      </c>
      <c r="H951" s="8" t="e">
        <v>#N/A</v>
      </c>
      <c r="I951" s="8" t="n"/>
    </row>
    <row r="952">
      <c r="A952" s="4" t="n">
        <v>33834</v>
      </c>
      <c r="B952" s="4" t="inlineStr">
        <is>
          <t>clstdai-lay-cont-p30-dazzle-brown-sn0450</t>
        </is>
      </c>
      <c r="C952" s="4" t="inlineStr">
        <is>
          <t>W00031886A</t>
        </is>
      </c>
      <c r="D952" s="6">
        <f>IF(F952&gt;=5, F952-5, IF(F952&lt;5, 0, F952))</f>
        <v/>
      </c>
      <c r="E952">
        <f>VLOOKUP(B952,[1]Namshi!$A:$B,2,0)</f>
        <v/>
      </c>
      <c r="F952" s="4">
        <f>SUMIFS('Dubai Stock'!I:I,'Dubai Stock'!H:H,Final_UAE!B:B)</f>
        <v/>
      </c>
      <c r="H952" s="8" t="e">
        <v>#N/A</v>
      </c>
      <c r="I952" s="8" t="n"/>
    </row>
    <row r="953">
      <c r="A953" s="4" t="n">
        <v>33834</v>
      </c>
      <c r="B953" s="4" t="inlineStr">
        <is>
          <t>clstmon-sof-sl59-p06-sp0250</t>
        </is>
      </c>
      <c r="C953" s="4" t="inlineStr">
        <is>
          <t>W00031886A</t>
        </is>
      </c>
      <c r="D953" s="6">
        <f>IF(F953&gt;=5, F953-5, IF(F953&lt;5, 0, F953))</f>
        <v/>
      </c>
      <c r="E953">
        <f>VLOOKUP(B953,[1]Namshi!$A:$B,2,0)</f>
        <v/>
      </c>
      <c r="F953" s="4">
        <f>SUMIFS('Dubai Stock'!I:I,'Dubai Stock'!H:H,Final_UAE!B:B)</f>
        <v/>
      </c>
      <c r="H953" s="8" t="e">
        <v>#N/A</v>
      </c>
      <c r="I953" s="8" t="n"/>
    </row>
    <row r="954">
      <c r="A954" s="4" t="n">
        <v>33834</v>
      </c>
      <c r="B954" s="4" t="inlineStr">
        <is>
          <t>sw50107-30s-000115-0107-61</t>
        </is>
      </c>
      <c r="C954" s="4" t="inlineStr">
        <is>
          <t>W00031886A</t>
        </is>
      </c>
      <c r="D954" s="6">
        <f>IF(F954&gt;=5, F954-5, IF(F954&lt;5, 0, F954))</f>
        <v/>
      </c>
      <c r="E954">
        <f>VLOOKUP(B954,[1]Namshi!$A:$B,2,0)</f>
        <v/>
      </c>
      <c r="F954" s="4">
        <f>SUMIFS('Dubai Stock'!I:I,'Dubai Stock'!H:H,Final_UAE!B:B)</f>
        <v/>
      </c>
      <c r="H954" s="8" t="e">
        <v>#N/A</v>
      </c>
    </row>
    <row r="955">
      <c r="A955" s="4" t="n">
        <v>33834</v>
      </c>
      <c r="B955" s="4" t="inlineStr">
        <is>
          <t>clstdai-acu-oasy-p90-sp0800</t>
        </is>
      </c>
      <c r="C955" s="4" t="inlineStr">
        <is>
          <t>W00031886A</t>
        </is>
      </c>
      <c r="D955" s="6">
        <f>IF(F955&gt;=5, F955-5, IF(F955&lt;5, 0, F955))</f>
        <v/>
      </c>
      <c r="E955">
        <f>VLOOKUP(B955,[1]Namshi!$A:$B,2,0)</f>
        <v/>
      </c>
      <c r="F955" s="4">
        <f>SUMIFS('Dubai Stock'!I:I,'Dubai Stock'!H:H,Final_UAE!B:B)</f>
        <v/>
      </c>
      <c r="H955" s="8" t="e">
        <v>#N/A</v>
      </c>
      <c r="I955" s="8" t="n"/>
    </row>
    <row r="956">
      <c r="A956" s="4" t="n">
        <v>33834</v>
      </c>
      <c r="B956" s="4" t="inlineStr">
        <is>
          <t>clstdai-eve-pure-p90-sn0700</t>
        </is>
      </c>
      <c r="C956" s="4" t="inlineStr">
        <is>
          <t>W00031886A</t>
        </is>
      </c>
      <c r="D956" s="6">
        <f>IF(F956&gt;=5, F956-5, IF(F956&lt;5, 0, F956))</f>
        <v/>
      </c>
      <c r="E956">
        <f>VLOOKUP(B956,[1]Namshi!$A:$B,2,0)</f>
        <v/>
      </c>
      <c r="F956" s="4">
        <f>SUMIFS('Dubai Stock'!I:I,'Dubai Stock'!H:H,Final_UAE!B:B)</f>
        <v/>
      </c>
      <c r="H956" s="8" t="n">
        <v>529</v>
      </c>
      <c r="I956" s="8" t="n">
        <v>259</v>
      </c>
    </row>
    <row r="957">
      <c r="A957" s="4" t="n">
        <v>33834</v>
      </c>
      <c r="B957" s="4" t="inlineStr">
        <is>
          <t>clstdai-acu-mois-p120-sn0850</t>
        </is>
      </c>
      <c r="C957" s="4" t="inlineStr">
        <is>
          <t>W00031886A</t>
        </is>
      </c>
      <c r="D957" s="6">
        <f>IF(F957&gt;=5, F957-5, IF(F957&lt;5, 0, F957))</f>
        <v/>
      </c>
      <c r="E957">
        <f>VLOOKUP(B957,[1]Namshi!$A:$B,2,0)</f>
        <v/>
      </c>
      <c r="F957" s="4">
        <f>SUMIFS('Dubai Stock'!I:I,'Dubai Stock'!H:H,Final_UAE!B:B)</f>
        <v/>
      </c>
      <c r="H957" s="8" t="e">
        <v>#N/A</v>
      </c>
      <c r="I957" s="8" t="n"/>
    </row>
    <row r="958">
      <c r="A958" s="4" t="n">
        <v>33834</v>
      </c>
      <c r="B958" s="4" t="inlineStr">
        <is>
          <t>clstdai-eve-elit-p30-sn0450</t>
        </is>
      </c>
      <c r="C958" s="4" t="inlineStr">
        <is>
          <t>W00031886A</t>
        </is>
      </c>
      <c r="D958" s="6">
        <f>IF(F958&gt;=5, F958-5, IF(F958&lt;5, 0, F958))</f>
        <v/>
      </c>
      <c r="E958">
        <f>VLOOKUP(B958,[1]Namshi!$A:$B,2,0)</f>
        <v/>
      </c>
      <c r="F958" s="4">
        <f>SUMIFS('Dubai Stock'!I:I,'Dubai Stock'!H:H,Final_UAE!B:B)</f>
        <v/>
      </c>
      <c r="H958" s="8" t="n">
        <v>261</v>
      </c>
      <c r="I958" s="8" t="n">
        <v>146.3</v>
      </c>
    </row>
    <row r="959">
      <c r="A959" s="4" t="n">
        <v>33834</v>
      </c>
      <c r="B959" s="4" t="inlineStr">
        <is>
          <t>clstbiw-acu-oasy-p06-sn0050</t>
        </is>
      </c>
      <c r="C959" s="4" t="inlineStr">
        <is>
          <t>W00031886A</t>
        </is>
      </c>
      <c r="D959" s="6">
        <f>IF(F959&gt;=5, F959-5, IF(F959&lt;5, 0, F959))</f>
        <v/>
      </c>
      <c r="E959">
        <f>VLOOKUP(B959,[1]Namshi!$A:$B,2,0)</f>
        <v/>
      </c>
      <c r="F959" s="4">
        <f>SUMIFS('Dubai Stock'!I:I,'Dubai Stock'!H:H,Final_UAE!B:B)</f>
        <v/>
      </c>
      <c r="H959" s="8" t="e">
        <v>#N/A</v>
      </c>
      <c r="I959" s="8" t="n"/>
    </row>
    <row r="960">
      <c r="A960" s="4" t="n">
        <v>33834</v>
      </c>
      <c r="B960" s="4" t="inlineStr">
        <is>
          <t>su11207-30s-000230-1207-58</t>
        </is>
      </c>
      <c r="C960" s="4" t="inlineStr">
        <is>
          <t>W00031886A</t>
        </is>
      </c>
      <c r="D960" s="6">
        <f>IF(F960&gt;=5, F960-5, IF(F960&lt;5, 0, F960))</f>
        <v/>
      </c>
      <c r="E960">
        <f>VLOOKUP(B960,[1]Namshi!$A:$B,2,0)</f>
        <v/>
      </c>
      <c r="F960" s="4">
        <f>SUMIFS('Dubai Stock'!I:I,'Dubai Stock'!H:H,Final_UAE!B:B)</f>
        <v/>
      </c>
      <c r="H960" s="8" t="e">
        <v>#N/A</v>
      </c>
    </row>
    <row r="961">
      <c r="A961" s="4" t="n">
        <v>33834</v>
      </c>
      <c r="B961" s="4" t="inlineStr">
        <is>
          <t>sm50707-30s-000210-0707-60</t>
        </is>
      </c>
      <c r="C961" s="4" t="inlineStr">
        <is>
          <t>W00031886A</t>
        </is>
      </c>
      <c r="D961" s="6">
        <f>IF(F961&gt;=5, F961-5, IF(F961&lt;5, 0, F961))</f>
        <v/>
      </c>
      <c r="E961">
        <f>VLOOKUP(B961,[1]Namshi!$A:$B,2,0)</f>
        <v/>
      </c>
      <c r="F961" s="4">
        <f>SUMIFS('Dubai Stock'!I:I,'Dubai Stock'!H:H,Final_UAE!B:B)</f>
        <v/>
      </c>
      <c r="H961" s="8" t="e">
        <v>#N/A</v>
      </c>
    </row>
    <row r="962">
      <c r="A962" s="4" t="n">
        <v>33834</v>
      </c>
      <c r="B962" s="4" t="inlineStr">
        <is>
          <t>sacchan-30s-deja-gold</t>
        </is>
      </c>
      <c r="C962" s="4" t="inlineStr">
        <is>
          <t>W00031886A</t>
        </is>
      </c>
      <c r="D962" s="6">
        <f>IF(F962&gt;=5, F962-5, IF(F962&lt;5, 0, F962))</f>
        <v/>
      </c>
      <c r="E962">
        <f>VLOOKUP(B962,[1]Namshi!$A:$B,2,0)</f>
        <v/>
      </c>
      <c r="F962" s="4">
        <f>SUMIFS('Dubai Stock'!I:I,'Dubai Stock'!H:H,Final_UAE!B:B)</f>
        <v/>
      </c>
      <c r="H962" s="8" t="e">
        <v>#N/A</v>
      </c>
      <c r="I962" s="8" t="n"/>
    </row>
    <row r="963">
      <c r="A963" s="4" t="n">
        <v>33834</v>
      </c>
      <c r="B963" s="4" t="inlineStr">
        <is>
          <t>clstdai-btr-oned-p90-sn0150</t>
        </is>
      </c>
      <c r="C963" s="4" t="inlineStr">
        <is>
          <t>W00031886A</t>
        </is>
      </c>
      <c r="D963" s="6">
        <f>IF(F963&gt;=5, F963-5, IF(F963&lt;5, 0, F963))</f>
        <v/>
      </c>
      <c r="E963">
        <f>VLOOKUP(B963,[1]Namshi!$A:$B,2,0)</f>
        <v/>
      </c>
      <c r="F963" s="4">
        <f>SUMIFS('Dubai Stock'!I:I,'Dubai Stock'!H:H,Final_UAE!B:B)</f>
        <v/>
      </c>
      <c r="H963" s="8" t="e">
        <v>#N/A</v>
      </c>
      <c r="I963" s="8" t="n"/>
    </row>
    <row r="964">
      <c r="A964" s="4" t="n">
        <v>33834</v>
      </c>
      <c r="B964" s="4" t="inlineStr">
        <is>
          <t>costmon-ama-lens-p02-crocodile-green-sn0200</t>
        </is>
      </c>
      <c r="C964" s="4" t="inlineStr">
        <is>
          <t>W00031886A</t>
        </is>
      </c>
      <c r="D964" s="6">
        <f>IF(F964&gt;=5, F964-5, IF(F964&lt;5, 0, F964))</f>
        <v/>
      </c>
      <c r="E964">
        <f>VLOOKUP(B964,[1]Namshi!$A:$B,2,0)</f>
        <v/>
      </c>
      <c r="F964" s="4">
        <f>SUMIFS('Dubai Stock'!I:I,'Dubai Stock'!H:H,Final_UAE!B:B)</f>
        <v/>
      </c>
      <c r="H964" s="8" t="e">
        <v>#N/A</v>
      </c>
      <c r="I964" s="8" t="n"/>
    </row>
    <row r="965">
      <c r="A965" s="4" t="n">
        <v>33834</v>
      </c>
      <c r="B965" s="4" t="inlineStr">
        <is>
          <t>clstdai-acu-oasy-p90-sp0275</t>
        </is>
      </c>
      <c r="C965" s="4" t="inlineStr">
        <is>
          <t>W00031886A</t>
        </is>
      </c>
      <c r="D965" s="6">
        <f>IF(F965&gt;=5, F965-5, IF(F965&lt;5, 0, F965))</f>
        <v/>
      </c>
      <c r="E965">
        <f>VLOOKUP(B965,[1]Namshi!$A:$B,2,0)</f>
        <v/>
      </c>
      <c r="F965" s="4">
        <f>SUMIFS('Dubai Stock'!I:I,'Dubai Stock'!H:H,Final_UAE!B:B)</f>
        <v/>
      </c>
      <c r="H965" s="8" t="e">
        <v>#N/A</v>
      </c>
      <c r="I965" s="8" t="n"/>
    </row>
    <row r="966">
      <c r="A966" s="4" t="n">
        <v>33834</v>
      </c>
      <c r="B966" s="4" t="inlineStr">
        <is>
          <t>costmon-ama-lens-p02-dark-sepia-sn0200</t>
        </is>
      </c>
      <c r="C966" s="4" t="inlineStr">
        <is>
          <t>W00031886A</t>
        </is>
      </c>
      <c r="D966" s="6">
        <f>IF(F966&gt;=5, F966-5, IF(F966&lt;5, 0, F966))</f>
        <v/>
      </c>
      <c r="E966">
        <f>VLOOKUP(B966,[1]Namshi!$A:$B,2,0)</f>
        <v/>
      </c>
      <c r="F966" s="4">
        <f>SUMIFS('Dubai Stock'!I:I,'Dubai Stock'!H:H,Final_UAE!B:B)</f>
        <v/>
      </c>
      <c r="H966" s="8" t="e">
        <v>#N/A</v>
      </c>
      <c r="I966" s="8" t="n"/>
    </row>
    <row r="967">
      <c r="A967" s="4" t="n">
        <v>33834</v>
      </c>
      <c r="B967" s="4" t="inlineStr">
        <is>
          <t>sw20406-30s-000129-0406-51</t>
        </is>
      </c>
      <c r="C967" s="4" t="inlineStr">
        <is>
          <t>W00031886A</t>
        </is>
      </c>
      <c r="D967" s="6">
        <f>IF(F967&gt;=5, F967-5, IF(F967&lt;5, 0, F967))</f>
        <v/>
      </c>
      <c r="E967">
        <f>VLOOKUP(B967,[1]Namshi!$A:$B,2,0)</f>
        <v/>
      </c>
      <c r="F967" s="4">
        <f>SUMIFS('Dubai Stock'!I:I,'Dubai Stock'!H:H,Final_UAE!B:B)</f>
        <v/>
      </c>
      <c r="H967" s="8" t="e">
        <v>#N/A</v>
      </c>
    </row>
    <row r="968">
      <c r="A968" s="4" t="n">
        <v>33834</v>
      </c>
      <c r="B968" s="4" t="inlineStr">
        <is>
          <t>clstdai-acu-mois-p30-sp0150</t>
        </is>
      </c>
      <c r="C968" s="4" t="inlineStr">
        <is>
          <t>W00031886A</t>
        </is>
      </c>
      <c r="D968" s="6">
        <f>IF(F968&gt;=5, F968-5, IF(F968&lt;5, 0, F968))</f>
        <v/>
      </c>
      <c r="E968">
        <f>VLOOKUP(B968,[1]Namshi!$A:$B,2,0)</f>
        <v/>
      </c>
      <c r="F968" s="4">
        <f>SUMIFS('Dubai Stock'!I:I,'Dubai Stock'!H:H,Final_UAE!B:B)</f>
        <v/>
      </c>
      <c r="H968" s="8" t="e">
        <v>#N/A</v>
      </c>
      <c r="I968" s="8" t="n"/>
    </row>
    <row r="969">
      <c r="A969" s="4" t="n">
        <v>33834</v>
      </c>
      <c r="B969" s="4" t="inlineStr">
        <is>
          <t>clstdai-lay-cont-p10-dazzle-black-sn0550</t>
        </is>
      </c>
      <c r="C969" s="4" t="inlineStr">
        <is>
          <t>W00031886A</t>
        </is>
      </c>
      <c r="D969" s="6">
        <f>IF(F969&gt;=5, F969-5, IF(F969&lt;5, 0, F969))</f>
        <v/>
      </c>
      <c r="E969">
        <f>VLOOKUP(B969,[1]Namshi!$A:$B,2,0)</f>
        <v/>
      </c>
      <c r="F969" s="4">
        <f>SUMIFS('Dubai Stock'!I:I,'Dubai Stock'!H:H,Final_UAE!B:B)</f>
        <v/>
      </c>
      <c r="H969" s="8" t="e">
        <v>#N/A</v>
      </c>
      <c r="I969" s="8" t="n"/>
    </row>
    <row r="970">
      <c r="A970" s="4" t="n">
        <v>33834</v>
      </c>
      <c r="B970" s="4" t="inlineStr">
        <is>
          <t>clstdai-eve-pure-p90-sn0650</t>
        </is>
      </c>
      <c r="C970" s="4" t="inlineStr">
        <is>
          <t>W00031886A</t>
        </is>
      </c>
      <c r="D970" s="6">
        <f>IF(F970&gt;=5, F970-5, IF(F970&lt;5, 0, F970))</f>
        <v/>
      </c>
      <c r="E970">
        <f>VLOOKUP(B970,[1]Namshi!$A:$B,2,0)</f>
        <v/>
      </c>
      <c r="F970" s="4">
        <f>SUMIFS('Dubai Stock'!I:I,'Dubai Stock'!H:H,Final_UAE!B:B)</f>
        <v/>
      </c>
      <c r="H970" s="8" t="n">
        <v>529</v>
      </c>
      <c r="I970" s="8" t="n">
        <v>259</v>
      </c>
    </row>
    <row r="971">
      <c r="A971" s="4" t="n">
        <v>33834</v>
      </c>
      <c r="B971" s="4" t="inlineStr">
        <is>
          <t>clstmon-eve-prom-p06-sp0200</t>
        </is>
      </c>
      <c r="C971" s="4" t="inlineStr">
        <is>
          <t>W00031886A</t>
        </is>
      </c>
      <c r="D971" s="6">
        <f>IF(F971&gt;=5, F971-5, IF(F971&lt;5, 0, F971))</f>
        <v/>
      </c>
      <c r="E971">
        <f>VLOOKUP(B971,[1]Namshi!$A:$B,2,0)</f>
        <v/>
      </c>
      <c r="F971" s="4">
        <f>SUMIFS('Dubai Stock'!I:I,'Dubai Stock'!H:H,Final_UAE!B:B)</f>
        <v/>
      </c>
      <c r="H971" s="8" t="n">
        <v>212</v>
      </c>
      <c r="I971" s="8" t="n">
        <v>111.3</v>
      </c>
    </row>
    <row r="972">
      <c r="A972" s="4" t="n">
        <v>33834</v>
      </c>
      <c r="B972" s="4" t="inlineStr">
        <is>
          <t>costdai-acu-dffr-p10-hazel-sn0500</t>
        </is>
      </c>
      <c r="C972" s="4" t="inlineStr">
        <is>
          <t>W00031886A</t>
        </is>
      </c>
      <c r="D972" s="6">
        <f>IF(F972&gt;=5, F972-5, IF(F972&lt;5, 0, F972))</f>
        <v/>
      </c>
      <c r="E972">
        <f>VLOOKUP(B972,[1]Namshi!$A:$B,2,0)</f>
        <v/>
      </c>
      <c r="F972" s="4">
        <f>SUMIFS('Dubai Stock'!I:I,'Dubai Stock'!H:H,Final_UAE!B:B)</f>
        <v/>
      </c>
      <c r="H972" s="8" t="e">
        <v>#N/A</v>
      </c>
      <c r="I972" s="8" t="n"/>
    </row>
    <row r="973">
      <c r="A973" s="4" t="n">
        <v>33834</v>
      </c>
      <c r="B973" s="4" t="inlineStr">
        <is>
          <t>cost3mo-lay-2022-p02-royal-green-sn0225</t>
        </is>
      </c>
      <c r="C973" s="4" t="inlineStr">
        <is>
          <t>W00031886A</t>
        </is>
      </c>
      <c r="D973" s="6">
        <f>IF(F973&gt;=5, F973-5, IF(F973&lt;5, 0, F973))</f>
        <v/>
      </c>
      <c r="E973">
        <f>VLOOKUP(B973,[1]Namshi!$A:$B,2,0)</f>
        <v/>
      </c>
      <c r="F973" s="4">
        <f>SUMIFS('Dubai Stock'!I:I,'Dubai Stock'!H:H,Final_UAE!B:B)</f>
        <v/>
      </c>
      <c r="H973" s="8" t="e">
        <v>#N/A</v>
      </c>
      <c r="I973" s="8" t="n"/>
    </row>
    <row r="974">
      <c r="A974" s="4" t="n">
        <v>33834</v>
      </c>
      <c r="B974" s="4" t="inlineStr">
        <is>
          <t>sw30506-bla-000104-2706-59</t>
        </is>
      </c>
      <c r="C974" s="4" t="inlineStr">
        <is>
          <t>W00031886A</t>
        </is>
      </c>
      <c r="D974" s="6">
        <f>IF(F974&gt;=5, F974-5, IF(F974&lt;5, 0, F974))</f>
        <v/>
      </c>
      <c r="E974">
        <f>VLOOKUP(B974,[1]Namshi!$A:$B,2,0)</f>
        <v/>
      </c>
      <c r="F974" s="4">
        <f>SUMIFS('Dubai Stock'!I:I,'Dubai Stock'!H:H,Final_UAE!B:B)</f>
        <v/>
      </c>
      <c r="H974" s="8" t="e">
        <v>#N/A</v>
      </c>
    </row>
    <row r="975">
      <c r="A975" s="4" t="n">
        <v>33834</v>
      </c>
      <c r="B975" s="4" t="inlineStr">
        <is>
          <t>cost3mo-lay-lens-p02-forest-green-sn0300</t>
        </is>
      </c>
      <c r="C975" s="4" t="inlineStr">
        <is>
          <t>W00031886A</t>
        </is>
      </c>
      <c r="D975" s="6">
        <f>IF(F975&gt;=5, F975-5, IF(F975&lt;5, 0, F975))</f>
        <v/>
      </c>
      <c r="E975">
        <f>VLOOKUP(B975,[1]Namshi!$A:$B,2,0)</f>
        <v/>
      </c>
      <c r="F975" s="4">
        <f>SUMIFS('Dubai Stock'!I:I,'Dubai Stock'!H:H,Final_UAE!B:B)</f>
        <v/>
      </c>
      <c r="H975" s="8" t="e">
        <v>#N/A</v>
      </c>
      <c r="I975" s="8" t="n"/>
    </row>
    <row r="976">
      <c r="A976" s="4" t="n">
        <v>33834</v>
      </c>
      <c r="B976" s="4" t="inlineStr">
        <is>
          <t>sw32604-30s-000264-2604-54</t>
        </is>
      </c>
      <c r="C976" s="4" t="inlineStr">
        <is>
          <t>W00031886A</t>
        </is>
      </c>
      <c r="D976" s="6">
        <f>IF(F976&gt;=5, F976-5, IF(F976&lt;5, 0, F976))</f>
        <v/>
      </c>
      <c r="E976">
        <f>VLOOKUP(B976,[1]Namshi!$A:$B,2,0)</f>
        <v/>
      </c>
      <c r="F976" s="4">
        <f>SUMIFS('Dubai Stock'!I:I,'Dubai Stock'!H:H,Final_UAE!B:B)</f>
        <v/>
      </c>
      <c r="H976" s="8" t="e">
        <v>#N/A</v>
      </c>
    </row>
    <row r="977">
      <c r="A977" s="4" t="n">
        <v>33834</v>
      </c>
      <c r="B977" s="4" t="inlineStr">
        <is>
          <t>sc51402-bab-000503-1402-46</t>
        </is>
      </c>
      <c r="C977" s="4" t="inlineStr">
        <is>
          <t>W00031886A</t>
        </is>
      </c>
      <c r="D977" s="6">
        <f>IF(F977&gt;=5, F977-5, IF(F977&lt;5, 0, F977))</f>
        <v/>
      </c>
      <c r="E977">
        <f>VLOOKUP(B977,[1]Namshi!$A:$B,2,0)</f>
        <v/>
      </c>
      <c r="F977" s="4">
        <f>SUMIFS('Dubai Stock'!I:I,'Dubai Stock'!H:H,Final_UAE!B:B)</f>
        <v/>
      </c>
      <c r="H977" s="8" t="e">
        <v>#N/A</v>
      </c>
    </row>
    <row r="978">
      <c r="A978" s="4" t="n">
        <v>33834</v>
      </c>
      <c r="B978" s="4" t="inlineStr">
        <is>
          <t>clstdai-dai-tot1-p30-sn0375</t>
        </is>
      </c>
      <c r="C978" s="4" t="inlineStr">
        <is>
          <t>W00031886A</t>
        </is>
      </c>
      <c r="D978" s="6">
        <f>IF(F978&gt;=5, F978-5, IF(F978&lt;5, 0, F978))</f>
        <v/>
      </c>
      <c r="E978">
        <f>VLOOKUP(B978,[1]Namshi!$A:$B,2,0)</f>
        <v/>
      </c>
      <c r="F978" s="4">
        <f>SUMIFS('Dubai Stock'!I:I,'Dubai Stock'!H:H,Final_UAE!B:B)</f>
        <v/>
      </c>
      <c r="H978" s="8" t="e">
        <v>#N/A</v>
      </c>
      <c r="I978" s="8" t="n"/>
    </row>
    <row r="979">
      <c r="A979" s="4" t="n">
        <v>33834</v>
      </c>
      <c r="B979" s="4" t="inlineStr">
        <is>
          <t>costmon-ama-2020-p02-charcoal-gray-sn0550</t>
        </is>
      </c>
      <c r="C979" s="4" t="inlineStr">
        <is>
          <t>W00031886A</t>
        </is>
      </c>
      <c r="D979" s="6">
        <f>IF(F979&gt;=5, F979-5, IF(F979&lt;5, 0, F979))</f>
        <v/>
      </c>
      <c r="E979">
        <f>VLOOKUP(B979,[1]Namshi!$A:$B,2,0)</f>
        <v/>
      </c>
      <c r="F979" s="4">
        <f>SUMIFS('Dubai Stock'!I:I,'Dubai Stock'!H:H,Final_UAE!B:B)</f>
        <v/>
      </c>
      <c r="H979" s="8" t="e">
        <v>#N/A</v>
      </c>
      <c r="I979" s="8" t="n"/>
    </row>
    <row r="980">
      <c r="A980" s="4" t="n">
        <v>33834</v>
      </c>
      <c r="B980" s="4" t="inlineStr">
        <is>
          <t>clstdai-eve-pure-p30-sn0125</t>
        </is>
      </c>
      <c r="C980" s="4" t="inlineStr">
        <is>
          <t>W00031886A</t>
        </is>
      </c>
      <c r="D980" s="6">
        <f>IF(F980&gt;=5, F980-5, IF(F980&lt;5, 0, F980))</f>
        <v/>
      </c>
      <c r="E980">
        <f>VLOOKUP(B980,[1]Namshi!$A:$B,2,0)</f>
        <v/>
      </c>
      <c r="F980" s="4">
        <f>SUMIFS('Dubai Stock'!I:I,'Dubai Stock'!H:H,Final_UAE!B:B)</f>
        <v/>
      </c>
      <c r="H980" s="8" t="n">
        <v>186</v>
      </c>
      <c r="I980" s="8" t="n">
        <v>104.3</v>
      </c>
    </row>
    <row r="981">
      <c r="A981" s="4" t="n">
        <v>33834</v>
      </c>
      <c r="B981" s="4" t="inlineStr">
        <is>
          <t>clstdai-lay-cont-p60-dazzle-brown-sn0075</t>
        </is>
      </c>
      <c r="C981" s="4" t="inlineStr">
        <is>
          <t>W00031886A</t>
        </is>
      </c>
      <c r="D981" s="6">
        <f>IF(F981&gt;=5, F981-5, IF(F981&lt;5, 0, F981))</f>
        <v/>
      </c>
      <c r="E981">
        <f>VLOOKUP(B981,[1]Namshi!$A:$B,2,0)</f>
        <v/>
      </c>
      <c r="F981" s="4">
        <f>SUMIFS('Dubai Stock'!I:I,'Dubai Stock'!H:H,Final_UAE!B:B)</f>
        <v/>
      </c>
      <c r="H981" s="8" t="e">
        <v>#N/A</v>
      </c>
      <c r="I981" s="8" t="n"/>
    </row>
    <row r="982">
      <c r="A982" s="4" t="n">
        <v>33834</v>
      </c>
      <c r="B982" s="4" t="inlineStr">
        <is>
          <t>fw30518-spc-000841-0518-53</t>
        </is>
      </c>
      <c r="C982" s="4" t="inlineStr">
        <is>
          <t>W00031886A</t>
        </is>
      </c>
      <c r="D982" s="6">
        <f>IF(F982&gt;=5, F982-5, IF(F982&lt;5, 0, F982))</f>
        <v/>
      </c>
      <c r="E982">
        <f>VLOOKUP(B982,[1]Namshi!$A:$B,2,0)</f>
        <v/>
      </c>
      <c r="F982" s="4">
        <f>SUMIFS('Dubai Stock'!I:I,'Dubai Stock'!H:H,Final_UAE!B:B)</f>
        <v/>
      </c>
      <c r="H982" s="8" t="e">
        <v>#N/A</v>
      </c>
      <c r="I982" s="8" t="n"/>
    </row>
    <row r="983">
      <c r="A983" s="4" t="n">
        <v>33834</v>
      </c>
      <c r="B983" s="4" t="inlineStr">
        <is>
          <t>fw20618-spc-000563-0600-49</t>
        </is>
      </c>
      <c r="C983" s="4" t="inlineStr">
        <is>
          <t>W00031886A</t>
        </is>
      </c>
      <c r="D983" s="6">
        <f>IF(F983&gt;=5, F983-5, IF(F983&lt;5, 0, F983))</f>
        <v/>
      </c>
      <c r="E983">
        <f>VLOOKUP(B983,[1]Namshi!$A:$B,2,0)</f>
        <v/>
      </c>
      <c r="F983" s="4">
        <f>SUMIFS('Dubai Stock'!I:I,'Dubai Stock'!H:H,Final_UAE!B:B)</f>
        <v/>
      </c>
      <c r="H983" s="8" t="e">
        <v>#N/A</v>
      </c>
      <c r="I983" s="8" t="n"/>
    </row>
    <row r="984">
      <c r="A984" s="4" t="n">
        <v>33834</v>
      </c>
      <c r="B984" s="4" t="inlineStr">
        <is>
          <t>costmon-ama-2022-p02-tiger-eyes-sn0075</t>
        </is>
      </c>
      <c r="C984" s="4" t="inlineStr">
        <is>
          <t>W00031886A</t>
        </is>
      </c>
      <c r="D984" s="6">
        <f>IF(F984&gt;=5, F984-5, IF(F984&lt;5, 0, F984))</f>
        <v/>
      </c>
      <c r="E984">
        <f>VLOOKUP(B984,[1]Namshi!$A:$B,2,0)</f>
        <v/>
      </c>
      <c r="F984" s="4">
        <f>SUMIFS('Dubai Stock'!I:I,'Dubai Stock'!H:H,Final_UAE!B:B)</f>
        <v/>
      </c>
      <c r="H984" s="8" t="e">
        <v>#N/A</v>
      </c>
      <c r="I984" s="8" t="n"/>
    </row>
    <row r="985">
      <c r="A985" s="4" t="n">
        <v>33834</v>
      </c>
      <c r="B985" s="4" t="inlineStr">
        <is>
          <t>cost3mo-lay-2021-p02-stardust-gray-sn0325</t>
        </is>
      </c>
      <c r="C985" s="4" t="inlineStr">
        <is>
          <t>W00031886A</t>
        </is>
      </c>
      <c r="D985" s="6">
        <f>IF(F985&gt;=5, F985-5, IF(F985&lt;5, 0, F985))</f>
        <v/>
      </c>
      <c r="E985">
        <f>VLOOKUP(B985,[1]Namshi!$A:$B,2,0)</f>
        <v/>
      </c>
      <c r="F985" s="4">
        <f>SUMIFS('Dubai Stock'!I:I,'Dubai Stock'!H:H,Final_UAE!B:B)</f>
        <v/>
      </c>
      <c r="H985" s="8" t="e">
        <v>#N/A</v>
      </c>
      <c r="I985" s="8" t="n"/>
    </row>
    <row r="986">
      <c r="A986" s="4" t="n">
        <v>33834</v>
      </c>
      <c r="B986" s="4" t="inlineStr">
        <is>
          <t>clstdai-acu-mois-p120-sn0600</t>
        </is>
      </c>
      <c r="C986" s="4" t="inlineStr">
        <is>
          <t>W00031886A</t>
        </is>
      </c>
      <c r="D986" s="6">
        <f>IF(F986&gt;=5, F986-5, IF(F986&lt;5, 0, F986))</f>
        <v/>
      </c>
      <c r="E986">
        <f>VLOOKUP(B986,[1]Namshi!$A:$B,2,0)</f>
        <v/>
      </c>
      <c r="F986" s="4">
        <f>SUMIFS('Dubai Stock'!I:I,'Dubai Stock'!H:H,Final_UAE!B:B)</f>
        <v/>
      </c>
      <c r="H986" s="8" t="e">
        <v>#N/A</v>
      </c>
      <c r="I986" s="8" t="n"/>
    </row>
    <row r="987">
      <c r="A987" s="4" t="n">
        <v>33834</v>
      </c>
      <c r="B987" s="4" t="inlineStr">
        <is>
          <t>sw40107-bla-000254-0101-52</t>
        </is>
      </c>
      <c r="C987" s="4" t="inlineStr">
        <is>
          <t>W00031886A</t>
        </is>
      </c>
      <c r="D987" s="6">
        <f>IF(F987&gt;=5, F987-5, IF(F987&lt;5, 0, F987))</f>
        <v/>
      </c>
      <c r="E987">
        <f>VLOOKUP(B987,[1]Namshi!$A:$B,2,0)</f>
        <v/>
      </c>
      <c r="F987" s="4">
        <f>SUMIFS('Dubai Stock'!I:I,'Dubai Stock'!H:H,Final_UAE!B:B)</f>
        <v/>
      </c>
      <c r="H987" s="8" t="e">
        <v>#N/A</v>
      </c>
    </row>
    <row r="988">
      <c r="A988" s="4" t="n">
        <v>33834</v>
      </c>
      <c r="B988" s="4" t="inlineStr">
        <is>
          <t>su50107-30s-000442-0107-50</t>
        </is>
      </c>
      <c r="C988" s="4" t="inlineStr">
        <is>
          <t>W00031886A</t>
        </is>
      </c>
      <c r="D988" s="6">
        <f>IF(F988&gt;=5, F988-5, IF(F988&lt;5, 0, F988))</f>
        <v/>
      </c>
      <c r="E988">
        <f>VLOOKUP(B988,[1]Namshi!$A:$B,2,0)</f>
        <v/>
      </c>
      <c r="F988" s="4">
        <f>SUMIFS('Dubai Stock'!I:I,'Dubai Stock'!H:H,Final_UAE!B:B)</f>
        <v/>
      </c>
      <c r="H988" s="8" t="e">
        <v>#N/A</v>
      </c>
    </row>
    <row r="989">
      <c r="A989" s="4" t="n">
        <v>33834</v>
      </c>
      <c r="B989" s="4" t="inlineStr">
        <is>
          <t>sm20107-30s-000207-0101-52</t>
        </is>
      </c>
      <c r="C989" s="4" t="inlineStr">
        <is>
          <t>W00031886A</t>
        </is>
      </c>
      <c r="D989" s="6">
        <f>IF(F989&gt;=5, F989-5, IF(F989&lt;5, 0, F989))</f>
        <v/>
      </c>
      <c r="E989">
        <f>VLOOKUP(B989,[1]Namshi!$A:$B,2,0)</f>
        <v/>
      </c>
      <c r="F989" s="4">
        <f>SUMIFS('Dubai Stock'!I:I,'Dubai Stock'!H:H,Final_UAE!B:B)</f>
        <v/>
      </c>
      <c r="H989" s="8" t="e">
        <v>#N/A</v>
      </c>
    </row>
    <row r="990">
      <c r="A990" s="4" t="n">
        <v>33834</v>
      </c>
      <c r="B990" s="4" t="inlineStr">
        <is>
          <t>clstbiw-acu-oasy-p18-sn0525</t>
        </is>
      </c>
      <c r="C990" s="4" t="inlineStr">
        <is>
          <t>W00031886A</t>
        </is>
      </c>
      <c r="D990" s="6">
        <f>IF(F990&gt;=5, F990-5, IF(F990&lt;5, 0, F990))</f>
        <v/>
      </c>
      <c r="E990">
        <f>VLOOKUP(B990,[1]Namshi!$A:$B,2,0)</f>
        <v/>
      </c>
      <c r="F990" s="4">
        <f>SUMIFS('Dubai Stock'!I:I,'Dubai Stock'!H:H,Final_UAE!B:B)</f>
        <v/>
      </c>
      <c r="H990" s="8" t="e">
        <v>#N/A</v>
      </c>
      <c r="I990" s="8" t="n"/>
    </row>
    <row r="991">
      <c r="A991" s="4" t="n">
        <v>33834</v>
      </c>
      <c r="B991" s="4" t="inlineStr">
        <is>
          <t>sw40101-30s-000300-0101-50</t>
        </is>
      </c>
      <c r="C991" s="4" t="inlineStr">
        <is>
          <t>W00031886A</t>
        </is>
      </c>
      <c r="D991" s="6">
        <f>IF(F991&gt;=5, F991-5, IF(F991&lt;5, 0, F991))</f>
        <v/>
      </c>
      <c r="E991">
        <f>VLOOKUP(B991,[1]Namshi!$A:$B,2,0)</f>
        <v/>
      </c>
      <c r="F991" s="4">
        <f>SUMIFS('Dubai Stock'!I:I,'Dubai Stock'!H:H,Final_UAE!B:B)</f>
        <v/>
      </c>
      <c r="H991" s="8" t="e">
        <v>#N/A</v>
      </c>
    </row>
    <row r="992">
      <c r="A992" s="4" t="n">
        <v>33834</v>
      </c>
      <c r="B992" s="4" t="inlineStr">
        <is>
          <t>sm101207-30s-000503-1207p-54</t>
        </is>
      </c>
      <c r="C992" s="4" t="inlineStr">
        <is>
          <t>W00031886A</t>
        </is>
      </c>
      <c r="D992" s="6">
        <f>IF(F992&gt;=5, F992-5, IF(F992&lt;5, 0, F992))</f>
        <v/>
      </c>
      <c r="E992">
        <f>VLOOKUP(B992,[1]Namshi!$A:$B,2,0)</f>
        <v/>
      </c>
      <c r="F992" s="4">
        <f>SUMIFS('Dubai Stock'!I:I,'Dubai Stock'!H:H,Final_UAE!B:B)</f>
        <v/>
      </c>
      <c r="H992" s="8" t="e">
        <v>#N/A</v>
      </c>
      <c r="I992" s="8" t="n"/>
    </row>
    <row r="993">
      <c r="A993" s="4" t="n">
        <v>33834</v>
      </c>
      <c r="B993" s="4" t="inlineStr">
        <is>
          <t>costdai-acu-dffr-p30-rose-sn0400</t>
        </is>
      </c>
      <c r="C993" s="4" t="inlineStr">
        <is>
          <t>W00031886A</t>
        </is>
      </c>
      <c r="D993" s="6">
        <f>IF(F993&gt;=5, F993-5, IF(F993&lt;5, 0, F993))</f>
        <v/>
      </c>
      <c r="E993">
        <f>VLOOKUP(B993,[1]Namshi!$A:$B,2,0)</f>
        <v/>
      </c>
      <c r="F993" s="4">
        <f>SUMIFS('Dubai Stock'!I:I,'Dubai Stock'!H:H,Final_UAE!B:B)</f>
        <v/>
      </c>
      <c r="H993" s="8" t="e">
        <v>#N/A</v>
      </c>
      <c r="I993" s="8" t="n"/>
    </row>
    <row r="994">
      <c r="A994" s="4" t="n">
        <v>33834</v>
      </c>
      <c r="B994" s="4" t="inlineStr">
        <is>
          <t>sw50107-bla-000101-0107-62</t>
        </is>
      </c>
      <c r="C994" s="4" t="inlineStr">
        <is>
          <t>W00031886A</t>
        </is>
      </c>
      <c r="D994" s="6">
        <f>IF(F994&gt;=5, F994-5, IF(F994&lt;5, 0, F994))</f>
        <v/>
      </c>
      <c r="E994">
        <f>VLOOKUP(B994,[1]Namshi!$A:$B,2,0)</f>
        <v/>
      </c>
      <c r="F994" s="4">
        <f>SUMIFS('Dubai Stock'!I:I,'Dubai Stock'!H:H,Final_UAE!B:B)</f>
        <v/>
      </c>
      <c r="H994" s="8" t="e">
        <v>#N/A</v>
      </c>
    </row>
    <row r="995">
      <c r="A995" s="4" t="n">
        <v>33834</v>
      </c>
      <c r="B995" s="4" t="inlineStr">
        <is>
          <t>costmon-ama-2024-p02-matcha-sp0000</t>
        </is>
      </c>
      <c r="C995" s="4" t="inlineStr">
        <is>
          <t>W00031886A</t>
        </is>
      </c>
      <c r="D995" s="6">
        <f>IF(F995&gt;=5, F995-5, IF(F995&lt;5, 0, F995))</f>
        <v/>
      </c>
      <c r="E995">
        <f>VLOOKUP(B995,[1]Namshi!$A:$B,2,0)</f>
        <v/>
      </c>
      <c r="F995" s="4">
        <f>SUMIFS('Dubai Stock'!I:I,'Dubai Stock'!H:H,Final_UAE!B:B)</f>
        <v/>
      </c>
      <c r="H995" s="8" t="e">
        <v>#N/A</v>
      </c>
      <c r="I995" s="8" t="n"/>
    </row>
    <row r="996">
      <c r="A996" s="4" t="n">
        <v>33834</v>
      </c>
      <c r="B996" s="4" t="inlineStr">
        <is>
          <t>cost3mo-lay-2024-p02-terra-brown-sn0275</t>
        </is>
      </c>
      <c r="C996" s="4" t="inlineStr">
        <is>
          <t>W00031886A</t>
        </is>
      </c>
      <c r="D996" s="6">
        <f>IF(F996&gt;=5, F996-5, IF(F996&lt;5, 0, F996))</f>
        <v/>
      </c>
      <c r="E996">
        <f>VLOOKUP(B996,[1]Namshi!$A:$B,2,0)</f>
        <v/>
      </c>
      <c r="F996" s="4">
        <f>SUMIFS('Dubai Stock'!I:I,'Dubai Stock'!H:H,Final_UAE!B:B)</f>
        <v/>
      </c>
      <c r="H996" s="8" t="e">
        <v>#N/A</v>
      </c>
      <c r="I996" s="8" t="n"/>
    </row>
    <row r="997">
      <c r="A997" s="4" t="n">
        <v>33834</v>
      </c>
      <c r="B997" s="4" t="inlineStr">
        <is>
          <t>costmon-ama-lens-p02-crocodile-green-sn0175</t>
        </is>
      </c>
      <c r="C997" s="4" t="inlineStr">
        <is>
          <t>W00031886A</t>
        </is>
      </c>
      <c r="D997" s="6">
        <f>IF(F997&gt;=5, F997-5, IF(F997&lt;5, 0, F997))</f>
        <v/>
      </c>
      <c r="E997">
        <f>VLOOKUP(B997,[1]Namshi!$A:$B,2,0)</f>
        <v/>
      </c>
      <c r="F997" s="4">
        <f>SUMIFS('Dubai Stock'!I:I,'Dubai Stock'!H:H,Final_UAE!B:B)</f>
        <v/>
      </c>
      <c r="H997" s="8" t="e">
        <v>#N/A</v>
      </c>
      <c r="I997" s="8" t="n"/>
    </row>
    <row r="998">
      <c r="A998" s="4" t="n">
        <v>33834</v>
      </c>
      <c r="B998" s="4" t="inlineStr">
        <is>
          <t>clstdai-dai-aqua-p90-sp0150</t>
        </is>
      </c>
      <c r="C998" s="4" t="inlineStr">
        <is>
          <t>W00031886A</t>
        </is>
      </c>
      <c r="D998" s="6">
        <f>IF(F998&gt;=5, F998-5, IF(F998&lt;5, 0, F998))</f>
        <v/>
      </c>
      <c r="E998">
        <f>VLOOKUP(B998,[1]Namshi!$A:$B,2,0)</f>
        <v/>
      </c>
      <c r="F998" s="4">
        <f>SUMIFS('Dubai Stock'!I:I,'Dubai Stock'!H:H,Final_UAE!B:B)</f>
        <v/>
      </c>
      <c r="H998" s="8" t="e">
        <v>#N/A</v>
      </c>
      <c r="I998" s="8" t="n"/>
    </row>
    <row r="999">
      <c r="A999" s="4" t="n">
        <v>33834</v>
      </c>
      <c r="B999" s="4" t="inlineStr">
        <is>
          <t>fw20118-spc-000533-0100-50</t>
        </is>
      </c>
      <c r="C999" s="4" t="inlineStr">
        <is>
          <t>W00031886A</t>
        </is>
      </c>
      <c r="D999" s="6">
        <f>IF(F999&gt;=5, F999-5, IF(F999&lt;5, 0, F999))</f>
        <v/>
      </c>
      <c r="E999">
        <f>VLOOKUP(B999,[1]Namshi!$A:$B,2,0)</f>
        <v/>
      </c>
      <c r="F999" s="4">
        <f>SUMIFS('Dubai Stock'!I:I,'Dubai Stock'!H:H,Final_UAE!B:B)</f>
        <v/>
      </c>
      <c r="H999" s="8" t="e">
        <v>#N/A</v>
      </c>
      <c r="I999" s="8" t="n"/>
    </row>
    <row r="1000">
      <c r="A1000" s="4" t="n">
        <v>33834</v>
      </c>
      <c r="B1000" s="4" t="inlineStr">
        <is>
          <t>sm50406-30s-000278-0406-54</t>
        </is>
      </c>
      <c r="C1000" s="4" t="inlineStr">
        <is>
          <t>W00031886A</t>
        </is>
      </c>
      <c r="D1000" s="6">
        <f>IF(F1000&gt;=5, F1000-5, IF(F1000&lt;5, 0, F1000))</f>
        <v/>
      </c>
      <c r="E1000">
        <f>VLOOKUP(B1000,[1]Namshi!$A:$B,2,0)</f>
        <v/>
      </c>
      <c r="F1000" s="4">
        <f>SUMIFS('Dubai Stock'!I:I,'Dubai Stock'!H:H,Final_UAE!B:B)</f>
        <v/>
      </c>
      <c r="H1000" s="8" t="e">
        <v>#N/A</v>
      </c>
    </row>
    <row r="1001">
      <c r="A1001" s="4" t="n">
        <v>33834</v>
      </c>
      <c r="B1001" s="4" t="inlineStr">
        <is>
          <t>cost3mo-lay-2021-p02-golden-gray-sn0225</t>
        </is>
      </c>
      <c r="C1001" s="4" t="inlineStr">
        <is>
          <t>W00031886A</t>
        </is>
      </c>
      <c r="D1001" s="6">
        <f>IF(F1001&gt;=5, F1001-5, IF(F1001&lt;5, 0, F1001))</f>
        <v/>
      </c>
      <c r="E1001">
        <f>VLOOKUP(B1001,[1]Namshi!$A:$B,2,0)</f>
        <v/>
      </c>
      <c r="F1001" s="4">
        <f>SUMIFS('Dubai Stock'!I:I,'Dubai Stock'!H:H,Final_UAE!B:B)</f>
        <v/>
      </c>
      <c r="H1001" s="8" t="e">
        <v>#N/A</v>
      </c>
      <c r="I1001" s="8" t="n"/>
    </row>
    <row r="1002">
      <c r="A1002" s="4" t="n">
        <v>33834</v>
      </c>
      <c r="B1002" s="4" t="inlineStr">
        <is>
          <t>costmon-ama-2022-p02-dream-sn0200</t>
        </is>
      </c>
      <c r="C1002" s="4" t="inlineStr">
        <is>
          <t>W00031886A</t>
        </is>
      </c>
      <c r="D1002" s="6">
        <f>IF(F1002&gt;=5, F1002-5, IF(F1002&lt;5, 0, F1002))</f>
        <v/>
      </c>
      <c r="E1002">
        <f>VLOOKUP(B1002,[1]Namshi!$A:$B,2,0)</f>
        <v/>
      </c>
      <c r="F1002" s="4">
        <f>SUMIFS('Dubai Stock'!I:I,'Dubai Stock'!H:H,Final_UAE!B:B)</f>
        <v/>
      </c>
      <c r="H1002" s="8" t="e">
        <v>#N/A</v>
      </c>
      <c r="I1002" s="8" t="n"/>
    </row>
    <row r="1003">
      <c r="A1003" s="4" t="n">
        <v>33834</v>
      </c>
      <c r="B1003" s="4" t="inlineStr">
        <is>
          <t>cost3mo-lay-lens-p02-chestnut-brown-sn0125</t>
        </is>
      </c>
      <c r="C1003" s="4" t="inlineStr">
        <is>
          <t>W00031886A</t>
        </is>
      </c>
      <c r="D1003" s="6">
        <f>IF(F1003&gt;=5, F1003-5, IF(F1003&lt;5, 0, F1003))</f>
        <v/>
      </c>
      <c r="E1003">
        <f>VLOOKUP(B1003,[1]Namshi!$A:$B,2,0)</f>
        <v/>
      </c>
      <c r="F1003" s="4">
        <f>SUMIFS('Dubai Stock'!I:I,'Dubai Stock'!H:H,Final_UAE!B:B)</f>
        <v/>
      </c>
      <c r="H1003" s="8" t="e">
        <v>#N/A</v>
      </c>
      <c r="I1003" s="8" t="n"/>
    </row>
    <row r="1004">
      <c r="A1004" s="4" t="n">
        <v>33834</v>
      </c>
      <c r="B1004" s="4" t="inlineStr">
        <is>
          <t>clstbiw-acu-oasy-p06-sn0225</t>
        </is>
      </c>
      <c r="C1004" s="4" t="inlineStr">
        <is>
          <t>W00031886A</t>
        </is>
      </c>
      <c r="D1004" s="6">
        <f>IF(F1004&gt;=5, F1004-5, IF(F1004&lt;5, 0, F1004))</f>
        <v/>
      </c>
      <c r="E1004">
        <f>VLOOKUP(B1004,[1]Namshi!$A:$B,2,0)</f>
        <v/>
      </c>
      <c r="F1004" s="4">
        <f>SUMIFS('Dubai Stock'!I:I,'Dubai Stock'!H:H,Final_UAE!B:B)</f>
        <v/>
      </c>
      <c r="H1004" s="8" t="e">
        <v>#N/A</v>
      </c>
      <c r="I1004" s="8" t="n"/>
    </row>
    <row r="1005">
      <c r="A1005" s="4" t="n">
        <v>33834</v>
      </c>
      <c r="B1005" s="4" t="inlineStr">
        <is>
          <t>clstdai-eve-elit-p30-sn0500</t>
        </is>
      </c>
      <c r="C1005" s="4" t="inlineStr">
        <is>
          <t>W00031886A</t>
        </is>
      </c>
      <c r="D1005" s="6">
        <f>IF(F1005&gt;=5, F1005-5, IF(F1005&lt;5, 0, F1005))</f>
        <v/>
      </c>
      <c r="E1005">
        <f>VLOOKUP(B1005,[1]Namshi!$A:$B,2,0)</f>
        <v/>
      </c>
      <c r="F1005" s="4">
        <f>SUMIFS('Dubai Stock'!I:I,'Dubai Stock'!H:H,Final_UAE!B:B)</f>
        <v/>
      </c>
      <c r="H1005" s="8" t="n">
        <v>261</v>
      </c>
      <c r="I1005" s="8" t="n">
        <v>146.3</v>
      </c>
    </row>
    <row r="1006">
      <c r="A1006" s="4" t="n">
        <v>33834</v>
      </c>
      <c r="B1006" s="4" t="inlineStr">
        <is>
          <t>cost3mo-lay-lens-p02-chestnut-brown-sn0275</t>
        </is>
      </c>
      <c r="C1006" s="4" t="inlineStr">
        <is>
          <t>W00031886A</t>
        </is>
      </c>
      <c r="D1006" s="6">
        <f>IF(F1006&gt;=5, F1006-5, IF(F1006&lt;5, 0, F1006))</f>
        <v/>
      </c>
      <c r="E1006">
        <f>VLOOKUP(B1006,[1]Namshi!$A:$B,2,0)</f>
        <v/>
      </c>
      <c r="F1006" s="4">
        <f>SUMIFS('Dubai Stock'!I:I,'Dubai Stock'!H:H,Final_UAE!B:B)</f>
        <v/>
      </c>
      <c r="H1006" s="8" t="e">
        <v>#N/A</v>
      </c>
      <c r="I1006" s="8" t="n"/>
    </row>
    <row r="1007">
      <c r="A1007" s="4" t="n">
        <v>33834</v>
      </c>
      <c r="B1007" s="4" t="inlineStr">
        <is>
          <t>sw42106-30s-000240-2404-50</t>
        </is>
      </c>
      <c r="C1007" s="4" t="inlineStr">
        <is>
          <t>W00031886A</t>
        </is>
      </c>
      <c r="D1007" s="6">
        <f>IF(F1007&gt;=5, F1007-5, IF(F1007&lt;5, 0, F1007))</f>
        <v/>
      </c>
      <c r="E1007">
        <f>VLOOKUP(B1007,[1]Namshi!$A:$B,2,0)</f>
        <v/>
      </c>
      <c r="F1007" s="4">
        <f>SUMIFS('Dubai Stock'!I:I,'Dubai Stock'!H:H,Final_UAE!B:B)</f>
        <v/>
      </c>
      <c r="H1007" s="8" t="e">
        <v>#N/A</v>
      </c>
    </row>
    <row r="1008">
      <c r="A1008" s="4" t="n">
        <v>33834</v>
      </c>
      <c r="B1008" s="4" t="inlineStr">
        <is>
          <t>sw102904-bla-000312-2904-56</t>
        </is>
      </c>
      <c r="C1008" s="4" t="inlineStr">
        <is>
          <t>W00031886A</t>
        </is>
      </c>
      <c r="D1008" s="6">
        <f>IF(F1008&gt;=5, F1008-5, IF(F1008&lt;5, 0, F1008))</f>
        <v/>
      </c>
      <c r="E1008">
        <f>VLOOKUP(B1008,[1]Namshi!$A:$B,2,0)</f>
        <v/>
      </c>
      <c r="F1008" s="4">
        <f>SUMIFS('Dubai Stock'!I:I,'Dubai Stock'!H:H,Final_UAE!B:B)</f>
        <v/>
      </c>
      <c r="H1008" s="8" t="e">
        <v>#N/A</v>
      </c>
    </row>
    <row r="1009">
      <c r="A1009" s="4" t="n">
        <v>33834</v>
      </c>
      <c r="B1009" s="4" t="inlineStr">
        <is>
          <t>sw100907-bla-000313-0907-56</t>
        </is>
      </c>
      <c r="C1009" s="4" t="inlineStr">
        <is>
          <t>W00031886A</t>
        </is>
      </c>
      <c r="D1009" s="6">
        <f>IF(F1009&gt;=5, F1009-5, IF(F1009&lt;5, 0, F1009))</f>
        <v/>
      </c>
      <c r="E1009">
        <f>VLOOKUP(B1009,[1]Namshi!$A:$B,2,0)</f>
        <v/>
      </c>
      <c r="F1009" s="4">
        <f>SUMIFS('Dubai Stock'!I:I,'Dubai Stock'!H:H,Final_UAE!B:B)</f>
        <v/>
      </c>
      <c r="H1009" s="8" t="e">
        <v>#N/A</v>
      </c>
    </row>
    <row r="1010">
      <c r="A1010" s="4" t="n">
        <v>33834</v>
      </c>
      <c r="B1010" s="4" t="inlineStr">
        <is>
          <t>cost3mo-lay-2021-p02-willow-green-sp0000</t>
        </is>
      </c>
      <c r="C1010" s="4" t="inlineStr">
        <is>
          <t>W00031886A</t>
        </is>
      </c>
      <c r="D1010" s="6">
        <f>IF(F1010&gt;=5, F1010-5, IF(F1010&lt;5, 0, F1010))</f>
        <v/>
      </c>
      <c r="E1010">
        <f>VLOOKUP(B1010,[1]Namshi!$A:$B,2,0)</f>
        <v/>
      </c>
      <c r="F1010" s="4">
        <f>SUMIFS('Dubai Stock'!I:I,'Dubai Stock'!H:H,Final_UAE!B:B)</f>
        <v/>
      </c>
      <c r="H1010" s="8" t="e">
        <v>#N/A</v>
      </c>
      <c r="I1010" s="8" t="n"/>
    </row>
    <row r="1011">
      <c r="A1011" s="4" t="n">
        <v>33834</v>
      </c>
      <c r="B1011" s="4" t="inlineStr">
        <is>
          <t>clstbiw-acu-0002-p06-sp0350</t>
        </is>
      </c>
      <c r="C1011" s="4" t="inlineStr">
        <is>
          <t>W00031886A</t>
        </is>
      </c>
      <c r="D1011" s="6">
        <f>IF(F1011&gt;=5, F1011-5, IF(F1011&lt;5, 0, F1011))</f>
        <v/>
      </c>
      <c r="E1011">
        <f>VLOOKUP(B1011,[1]Namshi!$A:$B,2,0)</f>
        <v/>
      </c>
      <c r="F1011" s="4">
        <f>SUMIFS('Dubai Stock'!I:I,'Dubai Stock'!H:H,Final_UAE!B:B)</f>
        <v/>
      </c>
      <c r="H1011" s="8" t="e">
        <v>#N/A</v>
      </c>
      <c r="I1011" s="8" t="n"/>
    </row>
    <row r="1012">
      <c r="A1012" s="4" t="n">
        <v>33834</v>
      </c>
      <c r="B1012" s="4" t="inlineStr">
        <is>
          <t>clstdai-acu-true-p30-sn1000</t>
        </is>
      </c>
      <c r="C1012" s="4" t="inlineStr">
        <is>
          <t>W00031886A</t>
        </is>
      </c>
      <c r="D1012" s="6">
        <f>IF(F1012&gt;=5, F1012-5, IF(F1012&lt;5, 0, F1012))</f>
        <v/>
      </c>
      <c r="E1012">
        <f>VLOOKUP(B1012,[1]Namshi!$A:$B,2,0)</f>
        <v/>
      </c>
      <c r="F1012" s="4">
        <f>SUMIFS('Dubai Stock'!I:I,'Dubai Stock'!H:H,Final_UAE!B:B)</f>
        <v/>
      </c>
      <c r="H1012" s="8" t="e">
        <v>#N/A</v>
      </c>
      <c r="I1012" s="8" t="n"/>
    </row>
    <row r="1013">
      <c r="A1013" s="4" t="n">
        <v>33834</v>
      </c>
      <c r="B1013" s="4" t="inlineStr">
        <is>
          <t>clstdai-eve-pure-p90-Sn0425</t>
        </is>
      </c>
      <c r="C1013" s="4" t="inlineStr">
        <is>
          <t>W00031886A</t>
        </is>
      </c>
      <c r="D1013" s="6">
        <f>IF(F1013&gt;=5, F1013-5, IF(F1013&lt;5, 0, F1013))</f>
        <v/>
      </c>
      <c r="E1013">
        <f>VLOOKUP(B1013,[1]Namshi!$A:$B,2,0)</f>
        <v/>
      </c>
      <c r="F1013" s="4">
        <f>SUMIFS('Dubai Stock'!I:I,'Dubai Stock'!H:H,Final_UAE!B:B)</f>
        <v/>
      </c>
      <c r="H1013" s="8" t="n">
        <v>529</v>
      </c>
      <c r="I1013" s="8" t="n">
        <v>259</v>
      </c>
    </row>
    <row r="1014">
      <c r="A1014" s="4" t="n">
        <v>33834</v>
      </c>
      <c r="B1014" s="4" t="inlineStr">
        <is>
          <t>clstdai-btr-oned-p30-sn0650</t>
        </is>
      </c>
      <c r="C1014" s="4" t="inlineStr">
        <is>
          <t>W00031886A</t>
        </is>
      </c>
      <c r="D1014" s="6">
        <f>IF(F1014&gt;=5, F1014-5, IF(F1014&lt;5, 0, F1014))</f>
        <v/>
      </c>
      <c r="E1014">
        <f>VLOOKUP(B1014,[1]Namshi!$A:$B,2,0)</f>
        <v/>
      </c>
      <c r="F1014" s="4">
        <f>SUMIFS('Dubai Stock'!I:I,'Dubai Stock'!H:H,Final_UAE!B:B)</f>
        <v/>
      </c>
      <c r="H1014" s="8" t="e">
        <v>#N/A</v>
      </c>
      <c r="I1014" s="8" t="n"/>
    </row>
    <row r="1015">
      <c r="A1015" s="4" t="n">
        <v>33834</v>
      </c>
      <c r="B1015" s="4" t="inlineStr">
        <is>
          <t>clstdai-lay-cont-p90-dazzle-brown-sn0100</t>
        </is>
      </c>
      <c r="C1015" s="4" t="inlineStr">
        <is>
          <t>W00031886A</t>
        </is>
      </c>
      <c r="D1015" s="6">
        <f>IF(F1015&gt;=5, F1015-5, IF(F1015&lt;5, 0, F1015))</f>
        <v/>
      </c>
      <c r="E1015">
        <f>VLOOKUP(B1015,[1]Namshi!$A:$B,2,0)</f>
        <v/>
      </c>
      <c r="F1015" s="4">
        <f>SUMIFS('Dubai Stock'!I:I,'Dubai Stock'!H:H,Final_UAE!B:B)</f>
        <v/>
      </c>
      <c r="H1015" s="8" t="e">
        <v>#N/A</v>
      </c>
      <c r="I1015" s="8" t="n"/>
    </row>
    <row r="1016">
      <c r="A1016" s="4" t="n">
        <v>33834</v>
      </c>
      <c r="B1016" s="4" t="inlineStr">
        <is>
          <t>clstdai-lay-cont-p10-dazzle-brown-sn0250</t>
        </is>
      </c>
      <c r="C1016" s="4" t="inlineStr">
        <is>
          <t>W00031886A</t>
        </is>
      </c>
      <c r="D1016" s="6">
        <f>IF(F1016&gt;=5, F1016-5, IF(F1016&lt;5, 0, F1016))</f>
        <v/>
      </c>
      <c r="E1016">
        <f>VLOOKUP(B1016,[1]Namshi!$A:$B,2,0)</f>
        <v/>
      </c>
      <c r="F1016" s="4">
        <f>SUMIFS('Dubai Stock'!I:I,'Dubai Stock'!H:H,Final_UAE!B:B)</f>
        <v/>
      </c>
      <c r="H1016" s="8" t="e">
        <v>#N/A</v>
      </c>
      <c r="I1016" s="8" t="n"/>
    </row>
    <row r="1017">
      <c r="A1017" s="4" t="n">
        <v>33834</v>
      </c>
      <c r="B1017" s="4" t="inlineStr">
        <is>
          <t>clstdai-acu-dfvi-p90-sn0500</t>
        </is>
      </c>
      <c r="C1017" s="4" t="inlineStr">
        <is>
          <t>W00031886A</t>
        </is>
      </c>
      <c r="D1017" s="6">
        <f>IF(F1017&gt;=5, F1017-5, IF(F1017&lt;5, 0, F1017))</f>
        <v/>
      </c>
      <c r="E1017">
        <f>VLOOKUP(B1017,[1]Namshi!$A:$B,2,0)</f>
        <v/>
      </c>
      <c r="F1017" s="4">
        <f>SUMIFS('Dubai Stock'!I:I,'Dubai Stock'!H:H,Final_UAE!B:B)</f>
        <v/>
      </c>
      <c r="H1017" s="8" t="e">
        <v>#N/A</v>
      </c>
      <c r="I1017" s="8" t="n"/>
    </row>
    <row r="1018">
      <c r="A1018" s="4" t="n">
        <v>33834</v>
      </c>
      <c r="B1018" s="4" t="inlineStr">
        <is>
          <t>sw50404-30s-000118-2904-56</t>
        </is>
      </c>
      <c r="C1018" s="4" t="inlineStr">
        <is>
          <t>W00031886A</t>
        </is>
      </c>
      <c r="D1018" s="6">
        <f>IF(F1018&gt;=5, F1018-5, IF(F1018&lt;5, 0, F1018))</f>
        <v/>
      </c>
      <c r="E1018">
        <f>VLOOKUP(B1018,[1]Namshi!$A:$B,2,0)</f>
        <v/>
      </c>
      <c r="F1018" s="4">
        <f>SUMIFS('Dubai Stock'!I:I,'Dubai Stock'!H:H,Final_UAE!B:B)</f>
        <v/>
      </c>
      <c r="H1018" s="8" t="e">
        <v>#N/A</v>
      </c>
    </row>
    <row r="1019">
      <c r="A1019" s="4" t="n">
        <v>33834</v>
      </c>
      <c r="B1019" s="4" t="inlineStr">
        <is>
          <t>sacchan-30s-chain113-blk-kona-black</t>
        </is>
      </c>
      <c r="C1019" s="4" t="inlineStr">
        <is>
          <t>W00031886A</t>
        </is>
      </c>
      <c r="D1019" s="6">
        <f>IF(F1019&gt;=5, F1019-5, IF(F1019&lt;5, 0, F1019))</f>
        <v/>
      </c>
      <c r="E1019">
        <f>VLOOKUP(B1019,[1]Namshi!$A:$B,2,0)</f>
        <v/>
      </c>
      <c r="F1019" s="4">
        <f>SUMIFS('Dubai Stock'!I:I,'Dubai Stock'!H:H,Final_UAE!B:B)</f>
        <v/>
      </c>
      <c r="H1019" s="8" t="e">
        <v>#N/A</v>
      </c>
      <c r="I1019" s="8" t="n"/>
    </row>
    <row r="1020">
      <c r="A1020" s="4" t="n">
        <v>33834</v>
      </c>
      <c r="B1020" s="4" t="inlineStr">
        <is>
          <t>sw50707-bla-000214-0707-60</t>
        </is>
      </c>
      <c r="C1020" s="4" t="inlineStr">
        <is>
          <t>W00031886A</t>
        </is>
      </c>
      <c r="D1020" s="6">
        <f>IF(F1020&gt;=5, F1020-5, IF(F1020&lt;5, 0, F1020))</f>
        <v/>
      </c>
      <c r="E1020">
        <f>VLOOKUP(B1020,[1]Namshi!$A:$B,2,0)</f>
        <v/>
      </c>
      <c r="F1020" s="4">
        <f>SUMIFS('Dubai Stock'!I:I,'Dubai Stock'!H:H,Final_UAE!B:B)</f>
        <v/>
      </c>
      <c r="H1020" s="8" t="e">
        <v>#N/A</v>
      </c>
    </row>
    <row r="1021">
      <c r="A1021" s="4" t="n">
        <v>33834</v>
      </c>
      <c r="B1021" s="4" t="inlineStr">
        <is>
          <t>ru20118-spc-000881-0118-48-sp0300</t>
        </is>
      </c>
      <c r="C1021" s="4" t="inlineStr">
        <is>
          <t>W00031886A</t>
        </is>
      </c>
      <c r="D1021" s="6">
        <f>IF(F1021&gt;=5, F1021-5, IF(F1021&lt;5, 0, F1021))</f>
        <v/>
      </c>
      <c r="E1021">
        <f>VLOOKUP(B1021,[1]Namshi!$A:$B,2,0)</f>
        <v/>
      </c>
      <c r="F1021" s="4">
        <f>SUMIFS('Dubai Stock'!I:I,'Dubai Stock'!H:H,Final_UAE!B:B)</f>
        <v/>
      </c>
      <c r="H1021" s="8" t="e">
        <v>#N/A</v>
      </c>
      <c r="I1021" s="8" t="n"/>
    </row>
    <row r="1022">
      <c r="A1022" s="4" t="n">
        <v>33834</v>
      </c>
      <c r="B1022" s="4" t="inlineStr">
        <is>
          <t>sw100107-bla-000316-0107-51</t>
        </is>
      </c>
      <c r="C1022" s="4" t="inlineStr">
        <is>
          <t>W00031886A</t>
        </is>
      </c>
      <c r="D1022" s="6">
        <f>IF(F1022&gt;=5, F1022-5, IF(F1022&lt;5, 0, F1022))</f>
        <v/>
      </c>
      <c r="E1022">
        <f>VLOOKUP(B1022,[1]Namshi!$A:$B,2,0)</f>
        <v/>
      </c>
      <c r="F1022" s="4">
        <f>SUMIFS('Dubai Stock'!I:I,'Dubai Stock'!H:H,Final_UAE!B:B)</f>
        <v/>
      </c>
      <c r="H1022" s="8" t="e">
        <v>#N/A</v>
      </c>
    </row>
    <row r="1023">
      <c r="A1023" s="4" t="n">
        <v>33834</v>
      </c>
      <c r="B1023" s="4" t="inlineStr">
        <is>
          <t>sw31402-30s-000233-2104-53</t>
        </is>
      </c>
      <c r="C1023" s="4" t="inlineStr">
        <is>
          <t>W00031886A</t>
        </is>
      </c>
      <c r="D1023" s="6">
        <f>IF(F1023&gt;=5, F1023-5, IF(F1023&lt;5, 0, F1023))</f>
        <v/>
      </c>
      <c r="E1023">
        <f>VLOOKUP(B1023,[1]Namshi!$A:$B,2,0)</f>
        <v/>
      </c>
      <c r="F1023" s="4">
        <f>SUMIFS('Dubai Stock'!I:I,'Dubai Stock'!H:H,Final_UAE!B:B)</f>
        <v/>
      </c>
      <c r="H1023" s="8" t="e">
        <v>#N/A</v>
      </c>
    </row>
    <row r="1024">
      <c r="A1024" s="4" t="n">
        <v>33834</v>
      </c>
      <c r="B1024" s="4" t="inlineStr">
        <is>
          <t>costdai-ama-dail-p10-honey-sn0475</t>
        </is>
      </c>
      <c r="C1024" s="4" t="inlineStr">
        <is>
          <t>W00031886A</t>
        </is>
      </c>
      <c r="D1024" s="6">
        <f>IF(F1024&gt;=5, F1024-5, IF(F1024&lt;5, 0, F1024))</f>
        <v/>
      </c>
      <c r="E1024">
        <f>VLOOKUP(B1024,[1]Namshi!$A:$B,2,0)</f>
        <v/>
      </c>
      <c r="F1024" s="4">
        <f>SUMIFS('Dubai Stock'!I:I,'Dubai Stock'!H:H,Final_UAE!B:B)</f>
        <v/>
      </c>
      <c r="H1024" s="8" t="e">
        <v>#N/A</v>
      </c>
      <c r="I1024" s="8" t="n"/>
    </row>
    <row r="1025">
      <c r="A1025" s="4" t="n">
        <v>33834</v>
      </c>
      <c r="B1025" s="4" t="inlineStr">
        <is>
          <t>costmon-ama-lens-p02-crocodile-green-sn0375</t>
        </is>
      </c>
      <c r="C1025" s="4" t="inlineStr">
        <is>
          <t>W00031886A</t>
        </is>
      </c>
      <c r="D1025" s="6">
        <f>IF(F1025&gt;=5, F1025-5, IF(F1025&lt;5, 0, F1025))</f>
        <v/>
      </c>
      <c r="E1025">
        <f>VLOOKUP(B1025,[1]Namshi!$A:$B,2,0)</f>
        <v/>
      </c>
      <c r="F1025" s="4">
        <f>SUMIFS('Dubai Stock'!I:I,'Dubai Stock'!H:H,Final_UAE!B:B)</f>
        <v/>
      </c>
      <c r="H1025" s="8" t="e">
        <v>#N/A</v>
      </c>
      <c r="I1025" s="8" t="n"/>
    </row>
    <row r="1026">
      <c r="A1026" s="4" t="n">
        <v>33834</v>
      </c>
      <c r="B1026" s="4" t="inlineStr">
        <is>
          <t>fw62318-spc-000864-2318-52</t>
        </is>
      </c>
      <c r="C1026" s="4" t="inlineStr">
        <is>
          <t>W00031886A</t>
        </is>
      </c>
      <c r="D1026" s="6">
        <f>IF(F1026&gt;=5, F1026-5, IF(F1026&lt;5, 0, F1026))</f>
        <v/>
      </c>
      <c r="E1026">
        <f>VLOOKUP(B1026,[1]Namshi!$A:$B,2,0)</f>
        <v/>
      </c>
      <c r="F1026" s="4">
        <f>SUMIFS('Dubai Stock'!I:I,'Dubai Stock'!H:H,Final_UAE!B:B)</f>
        <v/>
      </c>
      <c r="H1026" s="8" t="e">
        <v>#N/A</v>
      </c>
      <c r="I1026" s="8" t="n"/>
    </row>
    <row r="1027">
      <c r="A1027" s="4" t="n">
        <v>33834</v>
      </c>
      <c r="B1027" s="4" t="inlineStr">
        <is>
          <t>clstdai-acu-oasy-p30-sp0050</t>
        </is>
      </c>
      <c r="C1027" s="4" t="inlineStr">
        <is>
          <t>W00031886A</t>
        </is>
      </c>
      <c r="D1027" s="6">
        <f>IF(F1027&gt;=5, F1027-5, IF(F1027&lt;5, 0, F1027))</f>
        <v/>
      </c>
      <c r="E1027">
        <f>VLOOKUP(B1027,[1]Namshi!$A:$B,2,0)</f>
        <v/>
      </c>
      <c r="F1027" s="4">
        <f>SUMIFS('Dubai Stock'!I:I,'Dubai Stock'!H:H,Final_UAE!B:B)</f>
        <v/>
      </c>
      <c r="H1027" s="8" t="e">
        <v>#N/A</v>
      </c>
      <c r="I1027" s="8" t="n"/>
    </row>
    <row r="1028">
      <c r="A1028" s="4" t="n">
        <v>33834</v>
      </c>
      <c r="B1028" s="4" t="inlineStr">
        <is>
          <t>clstdai-acu-dfrb-p30-sn0425</t>
        </is>
      </c>
      <c r="C1028" s="4" t="inlineStr">
        <is>
          <t>W00031886A</t>
        </is>
      </c>
      <c r="D1028" s="6">
        <f>IF(F1028&gt;=5, F1028-5, IF(F1028&lt;5, 0, F1028))</f>
        <v/>
      </c>
      <c r="E1028">
        <f>VLOOKUP(B1028,[1]Namshi!$A:$B,2,0)</f>
        <v/>
      </c>
      <c r="F1028" s="4">
        <f>SUMIFS('Dubai Stock'!I:I,'Dubai Stock'!H:H,Final_UAE!B:B)</f>
        <v/>
      </c>
      <c r="H1028" s="8" t="e">
        <v>#N/A</v>
      </c>
      <c r="I1028" s="8" t="n"/>
    </row>
    <row r="1029">
      <c r="A1029" s="4" t="n">
        <v>33834</v>
      </c>
      <c r="B1029" s="4" t="inlineStr">
        <is>
          <t>costdai-acu-dffr-p10-grayzel-sn0325</t>
        </is>
      </c>
      <c r="C1029" s="4" t="inlineStr">
        <is>
          <t>W00031886A</t>
        </is>
      </c>
      <c r="D1029" s="6">
        <f>IF(F1029&gt;=5, F1029-5, IF(F1029&lt;5, 0, F1029))</f>
        <v/>
      </c>
      <c r="E1029">
        <f>VLOOKUP(B1029,[1]Namshi!$A:$B,2,0)</f>
        <v/>
      </c>
      <c r="F1029" s="4">
        <f>SUMIFS('Dubai Stock'!I:I,'Dubai Stock'!H:H,Final_UAE!B:B)</f>
        <v/>
      </c>
      <c r="H1029" s="8" t="e">
        <v>#N/A</v>
      </c>
      <c r="I1029" s="8" t="n"/>
    </row>
    <row r="1030">
      <c r="A1030" s="4" t="n">
        <v>33834</v>
      </c>
      <c r="B1030" s="4" t="inlineStr">
        <is>
          <t>clstdai-lay-cont-p10-dazzle-black-sn0800</t>
        </is>
      </c>
      <c r="C1030" s="4" t="inlineStr">
        <is>
          <t>W00031886A</t>
        </is>
      </c>
      <c r="D1030" s="6">
        <f>IF(F1030&gt;=5, F1030-5, IF(F1030&lt;5, 0, F1030))</f>
        <v/>
      </c>
      <c r="E1030">
        <f>VLOOKUP(B1030,[1]Namshi!$A:$B,2,0)</f>
        <v/>
      </c>
      <c r="F1030" s="4">
        <f>SUMIFS('Dubai Stock'!I:I,'Dubai Stock'!H:H,Final_UAE!B:B)</f>
        <v/>
      </c>
      <c r="H1030" s="8" t="e">
        <v>#N/A</v>
      </c>
      <c r="I1030" s="8" t="n"/>
    </row>
    <row r="1031">
      <c r="A1031" s="4" t="n">
        <v>33834</v>
      </c>
      <c r="B1031" s="4" t="inlineStr">
        <is>
          <t>clstdai-lay-cont-p90-dazzle-black-sn0525</t>
        </is>
      </c>
      <c r="C1031" s="4" t="inlineStr">
        <is>
          <t>W00031886A</t>
        </is>
      </c>
      <c r="D1031" s="6">
        <f>IF(F1031&gt;=5, F1031-5, IF(F1031&lt;5, 0, F1031))</f>
        <v/>
      </c>
      <c r="E1031">
        <f>VLOOKUP(B1031,[1]Namshi!$A:$B,2,0)</f>
        <v/>
      </c>
      <c r="F1031" s="4">
        <f>SUMIFS('Dubai Stock'!I:I,'Dubai Stock'!H:H,Final_UAE!B:B)</f>
        <v/>
      </c>
      <c r="H1031" s="8" t="e">
        <v>#N/A</v>
      </c>
      <c r="I1031" s="8" t="n"/>
    </row>
    <row r="1032">
      <c r="A1032" s="4" t="n">
        <v>33834</v>
      </c>
      <c r="B1032" s="4" t="inlineStr">
        <is>
          <t>clstbiw-acu-oasy-p06-sn0950</t>
        </is>
      </c>
      <c r="C1032" s="4" t="inlineStr">
        <is>
          <t>W00031886A</t>
        </is>
      </c>
      <c r="D1032" s="6">
        <f>IF(F1032&gt;=5, F1032-5, IF(F1032&lt;5, 0, F1032))</f>
        <v/>
      </c>
      <c r="E1032">
        <f>VLOOKUP(B1032,[1]Namshi!$A:$B,2,0)</f>
        <v/>
      </c>
      <c r="F1032" s="4">
        <f>SUMIFS('Dubai Stock'!I:I,'Dubai Stock'!H:H,Final_UAE!B:B)</f>
        <v/>
      </c>
      <c r="H1032" s="8" t="e">
        <v>#N/A</v>
      </c>
      <c r="I1032" s="8" t="n"/>
    </row>
    <row r="1033">
      <c r="A1033" s="4" t="n">
        <v>33834</v>
      </c>
      <c r="B1033" s="4" t="inlineStr">
        <is>
          <t>costdai-acu-dffr-p30-honey-sn0500</t>
        </is>
      </c>
      <c r="C1033" s="4" t="inlineStr">
        <is>
          <t>W00031886A</t>
        </is>
      </c>
      <c r="D1033" s="6">
        <f>IF(F1033&gt;=5, F1033-5, IF(F1033&lt;5, 0, F1033))</f>
        <v/>
      </c>
      <c r="E1033">
        <f>VLOOKUP(B1033,[1]Namshi!$A:$B,2,0)</f>
        <v/>
      </c>
      <c r="F1033" s="4">
        <f>SUMIFS('Dubai Stock'!I:I,'Dubai Stock'!H:H,Final_UAE!B:B)</f>
        <v/>
      </c>
      <c r="H1033" s="8" t="e">
        <v>#N/A</v>
      </c>
      <c r="I1033" s="8" t="n"/>
    </row>
    <row r="1034">
      <c r="A1034" s="4" t="n">
        <v>33834</v>
      </c>
      <c r="B1034" s="4" t="inlineStr">
        <is>
          <t>sw100104-30s-000490-0104-51</t>
        </is>
      </c>
      <c r="C1034" s="4" t="inlineStr">
        <is>
          <t>W00031886A</t>
        </is>
      </c>
      <c r="D1034" s="6">
        <f>IF(F1034&gt;=5, F1034-5, IF(F1034&lt;5, 0, F1034))</f>
        <v/>
      </c>
      <c r="E1034">
        <f>VLOOKUP(B1034,[1]Namshi!$A:$B,2,0)</f>
        <v/>
      </c>
      <c r="F1034" s="4">
        <f>SUMIFS('Dubai Stock'!I:I,'Dubai Stock'!H:H,Final_UAE!B:B)</f>
        <v/>
      </c>
      <c r="H1034" s="8" t="e">
        <v>#N/A</v>
      </c>
      <c r="I1034" s="8" t="n"/>
    </row>
    <row r="1035">
      <c r="A1035" s="4" t="n">
        <v>33834</v>
      </c>
      <c r="B1035" s="4" t="inlineStr">
        <is>
          <t>sm100607-30s-000408-0607-48</t>
        </is>
      </c>
      <c r="C1035" s="4" t="inlineStr">
        <is>
          <t>W00031886A</t>
        </is>
      </c>
      <c r="D1035" s="6">
        <f>IF(F1035&gt;=5, F1035-5, IF(F1035&lt;5, 0, F1035))</f>
        <v/>
      </c>
      <c r="E1035">
        <f>VLOOKUP(B1035,[1]Namshi!$A:$B,2,0)</f>
        <v/>
      </c>
      <c r="F1035" s="4">
        <f>SUMIFS('Dubai Stock'!I:I,'Dubai Stock'!H:H,Final_UAE!B:B)</f>
        <v/>
      </c>
      <c r="H1035" s="8" t="e">
        <v>#N/A</v>
      </c>
    </row>
    <row r="1036">
      <c r="A1036" s="4" t="n">
        <v>33834</v>
      </c>
      <c r="B1036" s="4" t="inlineStr">
        <is>
          <t>clstmon-bio-biof-p06-sn0175</t>
        </is>
      </c>
      <c r="C1036" s="4" t="inlineStr">
        <is>
          <t>W00031886A</t>
        </is>
      </c>
      <c r="D1036" s="6">
        <f>IF(F1036&gt;=5, F1036-5, IF(F1036&lt;5, 0, F1036))</f>
        <v/>
      </c>
      <c r="E1036">
        <f>VLOOKUP(B1036,[1]Namshi!$A:$B,2,0)</f>
        <v/>
      </c>
      <c r="F1036" s="4">
        <f>SUMIFS('Dubai Stock'!I:I,'Dubai Stock'!H:H,Final_UAE!B:B)</f>
        <v/>
      </c>
      <c r="H1036" s="8" t="e">
        <v>#N/A</v>
      </c>
      <c r="I1036" s="8" t="n"/>
    </row>
    <row r="1037">
      <c r="A1037" s="4" t="n">
        <v>33834</v>
      </c>
      <c r="B1037" s="4" t="inlineStr">
        <is>
          <t>clstdai-dai-aqua-p30-sn0950</t>
        </is>
      </c>
      <c r="C1037" s="4" t="inlineStr">
        <is>
          <t>W00031886A</t>
        </is>
      </c>
      <c r="D1037" s="6">
        <f>IF(F1037&gt;=5, F1037-5, IF(F1037&lt;5, 0, F1037))</f>
        <v/>
      </c>
      <c r="E1037">
        <f>VLOOKUP(B1037,[1]Namshi!$A:$B,2,0)</f>
        <v/>
      </c>
      <c r="F1037" s="4">
        <f>SUMIFS('Dubai Stock'!I:I,'Dubai Stock'!H:H,Final_UAE!B:B)</f>
        <v/>
      </c>
      <c r="H1037" s="8" t="e">
        <v>#N/A</v>
      </c>
      <c r="I1037" s="8" t="n"/>
    </row>
    <row r="1038">
      <c r="A1038" s="4" t="n">
        <v>33834</v>
      </c>
      <c r="B1038" s="4" t="inlineStr">
        <is>
          <t>clstdai-dai-tot1-p30-sp0150</t>
        </is>
      </c>
      <c r="C1038" s="4" t="inlineStr">
        <is>
          <t>W00031886A</t>
        </is>
      </c>
      <c r="D1038" s="6">
        <f>IF(F1038&gt;=5, F1038-5, IF(F1038&lt;5, 0, F1038))</f>
        <v/>
      </c>
      <c r="E1038">
        <f>VLOOKUP(B1038,[1]Namshi!$A:$B,2,0)</f>
        <v/>
      </c>
      <c r="F1038" s="4">
        <f>SUMIFS('Dubai Stock'!I:I,'Dubai Stock'!H:H,Final_UAE!B:B)</f>
        <v/>
      </c>
      <c r="H1038" s="8" t="e">
        <v>#N/A</v>
      </c>
      <c r="I1038" s="8" t="n"/>
    </row>
    <row r="1039">
      <c r="A1039" s="4" t="n">
        <v>33834</v>
      </c>
      <c r="B1039" s="4" t="inlineStr">
        <is>
          <t>clstdai-lay-cont-p10-dazzle-black-sn0525</t>
        </is>
      </c>
      <c r="C1039" s="4" t="inlineStr">
        <is>
          <t>W00031886A</t>
        </is>
      </c>
      <c r="D1039" s="6">
        <f>IF(F1039&gt;=5, F1039-5, IF(F1039&lt;5, 0, F1039))</f>
        <v/>
      </c>
      <c r="E1039">
        <f>VLOOKUP(B1039,[1]Namshi!$A:$B,2,0)</f>
        <v/>
      </c>
      <c r="F1039" s="4">
        <f>SUMIFS('Dubai Stock'!I:I,'Dubai Stock'!H:H,Final_UAE!B:B)</f>
        <v/>
      </c>
      <c r="H1039" s="8" t="e">
        <v>#N/A</v>
      </c>
      <c r="I1039" s="8" t="n"/>
    </row>
    <row r="1040">
      <c r="A1040" s="4" t="n">
        <v>33834</v>
      </c>
      <c r="B1040" s="4" t="inlineStr">
        <is>
          <t>sw100404-bla-000267-0404-56</t>
        </is>
      </c>
      <c r="C1040" s="4" t="inlineStr">
        <is>
          <t>W00031886A</t>
        </is>
      </c>
      <c r="D1040" s="6">
        <f>IF(F1040&gt;=5, F1040-5, IF(F1040&lt;5, 0, F1040))</f>
        <v/>
      </c>
      <c r="E1040">
        <f>VLOOKUP(B1040,[1]Namshi!$A:$B,2,0)</f>
        <v/>
      </c>
      <c r="F1040" s="4">
        <f>SUMIFS('Dubai Stock'!I:I,'Dubai Stock'!H:H,Final_UAE!B:B)</f>
        <v/>
      </c>
      <c r="H1040" s="8" t="e">
        <v>#N/A</v>
      </c>
    </row>
    <row r="1041">
      <c r="A1041" s="4" t="n">
        <v>33834</v>
      </c>
      <c r="B1041" s="4" t="inlineStr">
        <is>
          <t>costdai-ama-dail-p10-shadow-sn0450</t>
        </is>
      </c>
      <c r="C1041" s="4" t="inlineStr">
        <is>
          <t>W00031886A</t>
        </is>
      </c>
      <c r="D1041" s="6">
        <f>IF(F1041&gt;=5, F1041-5, IF(F1041&lt;5, 0, F1041))</f>
        <v/>
      </c>
      <c r="E1041">
        <f>VLOOKUP(B1041,[1]Namshi!$A:$B,2,0)</f>
        <v/>
      </c>
      <c r="F1041" s="4">
        <f>SUMIFS('Dubai Stock'!I:I,'Dubai Stock'!H:H,Final_UAE!B:B)</f>
        <v/>
      </c>
      <c r="H1041" s="8" t="e">
        <v>#N/A</v>
      </c>
      <c r="I1041" s="8" t="n"/>
    </row>
    <row r="1042">
      <c r="A1042" s="4" t="n">
        <v>33834</v>
      </c>
      <c r="B1042" s="4" t="inlineStr">
        <is>
          <t>clstdai-acu-oasy-p120-sn0225</t>
        </is>
      </c>
      <c r="C1042" s="4" t="inlineStr">
        <is>
          <t>W00031886A</t>
        </is>
      </c>
      <c r="D1042" s="6">
        <f>IF(F1042&gt;=5, F1042-5, IF(F1042&lt;5, 0, F1042))</f>
        <v/>
      </c>
      <c r="E1042">
        <f>VLOOKUP(B1042,[1]Namshi!$A:$B,2,0)</f>
        <v/>
      </c>
      <c r="F1042" s="4">
        <f>SUMIFS('Dubai Stock'!I:I,'Dubai Stock'!H:H,Final_UAE!B:B)</f>
        <v/>
      </c>
      <c r="H1042" s="8" t="e">
        <v>#N/A</v>
      </c>
      <c r="I1042" s="8" t="n"/>
    </row>
    <row r="1043">
      <c r="A1043" s="4" t="n">
        <v>33834</v>
      </c>
      <c r="B1043" s="4" t="inlineStr">
        <is>
          <t>clstdai-sof-sdai-p90-sn0850</t>
        </is>
      </c>
      <c r="C1043" s="4" t="inlineStr">
        <is>
          <t>W00031886A</t>
        </is>
      </c>
      <c r="D1043" s="6">
        <f>IF(F1043&gt;=5, F1043-5, IF(F1043&lt;5, 0, F1043))</f>
        <v/>
      </c>
      <c r="E1043">
        <f>VLOOKUP(B1043,[1]Namshi!$A:$B,2,0)</f>
        <v/>
      </c>
      <c r="F1043" s="4">
        <f>SUMIFS('Dubai Stock'!I:I,'Dubai Stock'!H:H,Final_UAE!B:B)</f>
        <v/>
      </c>
      <c r="H1043" s="8" t="e">
        <v>#N/A</v>
      </c>
      <c r="I1043" s="8" t="n"/>
    </row>
    <row r="1044">
      <c r="A1044" s="4" t="n">
        <v>33834</v>
      </c>
      <c r="B1044" s="4" t="inlineStr">
        <is>
          <t>cost3mo-lay-lens-p02-forest-green-sn0600</t>
        </is>
      </c>
      <c r="C1044" s="4" t="inlineStr">
        <is>
          <t>W00031886A</t>
        </is>
      </c>
      <c r="D1044" s="6">
        <f>IF(F1044&gt;=5, F1044-5, IF(F1044&lt;5, 0, F1044))</f>
        <v/>
      </c>
      <c r="E1044">
        <f>VLOOKUP(B1044,[1]Namshi!$A:$B,2,0)</f>
        <v/>
      </c>
      <c r="F1044" s="4">
        <f>SUMIFS('Dubai Stock'!I:I,'Dubai Stock'!H:H,Final_UAE!B:B)</f>
        <v/>
      </c>
      <c r="H1044" s="8" t="e">
        <v>#N/A</v>
      </c>
      <c r="I1044" s="8" t="n"/>
    </row>
    <row r="1045">
      <c r="A1045" s="4" t="n">
        <v>33834</v>
      </c>
      <c r="B1045" s="4" t="inlineStr">
        <is>
          <t>clstdai-dai-aqua-p30-sn0500</t>
        </is>
      </c>
      <c r="C1045" s="4" t="inlineStr">
        <is>
          <t>W00031886A</t>
        </is>
      </c>
      <c r="D1045" s="6">
        <f>IF(F1045&gt;=5, F1045-5, IF(F1045&lt;5, 0, F1045))</f>
        <v/>
      </c>
      <c r="E1045">
        <f>VLOOKUP(B1045,[1]Namshi!$A:$B,2,0)</f>
        <v/>
      </c>
      <c r="F1045" s="4">
        <f>SUMIFS('Dubai Stock'!I:I,'Dubai Stock'!H:H,Final_UAE!B:B)</f>
        <v/>
      </c>
      <c r="H1045" s="8" t="e">
        <v>#N/A</v>
      </c>
      <c r="I1045" s="8" t="n"/>
    </row>
    <row r="1046">
      <c r="A1046" s="4" t="n">
        <v>33834</v>
      </c>
      <c r="B1046" s="4" t="inlineStr">
        <is>
          <t>sm100107-30s-000440-0107-52</t>
        </is>
      </c>
      <c r="C1046" s="4" t="inlineStr">
        <is>
          <t>W00031886A</t>
        </is>
      </c>
      <c r="D1046" s="6">
        <f>IF(F1046&gt;=5, F1046-5, IF(F1046&lt;5, 0, F1046))</f>
        <v/>
      </c>
      <c r="E1046">
        <f>VLOOKUP(B1046,[1]Namshi!$A:$B,2,0)</f>
        <v/>
      </c>
      <c r="F1046" s="4">
        <f>SUMIFS('Dubai Stock'!I:I,'Dubai Stock'!H:H,Final_UAE!B:B)</f>
        <v/>
      </c>
      <c r="H1046" s="8" t="e">
        <v>#N/A</v>
      </c>
    </row>
    <row r="1047">
      <c r="A1047" s="4" t="n">
        <v>33834</v>
      </c>
      <c r="B1047" s="4" t="inlineStr">
        <is>
          <t>sw30707-bla-000276-0707-54</t>
        </is>
      </c>
      <c r="C1047" s="4" t="inlineStr">
        <is>
          <t>W00031886A</t>
        </is>
      </c>
      <c r="D1047" s="6">
        <f>IF(F1047&gt;=5, F1047-5, IF(F1047&lt;5, 0, F1047))</f>
        <v/>
      </c>
      <c r="E1047">
        <f>VLOOKUP(B1047,[1]Namshi!$A:$B,2,0)</f>
        <v/>
      </c>
      <c r="F1047" s="4">
        <f>SUMIFS('Dubai Stock'!I:I,'Dubai Stock'!H:H,Final_UAE!B:B)</f>
        <v/>
      </c>
      <c r="H1047" s="8" t="e">
        <v>#N/A</v>
      </c>
    </row>
    <row r="1048">
      <c r="A1048" s="4" t="n">
        <v>33834</v>
      </c>
      <c r="B1048" s="4" t="inlineStr">
        <is>
          <t>su72904-bla-000258-2904-60</t>
        </is>
      </c>
      <c r="C1048" s="4" t="inlineStr">
        <is>
          <t>W00031886A</t>
        </is>
      </c>
      <c r="D1048" s="6">
        <f>IF(F1048&gt;=5, F1048-5, IF(F1048&lt;5, 0, F1048))</f>
        <v/>
      </c>
      <c r="E1048">
        <f>VLOOKUP(B1048,[1]Namshi!$A:$B,2,0)</f>
        <v/>
      </c>
      <c r="F1048" s="4">
        <f>SUMIFS('Dubai Stock'!I:I,'Dubai Stock'!H:H,Final_UAE!B:B)</f>
        <v/>
      </c>
      <c r="H1048" s="8" t="e">
        <v>#N/A</v>
      </c>
    </row>
    <row r="1049">
      <c r="A1049" s="4" t="n">
        <v>33834</v>
      </c>
      <c r="B1049" s="4" t="inlineStr">
        <is>
          <t>cost3mo-lay-lens-p02-chestnut-brown-sn0050</t>
        </is>
      </c>
      <c r="C1049" s="4" t="inlineStr">
        <is>
          <t>W00031886A</t>
        </is>
      </c>
      <c r="D1049" s="6">
        <f>IF(F1049&gt;=5, F1049-5, IF(F1049&lt;5, 0, F1049))</f>
        <v/>
      </c>
      <c r="E1049">
        <f>VLOOKUP(B1049,[1]Namshi!$A:$B,2,0)</f>
        <v/>
      </c>
      <c r="F1049" s="4">
        <f>SUMIFS('Dubai Stock'!I:I,'Dubai Stock'!H:H,Final_UAE!B:B)</f>
        <v/>
      </c>
      <c r="H1049" s="8" t="e">
        <v>#N/A</v>
      </c>
      <c r="I1049" s="8" t="n"/>
    </row>
    <row r="1050">
      <c r="A1050" s="4" t="n">
        <v>33834</v>
      </c>
      <c r="B1050" s="4" t="inlineStr">
        <is>
          <t>sw32404-30s-000292-2404-53</t>
        </is>
      </c>
      <c r="C1050" s="4" t="inlineStr">
        <is>
          <t>W00031886A</t>
        </is>
      </c>
      <c r="D1050" s="6">
        <f>IF(F1050&gt;=5, F1050-5, IF(F1050&lt;5, 0, F1050))</f>
        <v/>
      </c>
      <c r="E1050">
        <f>VLOOKUP(B1050,[1]Namshi!$A:$B,2,0)</f>
        <v/>
      </c>
      <c r="F1050" s="4">
        <f>SUMIFS('Dubai Stock'!I:I,'Dubai Stock'!H:H,Final_UAE!B:B)</f>
        <v/>
      </c>
      <c r="H1050" s="8" t="e">
        <v>#N/A</v>
      </c>
    </row>
    <row r="1051">
      <c r="A1051" s="4" t="n">
        <v>33834</v>
      </c>
      <c r="B1051" s="4" t="inlineStr">
        <is>
          <t>clstdai-acu-dfna-p90-sn0325</t>
        </is>
      </c>
      <c r="C1051" s="4" t="inlineStr">
        <is>
          <t>W00031886A</t>
        </is>
      </c>
      <c r="D1051" s="6">
        <f>IF(F1051&gt;=5, F1051-5, IF(F1051&lt;5, 0, F1051))</f>
        <v/>
      </c>
      <c r="E1051">
        <f>VLOOKUP(B1051,[1]Namshi!$A:$B,2,0)</f>
        <v/>
      </c>
      <c r="F1051" s="4">
        <f>SUMIFS('Dubai Stock'!I:I,'Dubai Stock'!H:H,Final_UAE!B:B)</f>
        <v/>
      </c>
      <c r="H1051" s="8" t="e">
        <v>#N/A</v>
      </c>
      <c r="I1051" s="8" t="n"/>
    </row>
    <row r="1052">
      <c r="A1052" s="4" t="n">
        <v>33834</v>
      </c>
      <c r="B1052" s="4" t="inlineStr">
        <is>
          <t>fm50718-spc-000672-0718-51</t>
        </is>
      </c>
      <c r="C1052" s="4" t="inlineStr">
        <is>
          <t>W00031886A</t>
        </is>
      </c>
      <c r="D1052" s="6">
        <f>IF(F1052&gt;=5, F1052-5, IF(F1052&lt;5, 0, F1052))</f>
        <v/>
      </c>
      <c r="E1052">
        <f>VLOOKUP(B1052,[1]Namshi!$A:$B,2,0)</f>
        <v/>
      </c>
      <c r="F1052" s="4">
        <f>SUMIFS('Dubai Stock'!I:I,'Dubai Stock'!H:H,Final_UAE!B:B)</f>
        <v/>
      </c>
      <c r="H1052" s="8" t="e">
        <v>#N/A</v>
      </c>
      <c r="I1052" s="8" t="n"/>
    </row>
    <row r="1053">
      <c r="A1053" s="4" t="n">
        <v>33834</v>
      </c>
      <c r="B1053" s="4" t="inlineStr">
        <is>
          <t>sw60404-30s-000449-0404-59</t>
        </is>
      </c>
      <c r="C1053" s="4" t="inlineStr">
        <is>
          <t>W00031886A</t>
        </is>
      </c>
      <c r="D1053" s="6">
        <f>IF(F1053&gt;=5, F1053-5, IF(F1053&lt;5, 0, F1053))</f>
        <v/>
      </c>
      <c r="E1053">
        <f>VLOOKUP(B1053,[1]Namshi!$A:$B,2,0)</f>
        <v/>
      </c>
      <c r="F1053" s="4">
        <f>SUMIFS('Dubai Stock'!I:I,'Dubai Stock'!H:H,Final_UAE!B:B)</f>
        <v/>
      </c>
      <c r="H1053" s="8" t="e">
        <v>#N/A</v>
      </c>
    </row>
    <row r="1054">
      <c r="A1054" s="4" t="n">
        <v>33834</v>
      </c>
      <c r="B1054" s="4" t="inlineStr">
        <is>
          <t>sw60107-bla-000309-0107-48</t>
        </is>
      </c>
      <c r="C1054" s="4" t="inlineStr">
        <is>
          <t>W00031886A</t>
        </is>
      </c>
      <c r="D1054" s="6">
        <f>IF(F1054&gt;=5, F1054-5, IF(F1054&lt;5, 0, F1054))</f>
        <v/>
      </c>
      <c r="E1054">
        <f>VLOOKUP(B1054,[1]Namshi!$A:$B,2,0)</f>
        <v/>
      </c>
      <c r="F1054" s="4">
        <f>SUMIFS('Dubai Stock'!I:I,'Dubai Stock'!H:H,Final_UAE!B:B)</f>
        <v/>
      </c>
      <c r="H1054" s="8" t="e">
        <v>#N/A</v>
      </c>
    </row>
    <row r="1055">
      <c r="A1055" s="4" t="n">
        <v>33834</v>
      </c>
      <c r="B1055" s="4" t="inlineStr">
        <is>
          <t>cost3mo-lay-2025-p02-desert-topaz-sn0525</t>
        </is>
      </c>
      <c r="C1055" s="4" t="inlineStr">
        <is>
          <t>W00031886A</t>
        </is>
      </c>
      <c r="D1055" s="6">
        <f>IF(F1055&gt;=5, F1055-5, IF(F1055&lt;5, 0, F1055))</f>
        <v/>
      </c>
      <c r="E1055">
        <f>VLOOKUP(B1055,[1]Namshi!$A:$B,2,0)</f>
        <v/>
      </c>
      <c r="F1055" s="4">
        <f>SUMIFS('Dubai Stock'!I:I,'Dubai Stock'!H:H,Final_UAE!B:B)</f>
        <v/>
      </c>
      <c r="H1055" s="8" t="e">
        <v>#N/A</v>
      </c>
      <c r="I1055" s="8" t="n"/>
    </row>
    <row r="1056">
      <c r="A1056" s="4" t="n">
        <v>33834</v>
      </c>
      <c r="B1056" s="4" t="inlineStr">
        <is>
          <t>clstdai-eve-pure-p30-sn0900</t>
        </is>
      </c>
      <c r="C1056" s="4" t="inlineStr">
        <is>
          <t>W00031886A</t>
        </is>
      </c>
      <c r="D1056" s="6">
        <f>IF(F1056&gt;=5, F1056-5, IF(F1056&lt;5, 0, F1056))</f>
        <v/>
      </c>
      <c r="E1056">
        <f>VLOOKUP(B1056,[1]Namshi!$A:$B,2,0)</f>
        <v/>
      </c>
      <c r="F1056" s="4">
        <f>SUMIFS('Dubai Stock'!I:I,'Dubai Stock'!H:H,Final_UAE!B:B)</f>
        <v/>
      </c>
      <c r="H1056" s="8" t="n">
        <v>186</v>
      </c>
      <c r="I1056" s="8" t="n">
        <v>104.3</v>
      </c>
    </row>
    <row r="1057">
      <c r="A1057" s="4" t="n">
        <v>33834</v>
      </c>
      <c r="B1057" s="4" t="inlineStr">
        <is>
          <t>sm20107-30s-000293-0101p-52</t>
        </is>
      </c>
      <c r="C1057" s="4" t="inlineStr">
        <is>
          <t>W00031886A</t>
        </is>
      </c>
      <c r="D1057" s="6">
        <f>IF(F1057&gt;=5, F1057-5, IF(F1057&lt;5, 0, F1057))</f>
        <v/>
      </c>
      <c r="E1057">
        <f>VLOOKUP(B1057,[1]Namshi!$A:$B,2,0)</f>
        <v/>
      </c>
      <c r="F1057" s="4">
        <f>SUMIFS('Dubai Stock'!I:I,'Dubai Stock'!H:H,Final_UAE!B:B)</f>
        <v/>
      </c>
      <c r="H1057" s="8" t="e">
        <v>#N/A</v>
      </c>
    </row>
    <row r="1058">
      <c r="A1058" s="4" t="n">
        <v>33834</v>
      </c>
      <c r="B1058" s="4" t="inlineStr">
        <is>
          <t>cost3mo-lay-2022-p02-sweet-hazel-sn0450</t>
        </is>
      </c>
      <c r="C1058" s="4" t="inlineStr">
        <is>
          <t>W00031886A</t>
        </is>
      </c>
      <c r="D1058" s="6">
        <f>IF(F1058&gt;=5, F1058-5, IF(F1058&lt;5, 0, F1058))</f>
        <v/>
      </c>
      <c r="E1058">
        <f>VLOOKUP(B1058,[1]Namshi!$A:$B,2,0)</f>
        <v/>
      </c>
      <c r="F1058" s="4">
        <f>SUMIFS('Dubai Stock'!I:I,'Dubai Stock'!H:H,Final_UAE!B:B)</f>
        <v/>
      </c>
      <c r="H1058" s="8" t="e">
        <v>#N/A</v>
      </c>
      <c r="I1058" s="8" t="n"/>
    </row>
    <row r="1059">
      <c r="A1059" s="4" t="n">
        <v>33834</v>
      </c>
      <c r="B1059" s="4" t="inlineStr">
        <is>
          <t>clstdai-acu-mois-p30-sn1050</t>
        </is>
      </c>
      <c r="C1059" s="4" t="inlineStr">
        <is>
          <t>W00031886A</t>
        </is>
      </c>
      <c r="D1059" s="6">
        <f>IF(F1059&gt;=5, F1059-5, IF(F1059&lt;5, 0, F1059))</f>
        <v/>
      </c>
      <c r="E1059">
        <f>VLOOKUP(B1059,[1]Namshi!$A:$B,2,0)</f>
        <v/>
      </c>
      <c r="F1059" s="4">
        <f>SUMIFS('Dubai Stock'!I:I,'Dubai Stock'!H:H,Final_UAE!B:B)</f>
        <v/>
      </c>
      <c r="H1059" s="8" t="e">
        <v>#N/A</v>
      </c>
      <c r="I1059" s="8" t="n"/>
    </row>
    <row r="1060">
      <c r="A1060" s="4" t="n">
        <v>33834</v>
      </c>
      <c r="B1060" s="4" t="inlineStr">
        <is>
          <t>sw30101-30s-000292-0101-53</t>
        </is>
      </c>
      <c r="C1060" s="4" t="inlineStr">
        <is>
          <t>W00031886A</t>
        </is>
      </c>
      <c r="D1060" s="6">
        <f>IF(F1060&gt;=5, F1060-5, IF(F1060&lt;5, 0, F1060))</f>
        <v/>
      </c>
      <c r="E1060">
        <f>VLOOKUP(B1060,[1]Namshi!$A:$B,2,0)</f>
        <v/>
      </c>
      <c r="F1060" s="4">
        <f>SUMIFS('Dubai Stock'!I:I,'Dubai Stock'!H:H,Final_UAE!B:B)</f>
        <v/>
      </c>
      <c r="H1060" s="8" t="e">
        <v>#N/A</v>
      </c>
    </row>
    <row r="1061">
      <c r="A1061" s="4" t="n">
        <v>33834</v>
      </c>
      <c r="B1061" s="4" t="inlineStr">
        <is>
          <t>cost3mo-cel-natu-p01-azure-blue-sp0300</t>
        </is>
      </c>
      <c r="C1061" s="4" t="inlineStr">
        <is>
          <t>W00031886A</t>
        </is>
      </c>
      <c r="D1061" s="6">
        <f>IF(F1061&gt;=5, F1061-5, IF(F1061&lt;5, 0, F1061))</f>
        <v/>
      </c>
      <c r="E1061">
        <f>VLOOKUP(B1061,[1]Namshi!$A:$B,2,0)</f>
        <v/>
      </c>
      <c r="F1061" s="4">
        <f>SUMIFS('Dubai Stock'!I:I,'Dubai Stock'!H:H,Final_UAE!B:B)</f>
        <v/>
      </c>
      <c r="H1061" s="8" t="e">
        <v>#N/A</v>
      </c>
      <c r="I1061" s="8" t="n"/>
    </row>
    <row r="1062">
      <c r="A1062" s="4" t="n">
        <v>33834</v>
      </c>
      <c r="B1062" s="4" t="inlineStr">
        <is>
          <t>clstdai-dai-aqua-p90-sp0750</t>
        </is>
      </c>
      <c r="C1062" s="4" t="inlineStr">
        <is>
          <t>W00031886A</t>
        </is>
      </c>
      <c r="D1062" s="6">
        <f>IF(F1062&gt;=5, F1062-5, IF(F1062&lt;5, 0, F1062))</f>
        <v/>
      </c>
      <c r="E1062">
        <f>VLOOKUP(B1062,[1]Namshi!$A:$B,2,0)</f>
        <v/>
      </c>
      <c r="F1062" s="4">
        <f>SUMIFS('Dubai Stock'!I:I,'Dubai Stock'!H:H,Final_UAE!B:B)</f>
        <v/>
      </c>
      <c r="H1062" s="8" t="e">
        <v>#N/A</v>
      </c>
      <c r="I1062" s="8" t="n"/>
    </row>
    <row r="1063">
      <c r="A1063" s="4" t="n">
        <v>33834</v>
      </c>
      <c r="B1063" s="4" t="inlineStr">
        <is>
          <t>clstdai-acu-omax-p30-sn1000</t>
        </is>
      </c>
      <c r="C1063" s="4" t="inlineStr">
        <is>
          <t>W00031886A</t>
        </is>
      </c>
      <c r="D1063" s="6">
        <f>IF(F1063&gt;=5, F1063-5, IF(F1063&lt;5, 0, F1063))</f>
        <v/>
      </c>
      <c r="E1063">
        <f>VLOOKUP(B1063,[1]Namshi!$A:$B,2,0)</f>
        <v/>
      </c>
      <c r="F1063" s="4">
        <f>SUMIFS('Dubai Stock'!I:I,'Dubai Stock'!H:H,Final_UAE!B:B)</f>
        <v/>
      </c>
      <c r="H1063" s="8" t="e">
        <v>#N/A</v>
      </c>
      <c r="I1063" s="8" t="n"/>
    </row>
    <row r="1064">
      <c r="A1064" s="4" t="n">
        <v>33834</v>
      </c>
      <c r="B1064" s="4" t="inlineStr">
        <is>
          <t>clstdai-lay-cont-p30-dazzle-black-sn0425</t>
        </is>
      </c>
      <c r="C1064" s="4" t="inlineStr">
        <is>
          <t>W00031886A</t>
        </is>
      </c>
      <c r="D1064" s="6">
        <f>IF(F1064&gt;=5, F1064-5, IF(F1064&lt;5, 0, F1064))</f>
        <v/>
      </c>
      <c r="E1064">
        <f>VLOOKUP(B1064,[1]Namshi!$A:$B,2,0)</f>
        <v/>
      </c>
      <c r="F1064" s="4">
        <f>SUMIFS('Dubai Stock'!I:I,'Dubai Stock'!H:H,Final_UAE!B:B)</f>
        <v/>
      </c>
      <c r="H1064" s="8" t="e">
        <v>#N/A</v>
      </c>
      <c r="I1064" s="8" t="n"/>
    </row>
    <row r="1065">
      <c r="A1065" s="4" t="n">
        <v>33834</v>
      </c>
      <c r="B1065" s="4" t="inlineStr">
        <is>
          <t>fu51318-spc-000705-1318-51</t>
        </is>
      </c>
      <c r="C1065" s="4" t="inlineStr">
        <is>
          <t>W00031886A</t>
        </is>
      </c>
      <c r="D1065" s="6">
        <f>IF(F1065&gt;=5, F1065-5, IF(F1065&lt;5, 0, F1065))</f>
        <v/>
      </c>
      <c r="E1065">
        <f>VLOOKUP(B1065,[1]Namshi!$A:$B,2,0)</f>
        <v/>
      </c>
      <c r="F1065" s="4">
        <f>SUMIFS('Dubai Stock'!I:I,'Dubai Stock'!H:H,Final_UAE!B:B)</f>
        <v/>
      </c>
      <c r="H1065" s="8" t="e">
        <v>#N/A</v>
      </c>
      <c r="I1065" s="8" t="n"/>
    </row>
    <row r="1066">
      <c r="A1066" s="4" t="n">
        <v>33834</v>
      </c>
      <c r="B1066" s="4" t="inlineStr">
        <is>
          <t>clstdai-acu-mois-p30-sn0250</t>
        </is>
      </c>
      <c r="C1066" s="4" t="inlineStr">
        <is>
          <t>W00031886A</t>
        </is>
      </c>
      <c r="D1066" s="6">
        <f>IF(F1066&gt;=5, F1066-5, IF(F1066&lt;5, 0, F1066))</f>
        <v/>
      </c>
      <c r="E1066">
        <f>VLOOKUP(B1066,[1]Namshi!$A:$B,2,0)</f>
        <v/>
      </c>
      <c r="F1066" s="4">
        <f>SUMIFS('Dubai Stock'!I:I,'Dubai Stock'!H:H,Final_UAE!B:B)</f>
        <v/>
      </c>
      <c r="H1066" s="8" t="e">
        <v>#N/A</v>
      </c>
      <c r="I1066" s="8" t="n"/>
    </row>
    <row r="1067">
      <c r="A1067" s="4" t="n">
        <v>33834</v>
      </c>
      <c r="B1067" s="4" t="inlineStr">
        <is>
          <t>su102904-bla-000313-2904-56</t>
        </is>
      </c>
      <c r="C1067" s="4" t="inlineStr">
        <is>
          <t>W00031886A</t>
        </is>
      </c>
      <c r="D1067" s="6">
        <f>IF(F1067&gt;=5, F1067-5, IF(F1067&lt;5, 0, F1067))</f>
        <v/>
      </c>
      <c r="E1067">
        <f>VLOOKUP(B1067,[1]Namshi!$A:$B,2,0)</f>
        <v/>
      </c>
      <c r="F1067" s="4">
        <f>SUMIFS('Dubai Stock'!I:I,'Dubai Stock'!H:H,Final_UAE!B:B)</f>
        <v/>
      </c>
      <c r="H1067" s="8" t="e">
        <v>#N/A</v>
      </c>
    </row>
    <row r="1068">
      <c r="A1068" s="4" t="n">
        <v>33834</v>
      </c>
      <c r="B1068" s="4" t="inlineStr">
        <is>
          <t>clstbiw-acu-oasy-p06-sn1100</t>
        </is>
      </c>
      <c r="C1068" s="4" t="inlineStr">
        <is>
          <t>W00031886A</t>
        </is>
      </c>
      <c r="D1068" s="6">
        <f>IF(F1068&gt;=5, F1068-5, IF(F1068&lt;5, 0, F1068))</f>
        <v/>
      </c>
      <c r="E1068">
        <f>VLOOKUP(B1068,[1]Namshi!$A:$B,2,0)</f>
        <v/>
      </c>
      <c r="F1068" s="4">
        <f>SUMIFS('Dubai Stock'!I:I,'Dubai Stock'!H:H,Final_UAE!B:B)</f>
        <v/>
      </c>
      <c r="H1068" s="8" t="e">
        <v>#N/A</v>
      </c>
      <c r="I1068" s="8" t="n"/>
    </row>
    <row r="1069">
      <c r="A1069" s="4" t="n">
        <v>33834</v>
      </c>
      <c r="B1069" s="4" t="inlineStr">
        <is>
          <t>cost3mo-lay-2022-p02-cosmo-gray-sn0100</t>
        </is>
      </c>
      <c r="C1069" s="4" t="inlineStr">
        <is>
          <t>W00031886A</t>
        </is>
      </c>
      <c r="D1069" s="6">
        <f>IF(F1069&gt;=5, F1069-5, IF(F1069&lt;5, 0, F1069))</f>
        <v/>
      </c>
      <c r="E1069">
        <f>VLOOKUP(B1069,[1]Namshi!$A:$B,2,0)</f>
        <v/>
      </c>
      <c r="F1069" s="4">
        <f>SUMIFS('Dubai Stock'!I:I,'Dubai Stock'!H:H,Final_UAE!B:B)</f>
        <v/>
      </c>
      <c r="H1069" s="8" t="e">
        <v>#N/A</v>
      </c>
      <c r="I1069" s="8" t="n"/>
    </row>
    <row r="1070">
      <c r="A1070" s="4" t="n">
        <v>33834</v>
      </c>
      <c r="B1070" s="4" t="inlineStr">
        <is>
          <t>clstdai-acu-omax-p90-sp0700</t>
        </is>
      </c>
      <c r="C1070" s="4" t="inlineStr">
        <is>
          <t>W00031886A</t>
        </is>
      </c>
      <c r="D1070" s="6">
        <f>IF(F1070&gt;=5, F1070-5, IF(F1070&lt;5, 0, F1070))</f>
        <v/>
      </c>
      <c r="E1070">
        <f>VLOOKUP(B1070,[1]Namshi!$A:$B,2,0)</f>
        <v/>
      </c>
      <c r="F1070" s="4">
        <f>SUMIFS('Dubai Stock'!I:I,'Dubai Stock'!H:H,Final_UAE!B:B)</f>
        <v/>
      </c>
      <c r="H1070" s="8" t="e">
        <v>#N/A</v>
      </c>
      <c r="I1070" s="8" t="n"/>
    </row>
    <row r="1071">
      <c r="A1071" s="4" t="n">
        <v>33834</v>
      </c>
      <c r="B1071" s="4" t="inlineStr">
        <is>
          <t>clstdai-acu-omax-p30-sn0175</t>
        </is>
      </c>
      <c r="C1071" s="4" t="inlineStr">
        <is>
          <t>W00031886A</t>
        </is>
      </c>
      <c r="D1071" s="6">
        <f>IF(F1071&gt;=5, F1071-5, IF(F1071&lt;5, 0, F1071))</f>
        <v/>
      </c>
      <c r="E1071">
        <f>VLOOKUP(B1071,[1]Namshi!$A:$B,2,0)</f>
        <v/>
      </c>
      <c r="F1071" s="4">
        <f>SUMIFS('Dubai Stock'!I:I,'Dubai Stock'!H:H,Final_UAE!B:B)</f>
        <v/>
      </c>
      <c r="H1071" s="8" t="e">
        <v>#N/A</v>
      </c>
      <c r="I1071" s="8" t="n"/>
    </row>
    <row r="1072">
      <c r="A1072" s="4" t="n">
        <v>33834</v>
      </c>
      <c r="B1072" s="4" t="inlineStr">
        <is>
          <t>bc50918-bab-000503-0900-46</t>
        </is>
      </c>
      <c r="C1072" s="4" t="inlineStr">
        <is>
          <t>W00031886A</t>
        </is>
      </c>
      <c r="D1072" s="6">
        <f>IF(F1072&gt;=5, F1072-5, IF(F1072&lt;5, 0, F1072))</f>
        <v/>
      </c>
      <c r="E1072">
        <f>VLOOKUP(B1072,[1]Namshi!$A:$B,2,0)</f>
        <v/>
      </c>
      <c r="F1072" s="4">
        <f>SUMIFS('Dubai Stock'!I:I,'Dubai Stock'!H:H,Final_UAE!B:B)</f>
        <v/>
      </c>
      <c r="H1072" s="8" t="e">
        <v>#N/A</v>
      </c>
    </row>
    <row r="1073">
      <c r="A1073" s="4" t="n">
        <v>33834</v>
      </c>
      <c r="B1073" s="4" t="inlineStr">
        <is>
          <t>costdai-acu-dffr-p30-hazel-sn0250</t>
        </is>
      </c>
      <c r="C1073" s="4" t="inlineStr">
        <is>
          <t>W00031886A</t>
        </is>
      </c>
      <c r="D1073" s="6">
        <f>IF(F1073&gt;=5, F1073-5, IF(F1073&lt;5, 0, F1073))</f>
        <v/>
      </c>
      <c r="E1073">
        <f>VLOOKUP(B1073,[1]Namshi!$A:$B,2,0)</f>
        <v/>
      </c>
      <c r="F1073" s="4">
        <f>SUMIFS('Dubai Stock'!I:I,'Dubai Stock'!H:H,Final_UAE!B:B)</f>
        <v/>
      </c>
      <c r="H1073" s="8" t="e">
        <v>#N/A</v>
      </c>
      <c r="I1073" s="8" t="n"/>
    </row>
    <row r="1074">
      <c r="A1074" s="4" t="n">
        <v>33834</v>
      </c>
      <c r="B1074" s="4" t="inlineStr">
        <is>
          <t>clstdai-btr-oned-p90-sn0525</t>
        </is>
      </c>
      <c r="C1074" s="4" t="inlineStr">
        <is>
          <t>W00031886A</t>
        </is>
      </c>
      <c r="D1074" s="6">
        <f>IF(F1074&gt;=5, F1074-5, IF(F1074&lt;5, 0, F1074))</f>
        <v/>
      </c>
      <c r="E1074">
        <f>VLOOKUP(B1074,[1]Namshi!$A:$B,2,0)</f>
        <v/>
      </c>
      <c r="F1074" s="4">
        <f>SUMIFS('Dubai Stock'!I:I,'Dubai Stock'!H:H,Final_UAE!B:B)</f>
        <v/>
      </c>
      <c r="H1074" s="8" t="e">
        <v>#N/A</v>
      </c>
      <c r="I1074" s="8" t="n"/>
    </row>
    <row r="1075">
      <c r="A1075" s="4" t="n">
        <v>33834</v>
      </c>
      <c r="B1075" s="4" t="inlineStr">
        <is>
          <t>clstbiw-acu-0002-p12-sn0325</t>
        </is>
      </c>
      <c r="C1075" s="4" t="inlineStr">
        <is>
          <t>W00031886A</t>
        </is>
      </c>
      <c r="D1075" s="6">
        <f>IF(F1075&gt;=5, F1075-5, IF(F1075&lt;5, 0, F1075))</f>
        <v/>
      </c>
      <c r="E1075">
        <f>VLOOKUP(B1075,[1]Namshi!$A:$B,2,0)</f>
        <v/>
      </c>
      <c r="F1075" s="4">
        <f>SUMIFS('Dubai Stock'!I:I,'Dubai Stock'!H:H,Final_UAE!B:B)</f>
        <v/>
      </c>
      <c r="H1075" s="8" t="e">
        <v>#N/A</v>
      </c>
      <c r="I1075" s="8" t="n"/>
    </row>
    <row r="1076">
      <c r="A1076" s="4" t="n">
        <v>33834</v>
      </c>
      <c r="B1076" s="4" t="inlineStr">
        <is>
          <t>sw40506-bla-000202-2706-58</t>
        </is>
      </c>
      <c r="C1076" s="4" t="inlineStr">
        <is>
          <t>W00031886A</t>
        </is>
      </c>
      <c r="D1076" s="6">
        <f>IF(F1076&gt;=5, F1076-5, IF(F1076&lt;5, 0, F1076))</f>
        <v/>
      </c>
      <c r="E1076">
        <f>VLOOKUP(B1076,[1]Namshi!$A:$B,2,0)</f>
        <v/>
      </c>
      <c r="F1076" s="4">
        <f>SUMIFS('Dubai Stock'!I:I,'Dubai Stock'!H:H,Final_UAE!B:B)</f>
        <v/>
      </c>
      <c r="H1076" s="8" t="e">
        <v>#N/A</v>
      </c>
    </row>
    <row r="1077">
      <c r="A1077" s="4" t="n">
        <v>33834</v>
      </c>
      <c r="B1077" s="4" t="inlineStr">
        <is>
          <t>su20107-30s-000500-0107-53</t>
        </is>
      </c>
      <c r="C1077" s="4" t="inlineStr">
        <is>
          <t>W00031886A</t>
        </is>
      </c>
      <c r="D1077" s="6">
        <f>IF(F1077&gt;=5, F1077-5, IF(F1077&lt;5, 0, F1077))</f>
        <v/>
      </c>
      <c r="E1077">
        <f>VLOOKUP(B1077,[1]Namshi!$A:$B,2,0)</f>
        <v/>
      </c>
      <c r="F1077" s="4">
        <f>SUMIFS('Dubai Stock'!I:I,'Dubai Stock'!H:H,Final_UAE!B:B)</f>
        <v/>
      </c>
      <c r="H1077" s="8" t="e">
        <v>#N/A</v>
      </c>
      <c r="I1077" s="8" t="n"/>
    </row>
    <row r="1078">
      <c r="A1078" s="4" t="n">
        <v>33834</v>
      </c>
      <c r="B1078" s="4" t="inlineStr">
        <is>
          <t>clstdai-lay-cont-p90-dazzle-brown-sn0250</t>
        </is>
      </c>
      <c r="C1078" s="4" t="inlineStr">
        <is>
          <t>W00031886A</t>
        </is>
      </c>
      <c r="D1078" s="6">
        <f>IF(F1078&gt;=5, F1078-5, IF(F1078&lt;5, 0, F1078))</f>
        <v/>
      </c>
      <c r="E1078">
        <f>VLOOKUP(B1078,[1]Namshi!$A:$B,2,0)</f>
        <v/>
      </c>
      <c r="F1078" s="4">
        <f>SUMIFS('Dubai Stock'!I:I,'Dubai Stock'!H:H,Final_UAE!B:B)</f>
        <v/>
      </c>
      <c r="H1078" s="8" t="e">
        <v>#N/A</v>
      </c>
      <c r="I1078" s="8" t="n"/>
    </row>
    <row r="1079">
      <c r="A1079" s="4" t="n">
        <v>33834</v>
      </c>
      <c r="B1079" s="4" t="inlineStr">
        <is>
          <t>clstdai-dai-aqua-p30-sn1200</t>
        </is>
      </c>
      <c r="C1079" s="4" t="inlineStr">
        <is>
          <t>W00031886A</t>
        </is>
      </c>
      <c r="D1079" s="6">
        <f>IF(F1079&gt;=5, F1079-5, IF(F1079&lt;5, 0, F1079))</f>
        <v/>
      </c>
      <c r="E1079">
        <f>VLOOKUP(B1079,[1]Namshi!$A:$B,2,0)</f>
        <v/>
      </c>
      <c r="F1079" s="4">
        <f>SUMIFS('Dubai Stock'!I:I,'Dubai Stock'!H:H,Final_UAE!B:B)</f>
        <v/>
      </c>
      <c r="H1079" s="8" t="e">
        <v>#N/A</v>
      </c>
      <c r="I1079" s="8" t="n"/>
    </row>
    <row r="1080">
      <c r="A1080" s="4" t="n">
        <v>33834</v>
      </c>
      <c r="B1080" s="4" t="inlineStr">
        <is>
          <t>clstdai-lay-cont-p90-dazzle-black-sn0100</t>
        </is>
      </c>
      <c r="C1080" s="4" t="inlineStr">
        <is>
          <t>W00031886A</t>
        </is>
      </c>
      <c r="D1080" s="6">
        <f>IF(F1080&gt;=5, F1080-5, IF(F1080&lt;5, 0, F1080))</f>
        <v/>
      </c>
      <c r="E1080">
        <f>VLOOKUP(B1080,[1]Namshi!$A:$B,2,0)</f>
        <v/>
      </c>
      <c r="F1080" s="4">
        <f>SUMIFS('Dubai Stock'!I:I,'Dubai Stock'!H:H,Final_UAE!B:B)</f>
        <v/>
      </c>
      <c r="H1080" s="8" t="e">
        <v>#N/A</v>
      </c>
      <c r="I1080" s="8" t="n"/>
    </row>
    <row r="1081">
      <c r="A1081" s="4" t="n">
        <v>33834</v>
      </c>
      <c r="B1081" s="4" t="inlineStr">
        <is>
          <t>fw31218-spc-000809-1218-61</t>
        </is>
      </c>
      <c r="C1081" s="4" t="inlineStr">
        <is>
          <t>W00031886A</t>
        </is>
      </c>
      <c r="D1081" s="6">
        <f>IF(F1081&gt;=5, F1081-5, IF(F1081&lt;5, 0, F1081))</f>
        <v/>
      </c>
      <c r="E1081">
        <f>VLOOKUP(B1081,[1]Namshi!$A:$B,2,0)</f>
        <v/>
      </c>
      <c r="F1081" s="4">
        <f>SUMIFS('Dubai Stock'!I:I,'Dubai Stock'!H:H,Final_UAE!B:B)</f>
        <v/>
      </c>
      <c r="H1081" s="8" t="e">
        <v>#N/A</v>
      </c>
      <c r="I1081" s="8" t="n"/>
    </row>
    <row r="1082">
      <c r="A1082" s="4" t="n">
        <v>33834</v>
      </c>
      <c r="B1082" s="4" t="inlineStr">
        <is>
          <t>sc40606-bab-000516-2106d-51</t>
        </is>
      </c>
      <c r="C1082" s="4" t="inlineStr">
        <is>
          <t>W00031886A</t>
        </is>
      </c>
      <c r="D1082" s="6">
        <f>IF(F1082&gt;=5, F1082-5, IF(F1082&lt;5, 0, F1082))</f>
        <v/>
      </c>
      <c r="E1082">
        <f>VLOOKUP(B1082,[1]Namshi!$A:$B,2,0)</f>
        <v/>
      </c>
      <c r="F1082" s="4">
        <f>SUMIFS('Dubai Stock'!I:I,'Dubai Stock'!H:H,Final_UAE!B:B)</f>
        <v/>
      </c>
      <c r="H1082" s="8" t="e">
        <v>#N/A</v>
      </c>
    </row>
    <row r="1083">
      <c r="A1083" s="4" t="n">
        <v>33834</v>
      </c>
      <c r="B1083" s="4" t="inlineStr">
        <is>
          <t>clstdai-acu-dfrb-p60-sn0450</t>
        </is>
      </c>
      <c r="C1083" s="4" t="inlineStr">
        <is>
          <t>W00031886A</t>
        </is>
      </c>
      <c r="D1083" s="6">
        <f>IF(F1083&gt;=5, F1083-5, IF(F1083&lt;5, 0, F1083))</f>
        <v/>
      </c>
      <c r="E1083">
        <f>VLOOKUP(B1083,[1]Namshi!$A:$B,2,0)</f>
        <v/>
      </c>
      <c r="F1083" s="4">
        <f>SUMIFS('Dubai Stock'!I:I,'Dubai Stock'!H:H,Final_UAE!B:B)</f>
        <v/>
      </c>
      <c r="H1083" s="8" t="e">
        <v>#N/A</v>
      </c>
      <c r="I1083" s="8" t="n"/>
    </row>
    <row r="1084">
      <c r="A1084" s="4" t="n">
        <v>33834</v>
      </c>
      <c r="B1084" s="4" t="inlineStr">
        <is>
          <t>sw52306-30s-000225-2306-59</t>
        </is>
      </c>
      <c r="C1084" s="4" t="inlineStr">
        <is>
          <t>W00031886A</t>
        </is>
      </c>
      <c r="D1084" s="6">
        <f>IF(F1084&gt;=5, F1084-5, IF(F1084&lt;5, 0, F1084))</f>
        <v/>
      </c>
      <c r="E1084">
        <f>VLOOKUP(B1084,[1]Namshi!$A:$B,2,0)</f>
        <v/>
      </c>
      <c r="F1084" s="4">
        <f>SUMIFS('Dubai Stock'!I:I,'Dubai Stock'!H:H,Final_UAE!B:B)</f>
        <v/>
      </c>
      <c r="H1084" s="8" t="e">
        <v>#N/A</v>
      </c>
    </row>
    <row r="1085">
      <c r="A1085" s="4" t="n">
        <v>33834</v>
      </c>
      <c r="B1085" s="4" t="inlineStr">
        <is>
          <t>cost3mo-lay-lens-p02-crystal-brown-sn0075</t>
        </is>
      </c>
      <c r="C1085" s="4" t="inlineStr">
        <is>
          <t>W00031886A</t>
        </is>
      </c>
      <c r="D1085" s="6">
        <f>IF(F1085&gt;=5, F1085-5, IF(F1085&lt;5, 0, F1085))</f>
        <v/>
      </c>
      <c r="E1085">
        <f>VLOOKUP(B1085,[1]Namshi!$A:$B,2,0)</f>
        <v/>
      </c>
      <c r="F1085" s="4">
        <f>SUMIFS('Dubai Stock'!I:I,'Dubai Stock'!H:H,Final_UAE!B:B)</f>
        <v/>
      </c>
      <c r="H1085" s="8" t="e">
        <v>#N/A</v>
      </c>
      <c r="I1085" s="8" t="n"/>
    </row>
    <row r="1086">
      <c r="A1086" s="4" t="n">
        <v>33834</v>
      </c>
      <c r="B1086" s="4" t="inlineStr">
        <is>
          <t>costmon-ama-2022-p02-dream-sn0150</t>
        </is>
      </c>
      <c r="C1086" s="4" t="inlineStr">
        <is>
          <t>W00031886A</t>
        </is>
      </c>
      <c r="D1086" s="6">
        <f>IF(F1086&gt;=5, F1086-5, IF(F1086&lt;5, 0, F1086))</f>
        <v/>
      </c>
      <c r="E1086">
        <f>VLOOKUP(B1086,[1]Namshi!$A:$B,2,0)</f>
        <v/>
      </c>
      <c r="F1086" s="4">
        <f>SUMIFS('Dubai Stock'!I:I,'Dubai Stock'!H:H,Final_UAE!B:B)</f>
        <v/>
      </c>
      <c r="H1086" s="8" t="e">
        <v>#N/A</v>
      </c>
      <c r="I1086" s="8" t="n"/>
    </row>
    <row r="1087">
      <c r="A1087" s="4" t="n">
        <v>33834</v>
      </c>
      <c r="B1087" s="4" t="inlineStr">
        <is>
          <t>cost3mo-lay-lens-p02-chocolate-brown-sn0125</t>
        </is>
      </c>
      <c r="C1087" s="4" t="inlineStr">
        <is>
          <t>W00031886A</t>
        </is>
      </c>
      <c r="D1087" s="6">
        <f>IF(F1087&gt;=5, F1087-5, IF(F1087&lt;5, 0, F1087))</f>
        <v/>
      </c>
      <c r="E1087">
        <f>VLOOKUP(B1087,[1]Namshi!$A:$B,2,0)</f>
        <v/>
      </c>
      <c r="F1087" s="4">
        <f>SUMIFS('Dubai Stock'!I:I,'Dubai Stock'!H:H,Final_UAE!B:B)</f>
        <v/>
      </c>
      <c r="H1087" s="8" t="e">
        <v>#N/A</v>
      </c>
      <c r="I1087" s="8" t="n"/>
    </row>
    <row r="1088">
      <c r="A1088" s="4" t="n">
        <v>33834</v>
      </c>
      <c r="B1088" s="4" t="inlineStr">
        <is>
          <t>clstmon-eve-prom-p06-sp0450</t>
        </is>
      </c>
      <c r="C1088" s="4" t="inlineStr">
        <is>
          <t>W00031886A</t>
        </is>
      </c>
      <c r="D1088" s="6">
        <f>IF(F1088&gt;=5, F1088-5, IF(F1088&lt;5, 0, F1088))</f>
        <v/>
      </c>
      <c r="E1088">
        <f>VLOOKUP(B1088,[1]Namshi!$A:$B,2,0)</f>
        <v/>
      </c>
      <c r="F1088" s="4">
        <f>SUMIFS('Dubai Stock'!I:I,'Dubai Stock'!H:H,Final_UAE!B:B)</f>
        <v/>
      </c>
      <c r="H1088" s="8" t="n">
        <v>212</v>
      </c>
      <c r="I1088" s="8" t="n">
        <v>111.3</v>
      </c>
    </row>
    <row r="1089">
      <c r="A1089" s="4" t="n">
        <v>33834</v>
      </c>
      <c r="B1089" s="4" t="inlineStr">
        <is>
          <t>clstdai-dai-aqua-p30-sn0525</t>
        </is>
      </c>
      <c r="C1089" s="4" t="inlineStr">
        <is>
          <t>W00031886A</t>
        </is>
      </c>
      <c r="D1089" s="6">
        <f>IF(F1089&gt;=5, F1089-5, IF(F1089&lt;5, 0, F1089))</f>
        <v/>
      </c>
      <c r="E1089">
        <f>VLOOKUP(B1089,[1]Namshi!$A:$B,2,0)</f>
        <v/>
      </c>
      <c r="F1089" s="4">
        <f>SUMIFS('Dubai Stock'!I:I,'Dubai Stock'!H:H,Final_UAE!B:B)</f>
        <v/>
      </c>
      <c r="H1089" s="8" t="e">
        <v>#N/A</v>
      </c>
      <c r="I1089" s="8" t="n"/>
    </row>
    <row r="1090">
      <c r="A1090" s="4" t="n">
        <v>33834</v>
      </c>
      <c r="B1090" s="4" t="inlineStr">
        <is>
          <t>fw50918-spc-000714-0918-52</t>
        </is>
      </c>
      <c r="C1090" s="4" t="inlineStr">
        <is>
          <t>W00031886A</t>
        </is>
      </c>
      <c r="D1090" s="6">
        <f>IF(F1090&gt;=5, F1090-5, IF(F1090&lt;5, 0, F1090))</f>
        <v/>
      </c>
      <c r="E1090">
        <f>VLOOKUP(B1090,[1]Namshi!$A:$B,2,0)</f>
        <v/>
      </c>
      <c r="F1090" s="4">
        <f>SUMIFS('Dubai Stock'!I:I,'Dubai Stock'!H:H,Final_UAE!B:B)</f>
        <v/>
      </c>
      <c r="H1090" s="8" t="e">
        <v>#N/A</v>
      </c>
      <c r="I1090" s="8" t="n"/>
    </row>
    <row r="1091">
      <c r="A1091" s="4" t="n">
        <v>33834</v>
      </c>
      <c r="B1091" s="4" t="inlineStr">
        <is>
          <t>clstdai-acu-oasy-p30-sp0200</t>
        </is>
      </c>
      <c r="C1091" s="4" t="inlineStr">
        <is>
          <t>W00031886A</t>
        </is>
      </c>
      <c r="D1091" s="6">
        <f>IF(F1091&gt;=5, F1091-5, IF(F1091&lt;5, 0, F1091))</f>
        <v/>
      </c>
      <c r="E1091">
        <f>VLOOKUP(B1091,[1]Namshi!$A:$B,2,0)</f>
        <v/>
      </c>
      <c r="F1091" s="4">
        <f>SUMIFS('Dubai Stock'!I:I,'Dubai Stock'!H:H,Final_UAE!B:B)</f>
        <v/>
      </c>
      <c r="H1091" s="8" t="e">
        <v>#N/A</v>
      </c>
      <c r="I1091" s="8" t="n"/>
    </row>
    <row r="1092">
      <c r="A1092" s="4" t="n">
        <v>33834</v>
      </c>
      <c r="B1092" s="4" t="inlineStr">
        <is>
          <t>cost3mo-lay-2022-p02-cosmo-gray-sn0125</t>
        </is>
      </c>
      <c r="C1092" s="4" t="inlineStr">
        <is>
          <t>W00031886A</t>
        </is>
      </c>
      <c r="D1092" s="6">
        <f>IF(F1092&gt;=5, F1092-5, IF(F1092&lt;5, 0, F1092))</f>
        <v/>
      </c>
      <c r="E1092">
        <f>VLOOKUP(B1092,[1]Namshi!$A:$B,2,0)</f>
        <v/>
      </c>
      <c r="F1092" s="4">
        <f>SUMIFS('Dubai Stock'!I:I,'Dubai Stock'!H:H,Final_UAE!B:B)</f>
        <v/>
      </c>
      <c r="H1092" s="8" t="e">
        <v>#N/A</v>
      </c>
      <c r="I1092" s="8" t="n"/>
    </row>
    <row r="1093">
      <c r="A1093" s="4" t="n">
        <v>33834</v>
      </c>
      <c r="B1093" s="4" t="inlineStr">
        <is>
          <t>costdai-ama-dail-p10-moon-stone-sn0850</t>
        </is>
      </c>
      <c r="C1093" s="4" t="inlineStr">
        <is>
          <t>W00031886A</t>
        </is>
      </c>
      <c r="D1093" s="6">
        <f>IF(F1093&gt;=5, F1093-5, IF(F1093&lt;5, 0, F1093))</f>
        <v/>
      </c>
      <c r="E1093">
        <f>VLOOKUP(B1093,[1]Namshi!$A:$B,2,0)</f>
        <v/>
      </c>
      <c r="F1093" s="4">
        <f>SUMIFS('Dubai Stock'!I:I,'Dubai Stock'!H:H,Final_UAE!B:B)</f>
        <v/>
      </c>
      <c r="H1093" s="8" t="e">
        <v>#N/A</v>
      </c>
      <c r="I1093" s="8" t="n"/>
    </row>
    <row r="1094">
      <c r="A1094" s="4" t="n">
        <v>33834</v>
      </c>
      <c r="B1094" s="4" t="inlineStr">
        <is>
          <t>costdai-acu-dffr-p30-blue-sn0600</t>
        </is>
      </c>
      <c r="C1094" s="4" t="inlineStr">
        <is>
          <t>W00031886A</t>
        </is>
      </c>
      <c r="D1094" s="6">
        <f>IF(F1094&gt;=5, F1094-5, IF(F1094&lt;5, 0, F1094))</f>
        <v/>
      </c>
      <c r="E1094">
        <f>VLOOKUP(B1094,[1]Namshi!$A:$B,2,0)</f>
        <v/>
      </c>
      <c r="F1094" s="4">
        <f>SUMIFS('Dubai Stock'!I:I,'Dubai Stock'!H:H,Final_UAE!B:B)</f>
        <v/>
      </c>
      <c r="H1094" s="8" t="e">
        <v>#N/A</v>
      </c>
      <c r="I1094" s="8" t="n"/>
    </row>
    <row r="1095">
      <c r="A1095" s="4" t="n">
        <v>33834</v>
      </c>
      <c r="B1095" s="4" t="inlineStr">
        <is>
          <t>sw42604-30s-000123-2604-51</t>
        </is>
      </c>
      <c r="C1095" s="4" t="inlineStr">
        <is>
          <t>W00031886A</t>
        </is>
      </c>
      <c r="D1095" s="6">
        <f>IF(F1095&gt;=5, F1095-5, IF(F1095&lt;5, 0, F1095))</f>
        <v/>
      </c>
      <c r="E1095">
        <f>VLOOKUP(B1095,[1]Namshi!$A:$B,2,0)</f>
        <v/>
      </c>
      <c r="F1095" s="4">
        <f>SUMIFS('Dubai Stock'!I:I,'Dubai Stock'!H:H,Final_UAE!B:B)</f>
        <v/>
      </c>
      <c r="H1095" s="8" t="e">
        <v>#N/A</v>
      </c>
    </row>
    <row r="1096">
      <c r="A1096" s="4" t="n">
        <v>33834</v>
      </c>
      <c r="B1096" s="4" t="inlineStr">
        <is>
          <t>clstdai-lay-cont-p30-dazzle-black-sn0200</t>
        </is>
      </c>
      <c r="C1096" s="4" t="inlineStr">
        <is>
          <t>W00031886A</t>
        </is>
      </c>
      <c r="D1096" s="6">
        <f>IF(F1096&gt;=5, F1096-5, IF(F1096&lt;5, 0, F1096))</f>
        <v/>
      </c>
      <c r="E1096">
        <f>VLOOKUP(B1096,[1]Namshi!$A:$B,2,0)</f>
        <v/>
      </c>
      <c r="F1096" s="4">
        <f>SUMIFS('Dubai Stock'!I:I,'Dubai Stock'!H:H,Final_UAE!B:B)</f>
        <v/>
      </c>
      <c r="H1096" s="8" t="e">
        <v>#N/A</v>
      </c>
      <c r="I1096" s="8" t="n"/>
    </row>
    <row r="1097">
      <c r="A1097" s="4" t="n">
        <v>33834</v>
      </c>
      <c r="B1097" s="4" t="inlineStr">
        <is>
          <t>fw102318-spc-000300-2300-52</t>
        </is>
      </c>
      <c r="C1097" s="4" t="inlineStr">
        <is>
          <t>W00031886A</t>
        </is>
      </c>
      <c r="D1097" s="6">
        <f>IF(F1097&gt;=5, F1097-5, IF(F1097&lt;5, 0, F1097))</f>
        <v/>
      </c>
      <c r="E1097">
        <f>VLOOKUP(B1097,[1]Namshi!$A:$B,2,0)</f>
        <v/>
      </c>
      <c r="F1097" s="4">
        <f>SUMIFS('Dubai Stock'!I:I,'Dubai Stock'!H:H,Final_UAE!B:B)</f>
        <v/>
      </c>
      <c r="H1097" s="8" t="e">
        <v>#N/A</v>
      </c>
      <c r="I1097" s="8" t="n"/>
    </row>
    <row r="1098">
      <c r="A1098" s="4" t="n">
        <v>33834</v>
      </c>
      <c r="B1098" s="4" t="inlineStr">
        <is>
          <t>costdai-acu-dffr-p10-blue-sn0650</t>
        </is>
      </c>
      <c r="C1098" s="4" t="inlineStr">
        <is>
          <t>W00031886A</t>
        </is>
      </c>
      <c r="D1098" s="6">
        <f>IF(F1098&gt;=5, F1098-5, IF(F1098&lt;5, 0, F1098))</f>
        <v/>
      </c>
      <c r="E1098">
        <f>VLOOKUP(B1098,[1]Namshi!$A:$B,2,0)</f>
        <v/>
      </c>
      <c r="F1098" s="4">
        <f>SUMIFS('Dubai Stock'!I:I,'Dubai Stock'!H:H,Final_UAE!B:B)</f>
        <v/>
      </c>
      <c r="H1098" s="8" t="e">
        <v>#N/A</v>
      </c>
      <c r="I1098" s="8" t="n"/>
    </row>
    <row r="1099">
      <c r="A1099" s="4" t="n">
        <v>33834</v>
      </c>
      <c r="B1099" s="4" t="inlineStr">
        <is>
          <t>costmon-ama-lens-p02-mocca-sn0250</t>
        </is>
      </c>
      <c r="C1099" s="4" t="inlineStr">
        <is>
          <t>W00031886A</t>
        </is>
      </c>
      <c r="D1099" s="6">
        <f>IF(F1099&gt;=5, F1099-5, IF(F1099&lt;5, 0, F1099))</f>
        <v/>
      </c>
      <c r="E1099">
        <f>VLOOKUP(B1099,[1]Namshi!$A:$B,2,0)</f>
        <v/>
      </c>
      <c r="F1099" s="4">
        <f>SUMIFS('Dubai Stock'!I:I,'Dubai Stock'!H:H,Final_UAE!B:B)</f>
        <v/>
      </c>
      <c r="H1099" s="8" t="e">
        <v>#N/A</v>
      </c>
      <c r="I1099" s="8" t="n"/>
    </row>
    <row r="1100">
      <c r="A1100" s="4" t="n">
        <v>33834</v>
      </c>
      <c r="B1100" s="4" t="inlineStr">
        <is>
          <t>cost3mo-lay-2023-p02-selene-green-sn0150</t>
        </is>
      </c>
      <c r="C1100" s="4" t="inlineStr">
        <is>
          <t>W00031886A</t>
        </is>
      </c>
      <c r="D1100" s="6">
        <f>IF(F1100&gt;=5, F1100-5, IF(F1100&lt;5, 0, F1100))</f>
        <v/>
      </c>
      <c r="E1100">
        <f>VLOOKUP(B1100,[1]Namshi!$A:$B,2,0)</f>
        <v/>
      </c>
      <c r="F1100" s="4">
        <f>SUMIFS('Dubai Stock'!I:I,'Dubai Stock'!H:H,Final_UAE!B:B)</f>
        <v/>
      </c>
      <c r="H1100" s="8" t="e">
        <v>#N/A</v>
      </c>
      <c r="I1100" s="8" t="n"/>
    </row>
    <row r="1101">
      <c r="A1101" s="4" t="n">
        <v>33834</v>
      </c>
      <c r="B1101" s="4" t="inlineStr">
        <is>
          <t>cltobiw-acu-oasy-p06-sn0100-cn0075-a010</t>
        </is>
      </c>
      <c r="C1101" s="4" t="inlineStr">
        <is>
          <t>W00031886A</t>
        </is>
      </c>
      <c r="D1101" s="6">
        <f>IF(F1101&gt;=5, F1101-5, IF(F1101&lt;5, 0, F1101))</f>
        <v/>
      </c>
      <c r="E1101">
        <f>VLOOKUP(B1101,[1]Namshi!$A:$B,2,0)</f>
        <v/>
      </c>
      <c r="F1101" s="4">
        <f>SUMIFS('Dubai Stock'!I:I,'Dubai Stock'!H:H,Final_UAE!B:B)</f>
        <v/>
      </c>
      <c r="H1101" s="8" t="e">
        <v>#N/A</v>
      </c>
      <c r="I1101" s="8" t="n"/>
    </row>
    <row r="1102">
      <c r="A1102" s="4" t="n">
        <v>33834</v>
      </c>
      <c r="B1102" s="4" t="inlineStr">
        <is>
          <t>cost3mo-lay-2020-p02-hazel-brown-sn0450</t>
        </is>
      </c>
      <c r="C1102" s="4" t="inlineStr">
        <is>
          <t>W00031886A</t>
        </is>
      </c>
      <c r="D1102" s="6">
        <f>IF(F1102&gt;=5, F1102-5, IF(F1102&lt;5, 0, F1102))</f>
        <v/>
      </c>
      <c r="E1102">
        <f>VLOOKUP(B1102,[1]Namshi!$A:$B,2,0)</f>
        <v/>
      </c>
      <c r="F1102" s="4">
        <f>SUMIFS('Dubai Stock'!I:I,'Dubai Stock'!H:H,Final_UAE!B:B)</f>
        <v/>
      </c>
      <c r="H1102" s="8" t="e">
        <v>#N/A</v>
      </c>
      <c r="I1102" s="8" t="n"/>
    </row>
    <row r="1103">
      <c r="A1103" s="4" t="n">
        <v>33834</v>
      </c>
      <c r="B1103" s="4" t="inlineStr">
        <is>
          <t>costdai-ama-dail-p10-shadow-sn0275</t>
        </is>
      </c>
      <c r="C1103" s="4" t="inlineStr">
        <is>
          <t>W00031886A</t>
        </is>
      </c>
      <c r="D1103" s="6">
        <f>IF(F1103&gt;=5, F1103-5, IF(F1103&lt;5, 0, F1103))</f>
        <v/>
      </c>
      <c r="E1103">
        <f>VLOOKUP(B1103,[1]Namshi!$A:$B,2,0)</f>
        <v/>
      </c>
      <c r="F1103" s="4">
        <f>SUMIFS('Dubai Stock'!I:I,'Dubai Stock'!H:H,Final_UAE!B:B)</f>
        <v/>
      </c>
      <c r="H1103" s="8" t="e">
        <v>#N/A</v>
      </c>
      <c r="I1103" s="8" t="n"/>
    </row>
    <row r="1104">
      <c r="A1104" s="4" t="n">
        <v>33834</v>
      </c>
      <c r="B1104" s="4" t="inlineStr">
        <is>
          <t>costmon-ama-lens-p02-crocodile-green-sn1000</t>
        </is>
      </c>
      <c r="C1104" s="4" t="inlineStr">
        <is>
          <t>W00031886A</t>
        </is>
      </c>
      <c r="D1104" s="6">
        <f>IF(F1104&gt;=5, F1104-5, IF(F1104&lt;5, 0, F1104))</f>
        <v/>
      </c>
      <c r="E1104">
        <f>VLOOKUP(B1104,[1]Namshi!$A:$B,2,0)</f>
        <v/>
      </c>
      <c r="F1104" s="4">
        <f>SUMIFS('Dubai Stock'!I:I,'Dubai Stock'!H:H,Final_UAE!B:B)</f>
        <v/>
      </c>
      <c r="H1104" s="8" t="e">
        <v>#N/A</v>
      </c>
      <c r="I1104" s="8" t="n"/>
    </row>
    <row r="1105">
      <c r="A1105" s="4" t="n">
        <v>33834</v>
      </c>
      <c r="B1105" s="4" t="inlineStr">
        <is>
          <t>cltobiw-acu-oasy-p06-sn0150-cn0075-a070</t>
        </is>
      </c>
      <c r="C1105" s="4" t="inlineStr">
        <is>
          <t>W00031886A</t>
        </is>
      </c>
      <c r="D1105" s="6">
        <f>IF(F1105&gt;=5, F1105-5, IF(F1105&lt;5, 0, F1105))</f>
        <v/>
      </c>
      <c r="E1105">
        <f>VLOOKUP(B1105,[1]Namshi!$A:$B,2,0)</f>
        <v/>
      </c>
      <c r="F1105" s="4">
        <f>SUMIFS('Dubai Stock'!I:I,'Dubai Stock'!H:H,Final_UAE!B:B)</f>
        <v/>
      </c>
      <c r="H1105" s="8" t="e">
        <v>#N/A</v>
      </c>
      <c r="I1105" s="8" t="n"/>
    </row>
    <row r="1106">
      <c r="A1106" s="4" t="n">
        <v>33834</v>
      </c>
      <c r="B1106" s="4" t="inlineStr">
        <is>
          <t>cost3mo-lay-lens-p02-platinum-gray-sn0375</t>
        </is>
      </c>
      <c r="C1106" s="4" t="inlineStr">
        <is>
          <t>W00031886A</t>
        </is>
      </c>
      <c r="D1106" s="6">
        <f>IF(F1106&gt;=5, F1106-5, IF(F1106&lt;5, 0, F1106))</f>
        <v/>
      </c>
      <c r="E1106">
        <f>VLOOKUP(B1106,[1]Namshi!$A:$B,2,0)</f>
        <v/>
      </c>
      <c r="F1106" s="4">
        <f>SUMIFS('Dubai Stock'!I:I,'Dubai Stock'!H:H,Final_UAE!B:B)</f>
        <v/>
      </c>
      <c r="H1106" s="8" t="e">
        <v>#N/A</v>
      </c>
      <c r="I1106" s="8" t="n"/>
    </row>
    <row r="1107">
      <c r="A1107" s="4" t="n">
        <v>33834</v>
      </c>
      <c r="B1107" s="4" t="inlineStr">
        <is>
          <t>clstdai-acu-omax-p30-sp0575</t>
        </is>
      </c>
      <c r="C1107" s="4" t="inlineStr">
        <is>
          <t>W00031886A</t>
        </is>
      </c>
      <c r="D1107" s="6">
        <f>IF(F1107&gt;=5, F1107-5, IF(F1107&lt;5, 0, F1107))</f>
        <v/>
      </c>
      <c r="E1107">
        <f>VLOOKUP(B1107,[1]Namshi!$A:$B,2,0)</f>
        <v/>
      </c>
      <c r="F1107" s="4">
        <f>SUMIFS('Dubai Stock'!I:I,'Dubai Stock'!H:H,Final_UAE!B:B)</f>
        <v/>
      </c>
      <c r="H1107" s="8" t="e">
        <v>#N/A</v>
      </c>
      <c r="I1107" s="8" t="n"/>
    </row>
    <row r="1108">
      <c r="A1108" s="4" t="n">
        <v>33834</v>
      </c>
      <c r="B1108" s="4" t="inlineStr">
        <is>
          <t>cost3mo-lay-2021-p02-skye-blue-sn0050</t>
        </is>
      </c>
      <c r="C1108" s="4" t="inlineStr">
        <is>
          <t>W00031886A</t>
        </is>
      </c>
      <c r="D1108" s="6">
        <f>IF(F1108&gt;=5, F1108-5, IF(F1108&lt;5, 0, F1108))</f>
        <v/>
      </c>
      <c r="E1108">
        <f>VLOOKUP(B1108,[1]Namshi!$A:$B,2,0)</f>
        <v/>
      </c>
      <c r="F1108" s="4">
        <f>SUMIFS('Dubai Stock'!I:I,'Dubai Stock'!H:H,Final_UAE!B:B)</f>
        <v/>
      </c>
      <c r="H1108" s="8" t="e">
        <v>#N/A</v>
      </c>
      <c r="I1108" s="8" t="n"/>
    </row>
    <row r="1109">
      <c r="A1109" s="4" t="n">
        <v>33834</v>
      </c>
      <c r="B1109" s="4" t="inlineStr">
        <is>
          <t>su20107-30s-000213-0107-50</t>
        </is>
      </c>
      <c r="C1109" s="4" t="inlineStr">
        <is>
          <t>W00031886A</t>
        </is>
      </c>
      <c r="D1109" s="6">
        <f>IF(F1109&gt;=5, F1109-5, IF(F1109&lt;5, 0, F1109))</f>
        <v/>
      </c>
      <c r="E1109">
        <f>VLOOKUP(B1109,[1]Namshi!$A:$B,2,0)</f>
        <v/>
      </c>
      <c r="F1109" s="4">
        <f>SUMIFS('Dubai Stock'!I:I,'Dubai Stock'!H:H,Final_UAE!B:B)</f>
        <v/>
      </c>
      <c r="H1109" s="8" t="e">
        <v>#N/A</v>
      </c>
    </row>
    <row r="1110">
      <c r="A1110" s="4" t="n">
        <v>33834</v>
      </c>
      <c r="B1110" s="4" t="inlineStr">
        <is>
          <t>clstdai-lay-cont-p90-dazzle-brown-sn0700</t>
        </is>
      </c>
      <c r="C1110" s="4" t="inlineStr">
        <is>
          <t>W00031886A</t>
        </is>
      </c>
      <c r="D1110" s="6">
        <f>IF(F1110&gt;=5, F1110-5, IF(F1110&lt;5, 0, F1110))</f>
        <v/>
      </c>
      <c r="E1110">
        <f>VLOOKUP(B1110,[1]Namshi!$A:$B,2,0)</f>
        <v/>
      </c>
      <c r="F1110" s="4">
        <f>SUMIFS('Dubai Stock'!I:I,'Dubai Stock'!H:H,Final_UAE!B:B)</f>
        <v/>
      </c>
      <c r="H1110" s="8" t="e">
        <v>#N/A</v>
      </c>
      <c r="I1110" s="8" t="n"/>
    </row>
    <row r="1111">
      <c r="A1111" s="4" t="n">
        <v>33834</v>
      </c>
      <c r="B1111" s="4" t="inlineStr">
        <is>
          <t>costdai-acu-dffr-p30-grayzel-sn0100</t>
        </is>
      </c>
      <c r="C1111" s="4" t="inlineStr">
        <is>
          <t>W00031886A</t>
        </is>
      </c>
      <c r="D1111" s="6">
        <f>IF(F1111&gt;=5, F1111-5, IF(F1111&lt;5, 0, F1111))</f>
        <v/>
      </c>
      <c r="E1111">
        <f>VLOOKUP(B1111,[1]Namshi!$A:$B,2,0)</f>
        <v/>
      </c>
      <c r="F1111" s="4">
        <f>SUMIFS('Dubai Stock'!I:I,'Dubai Stock'!H:H,Final_UAE!B:B)</f>
        <v/>
      </c>
      <c r="H1111" s="8" t="e">
        <v>#N/A</v>
      </c>
      <c r="I1111" s="8" t="n"/>
    </row>
    <row r="1112">
      <c r="A1112" s="4" t="n">
        <v>33834</v>
      </c>
      <c r="B1112" s="4" t="inlineStr">
        <is>
          <t>costmon-ama-lens-p02-mocca-sn0175</t>
        </is>
      </c>
      <c r="C1112" s="4" t="inlineStr">
        <is>
          <t>W00031886A</t>
        </is>
      </c>
      <c r="D1112" s="6">
        <f>IF(F1112&gt;=5, F1112-5, IF(F1112&lt;5, 0, F1112))</f>
        <v/>
      </c>
      <c r="E1112">
        <f>VLOOKUP(B1112,[1]Namshi!$A:$B,2,0)</f>
        <v/>
      </c>
      <c r="F1112" s="4">
        <f>SUMIFS('Dubai Stock'!I:I,'Dubai Stock'!H:H,Final_UAE!B:B)</f>
        <v/>
      </c>
      <c r="H1112" s="8" t="e">
        <v>#N/A</v>
      </c>
      <c r="I1112" s="8" t="n"/>
    </row>
    <row r="1113">
      <c r="A1113" s="4" t="n">
        <v>33834</v>
      </c>
      <c r="B1113" s="4" t="inlineStr">
        <is>
          <t>saccase-30s-case103-blk-blk-black</t>
        </is>
      </c>
      <c r="C1113" s="4" t="inlineStr">
        <is>
          <t>W00031886A</t>
        </is>
      </c>
      <c r="D1113" s="6">
        <f>IF(F1113&gt;=5, F1113-5, IF(F1113&lt;5, 0, F1113))</f>
        <v/>
      </c>
      <c r="E1113">
        <f>VLOOKUP(B1113,[1]Namshi!$A:$B,2,0)</f>
        <v/>
      </c>
      <c r="F1113" s="4">
        <f>SUMIFS('Dubai Stock'!I:I,'Dubai Stock'!H:H,Final_UAE!B:B)</f>
        <v/>
      </c>
      <c r="H1113" s="8" t="e">
        <v>#N/A</v>
      </c>
      <c r="I1113" s="8" t="n"/>
    </row>
    <row r="1114">
      <c r="A1114" s="4" t="n">
        <v>33834</v>
      </c>
      <c r="B1114" s="4" t="inlineStr">
        <is>
          <t>sm50102-30s-000251-2902-51</t>
        </is>
      </c>
      <c r="C1114" s="4" t="inlineStr">
        <is>
          <t>W00031886A</t>
        </is>
      </c>
      <c r="D1114" s="6">
        <f>IF(F1114&gt;=5, F1114-5, IF(F1114&lt;5, 0, F1114))</f>
        <v/>
      </c>
      <c r="E1114">
        <f>VLOOKUP(B1114,[1]Namshi!$A:$B,2,0)</f>
        <v/>
      </c>
      <c r="F1114" s="4">
        <f>SUMIFS('Dubai Stock'!I:I,'Dubai Stock'!H:H,Final_UAE!B:B)</f>
        <v/>
      </c>
      <c r="H1114" s="8" t="e">
        <v>#N/A</v>
      </c>
    </row>
    <row r="1115">
      <c r="A1115" s="4" t="n">
        <v>33834</v>
      </c>
      <c r="B1115" s="4" t="inlineStr">
        <is>
          <t>clstdai-cla-iris-p30-alicia-brown-sn0075</t>
        </is>
      </c>
      <c r="C1115" s="4" t="inlineStr">
        <is>
          <t>W00031886A</t>
        </is>
      </c>
      <c r="D1115" s="6">
        <f>IF(F1115&gt;=5, F1115-5, IF(F1115&lt;5, 0, F1115))</f>
        <v/>
      </c>
      <c r="E1115">
        <f>VLOOKUP(B1115,[1]Namshi!$A:$B,2,0)</f>
        <v/>
      </c>
      <c r="F1115" s="4">
        <f>SUMIFS('Dubai Stock'!I:I,'Dubai Stock'!H:H,Final_UAE!B:B)</f>
        <v/>
      </c>
      <c r="H1115" s="8" t="e">
        <v>#N/A</v>
      </c>
      <c r="I1115" s="8" t="n"/>
    </row>
    <row r="1116">
      <c r="A1116" s="4" t="n">
        <v>33834</v>
      </c>
      <c r="B1116" s="4" t="inlineStr">
        <is>
          <t>bc51318-bab-000506-1318-48</t>
        </is>
      </c>
      <c r="C1116" s="4" t="inlineStr">
        <is>
          <t>W00031886A</t>
        </is>
      </c>
      <c r="D1116" s="6">
        <f>IF(F1116&gt;=5, F1116-5, IF(F1116&lt;5, 0, F1116))</f>
        <v/>
      </c>
      <c r="E1116">
        <f>VLOOKUP(B1116,[1]Namshi!$A:$B,2,0)</f>
        <v/>
      </c>
      <c r="F1116" s="4">
        <f>SUMIFS('Dubai Stock'!I:I,'Dubai Stock'!H:H,Final_UAE!B:B)</f>
        <v/>
      </c>
      <c r="H1116" s="8" t="e">
        <v>#N/A</v>
      </c>
    </row>
    <row r="1117">
      <c r="A1117" s="4" t="n">
        <v>33834</v>
      </c>
      <c r="B1117" s="4" t="inlineStr">
        <is>
          <t>sacchan-30s-chain130-grn-clover-green</t>
        </is>
      </c>
      <c r="C1117" s="4" t="inlineStr">
        <is>
          <t>W00031886A</t>
        </is>
      </c>
      <c r="D1117" s="6">
        <f>IF(F1117&gt;=5, F1117-5, IF(F1117&lt;5, 0, F1117))</f>
        <v/>
      </c>
      <c r="E1117">
        <f>VLOOKUP(B1117,[1]Namshi!$A:$B,2,0)</f>
        <v/>
      </c>
      <c r="F1117" s="4">
        <f>SUMIFS('Dubai Stock'!I:I,'Dubai Stock'!H:H,Final_UAE!B:B)</f>
        <v/>
      </c>
      <c r="H1117" s="8" t="e">
        <v>#N/A</v>
      </c>
      <c r="I1117" s="8" t="n"/>
    </row>
    <row r="1118">
      <c r="A1118" s="4" t="n">
        <v>33834</v>
      </c>
      <c r="B1118" s="4" t="inlineStr">
        <is>
          <t>clstdai-acu-mois-p30-sn0900</t>
        </is>
      </c>
      <c r="C1118" s="4" t="inlineStr">
        <is>
          <t>W00031886A</t>
        </is>
      </c>
      <c r="D1118" s="6">
        <f>IF(F1118&gt;=5, F1118-5, IF(F1118&lt;5, 0, F1118))</f>
        <v/>
      </c>
      <c r="E1118">
        <f>VLOOKUP(B1118,[1]Namshi!$A:$B,2,0)</f>
        <v/>
      </c>
      <c r="F1118" s="4">
        <f>SUMIFS('Dubai Stock'!I:I,'Dubai Stock'!H:H,Final_UAE!B:B)</f>
        <v/>
      </c>
      <c r="H1118" s="8" t="e">
        <v>#N/A</v>
      </c>
      <c r="I1118" s="8" t="n"/>
    </row>
    <row r="1119">
      <c r="A1119" s="4" t="n">
        <v>33834</v>
      </c>
      <c r="B1119" s="4" t="inlineStr">
        <is>
          <t>sw40107-30s-000240-0101-50</t>
        </is>
      </c>
      <c r="C1119" s="4" t="inlineStr">
        <is>
          <t>W00031886A</t>
        </is>
      </c>
      <c r="D1119" s="6">
        <f>IF(F1119&gt;=5, F1119-5, IF(F1119&lt;5, 0, F1119))</f>
        <v/>
      </c>
      <c r="E1119">
        <f>VLOOKUP(B1119,[1]Namshi!$A:$B,2,0)</f>
        <v/>
      </c>
      <c r="F1119" s="4">
        <f>SUMIFS('Dubai Stock'!I:I,'Dubai Stock'!H:H,Final_UAE!B:B)</f>
        <v/>
      </c>
      <c r="H1119" s="8" t="e">
        <v>#N/A</v>
      </c>
    </row>
    <row r="1120">
      <c r="A1120" s="4" t="n">
        <v>33834</v>
      </c>
      <c r="B1120" s="4" t="inlineStr">
        <is>
          <t>clstdai-lay-cont-p90-dazzle-black-sn0325</t>
        </is>
      </c>
      <c r="C1120" s="4" t="inlineStr">
        <is>
          <t>W00031886A</t>
        </is>
      </c>
      <c r="D1120" s="6">
        <f>IF(F1120&gt;=5, F1120-5, IF(F1120&lt;5, 0, F1120))</f>
        <v/>
      </c>
      <c r="E1120">
        <f>VLOOKUP(B1120,[1]Namshi!$A:$B,2,0)</f>
        <v/>
      </c>
      <c r="F1120" s="4">
        <f>SUMIFS('Dubai Stock'!I:I,'Dubai Stock'!H:H,Final_UAE!B:B)</f>
        <v/>
      </c>
      <c r="H1120" s="8" t="e">
        <v>#N/A</v>
      </c>
      <c r="I1120" s="8" t="n"/>
    </row>
    <row r="1121">
      <c r="A1121" s="4" t="n">
        <v>33834</v>
      </c>
      <c r="B1121" s="4" t="inlineStr">
        <is>
          <t>clstdai-btr-oned-p30-sn0100</t>
        </is>
      </c>
      <c r="C1121" s="4" t="inlineStr">
        <is>
          <t>W00031886A</t>
        </is>
      </c>
      <c r="D1121" s="6">
        <f>IF(F1121&gt;=5, F1121-5, IF(F1121&lt;5, 0, F1121))</f>
        <v/>
      </c>
      <c r="E1121">
        <f>VLOOKUP(B1121,[1]Namshi!$A:$B,2,0)</f>
        <v/>
      </c>
      <c r="F1121" s="4">
        <f>SUMIFS('Dubai Stock'!I:I,'Dubai Stock'!H:H,Final_UAE!B:B)</f>
        <v/>
      </c>
      <c r="H1121" s="8" t="e">
        <v>#N/A</v>
      </c>
      <c r="I1121" s="8" t="n"/>
    </row>
    <row r="1122">
      <c r="A1122" s="4" t="n">
        <v>33834</v>
      </c>
      <c r="B1122" s="4" t="inlineStr">
        <is>
          <t>clstdai-acu-dfna-p30-sn0800</t>
        </is>
      </c>
      <c r="C1122" s="4" t="inlineStr">
        <is>
          <t>W00031886A</t>
        </is>
      </c>
      <c r="D1122" s="6">
        <f>IF(F1122&gt;=5, F1122-5, IF(F1122&lt;5, 0, F1122))</f>
        <v/>
      </c>
      <c r="E1122">
        <f>VLOOKUP(B1122,[1]Namshi!$A:$B,2,0)</f>
        <v/>
      </c>
      <c r="F1122" s="4">
        <f>SUMIFS('Dubai Stock'!I:I,'Dubai Stock'!H:H,Final_UAE!B:B)</f>
        <v/>
      </c>
      <c r="H1122" s="8" t="e">
        <v>#N/A</v>
      </c>
      <c r="I1122" s="8" t="n"/>
    </row>
    <row r="1123">
      <c r="A1123" s="4" t="n">
        <v>33834</v>
      </c>
      <c r="B1123" s="4" t="inlineStr">
        <is>
          <t>clstdai-acu-omax-p30-sp0650</t>
        </is>
      </c>
      <c r="C1123" s="4" t="inlineStr">
        <is>
          <t>W00031886A</t>
        </is>
      </c>
      <c r="D1123" s="6">
        <f>IF(F1123&gt;=5, F1123-5, IF(F1123&lt;5, 0, F1123))</f>
        <v/>
      </c>
      <c r="E1123">
        <f>VLOOKUP(B1123,[1]Namshi!$A:$B,2,0)</f>
        <v/>
      </c>
      <c r="F1123" s="4">
        <f>SUMIFS('Dubai Stock'!I:I,'Dubai Stock'!H:H,Final_UAE!B:B)</f>
        <v/>
      </c>
      <c r="H1123" s="8" t="e">
        <v>#N/A</v>
      </c>
      <c r="I1123" s="8" t="n"/>
    </row>
    <row r="1124">
      <c r="A1124" s="4" t="n">
        <v>33834</v>
      </c>
      <c r="B1124" s="4" t="inlineStr">
        <is>
          <t>costmon-ama-2022-p02-tiger-eyes-sn0125</t>
        </is>
      </c>
      <c r="C1124" s="4" t="inlineStr">
        <is>
          <t>W00031886A</t>
        </is>
      </c>
      <c r="D1124" s="6">
        <f>IF(F1124&gt;=5, F1124-5, IF(F1124&lt;5, 0, F1124))</f>
        <v/>
      </c>
      <c r="E1124">
        <f>VLOOKUP(B1124,[1]Namshi!$A:$B,2,0)</f>
        <v/>
      </c>
      <c r="F1124" s="4">
        <f>SUMIFS('Dubai Stock'!I:I,'Dubai Stock'!H:H,Final_UAE!B:B)</f>
        <v/>
      </c>
      <c r="H1124" s="8" t="e">
        <v>#N/A</v>
      </c>
      <c r="I1124" s="8" t="n"/>
    </row>
    <row r="1125">
      <c r="A1125" s="4" t="n">
        <v>33834</v>
      </c>
      <c r="B1125" s="4" t="inlineStr">
        <is>
          <t>cltobiw-acu-oasy-p06-sn0425-cn0075-a010</t>
        </is>
      </c>
      <c r="C1125" s="4" t="inlineStr">
        <is>
          <t>W00031886A</t>
        </is>
      </c>
      <c r="D1125" s="6">
        <f>IF(F1125&gt;=5, F1125-5, IF(F1125&lt;5, 0, F1125))</f>
        <v/>
      </c>
      <c r="E1125">
        <f>VLOOKUP(B1125,[1]Namshi!$A:$B,2,0)</f>
        <v/>
      </c>
      <c r="F1125" s="4">
        <f>SUMIFS('Dubai Stock'!I:I,'Dubai Stock'!H:H,Final_UAE!B:B)</f>
        <v/>
      </c>
      <c r="H1125" s="8" t="e">
        <v>#N/A</v>
      </c>
      <c r="I1125" s="8" t="n"/>
    </row>
    <row r="1126">
      <c r="A1126" s="4" t="n">
        <v>33834</v>
      </c>
      <c r="B1126" s="4" t="inlineStr">
        <is>
          <t>costmon-ama-2020-p02-charcoal-gray-sn0525</t>
        </is>
      </c>
      <c r="C1126" s="4" t="inlineStr">
        <is>
          <t>W00031886A</t>
        </is>
      </c>
      <c r="D1126" s="6">
        <f>IF(F1126&gt;=5, F1126-5, IF(F1126&lt;5, 0, F1126))</f>
        <v/>
      </c>
      <c r="E1126">
        <f>VLOOKUP(B1126,[1]Namshi!$A:$B,2,0)</f>
        <v/>
      </c>
      <c r="F1126" s="4">
        <f>SUMIFS('Dubai Stock'!I:I,'Dubai Stock'!H:H,Final_UAE!B:B)</f>
        <v/>
      </c>
      <c r="H1126" s="8" t="e">
        <v>#N/A</v>
      </c>
      <c r="I1126" s="8" t="n"/>
    </row>
    <row r="1127">
      <c r="A1127" s="4" t="n">
        <v>33834</v>
      </c>
      <c r="B1127" s="4" t="inlineStr">
        <is>
          <t>costdai-acu-dffr-p10-blue-sn0175</t>
        </is>
      </c>
      <c r="C1127" s="4" t="inlineStr">
        <is>
          <t>W00031886A</t>
        </is>
      </c>
      <c r="D1127" s="6">
        <f>IF(F1127&gt;=5, F1127-5, IF(F1127&lt;5, 0, F1127))</f>
        <v/>
      </c>
      <c r="E1127">
        <f>VLOOKUP(B1127,[1]Namshi!$A:$B,2,0)</f>
        <v/>
      </c>
      <c r="F1127" s="4">
        <f>SUMIFS('Dubai Stock'!I:I,'Dubai Stock'!H:H,Final_UAE!B:B)</f>
        <v/>
      </c>
      <c r="H1127" s="8" t="e">
        <v>#N/A</v>
      </c>
      <c r="I1127" s="8" t="n"/>
    </row>
    <row r="1128">
      <c r="A1128" s="4" t="n">
        <v>33834</v>
      </c>
      <c r="B1128" s="4" t="inlineStr">
        <is>
          <t>ru40118-spc-000850-0118-49-sp0150</t>
        </is>
      </c>
      <c r="C1128" s="4" t="inlineStr">
        <is>
          <t>W00031886A</t>
        </is>
      </c>
      <c r="D1128" s="6">
        <f>IF(F1128&gt;=5, F1128-5, IF(F1128&lt;5, 0, F1128))</f>
        <v/>
      </c>
      <c r="E1128">
        <f>VLOOKUP(B1128,[1]Namshi!$A:$B,2,0)</f>
        <v/>
      </c>
      <c r="F1128" s="4">
        <f>SUMIFS('Dubai Stock'!I:I,'Dubai Stock'!H:H,Final_UAE!B:B)</f>
        <v/>
      </c>
      <c r="H1128" s="8" t="e">
        <v>#N/A</v>
      </c>
      <c r="I1128" s="8" t="n"/>
    </row>
    <row r="1129">
      <c r="A1129" s="4" t="n">
        <v>33834</v>
      </c>
      <c r="B1129" s="4" t="inlineStr">
        <is>
          <t>clstbiw-acu-0002-p06-sp0550</t>
        </is>
      </c>
      <c r="C1129" s="4" t="inlineStr">
        <is>
          <t>W00031886A</t>
        </is>
      </c>
      <c r="D1129" s="6">
        <f>IF(F1129&gt;=5, F1129-5, IF(F1129&lt;5, 0, F1129))</f>
        <v/>
      </c>
      <c r="E1129">
        <f>VLOOKUP(B1129,[1]Namshi!$A:$B,2,0)</f>
        <v/>
      </c>
      <c r="F1129" s="4">
        <f>SUMIFS('Dubai Stock'!I:I,'Dubai Stock'!H:H,Final_UAE!B:B)</f>
        <v/>
      </c>
      <c r="H1129" s="8" t="e">
        <v>#N/A</v>
      </c>
      <c r="I1129" s="8" t="n"/>
    </row>
    <row r="1130">
      <c r="A1130" s="4" t="n">
        <v>33834</v>
      </c>
      <c r="B1130" s="4" t="inlineStr">
        <is>
          <t>costmon-ama-2022-p02-tan-sn0350</t>
        </is>
      </c>
      <c r="C1130" s="4" t="inlineStr">
        <is>
          <t>W00031886A</t>
        </is>
      </c>
      <c r="D1130" s="6">
        <f>IF(F1130&gt;=5, F1130-5, IF(F1130&lt;5, 0, F1130))</f>
        <v/>
      </c>
      <c r="E1130">
        <f>VLOOKUP(B1130,[1]Namshi!$A:$B,2,0)</f>
        <v/>
      </c>
      <c r="F1130" s="4">
        <f>SUMIFS('Dubai Stock'!I:I,'Dubai Stock'!H:H,Final_UAE!B:B)</f>
        <v/>
      </c>
      <c r="H1130" s="8" t="e">
        <v>#N/A</v>
      </c>
      <c r="I1130" s="8" t="n"/>
    </row>
    <row r="1131">
      <c r="A1131" s="4" t="n">
        <v>33834</v>
      </c>
      <c r="B1131" s="4" t="inlineStr">
        <is>
          <t>clstdai-acu-oasy-p30-sp0100</t>
        </is>
      </c>
      <c r="C1131" s="4" t="inlineStr">
        <is>
          <t>W00031886A</t>
        </is>
      </c>
      <c r="D1131" s="6">
        <f>IF(F1131&gt;=5, F1131-5, IF(F1131&lt;5, 0, F1131))</f>
        <v/>
      </c>
      <c r="E1131">
        <f>VLOOKUP(B1131,[1]Namshi!$A:$B,2,0)</f>
        <v/>
      </c>
      <c r="F1131" s="4">
        <f>SUMIFS('Dubai Stock'!I:I,'Dubai Stock'!H:H,Final_UAE!B:B)</f>
        <v/>
      </c>
      <c r="H1131" s="8" t="e">
        <v>#N/A</v>
      </c>
      <c r="I1131" s="8" t="n"/>
    </row>
    <row r="1132">
      <c r="A1132" s="4" t="n">
        <v>33834</v>
      </c>
      <c r="B1132" s="4" t="inlineStr">
        <is>
          <t>sw100407-bla-000318-0407-56</t>
        </is>
      </c>
      <c r="C1132" s="4" t="inlineStr">
        <is>
          <t>W00031886A</t>
        </is>
      </c>
      <c r="D1132" s="6">
        <f>IF(F1132&gt;=5, F1132-5, IF(F1132&lt;5, 0, F1132))</f>
        <v/>
      </c>
      <c r="E1132">
        <f>VLOOKUP(B1132,[1]Namshi!$A:$B,2,0)</f>
        <v/>
      </c>
      <c r="F1132" s="4">
        <f>SUMIFS('Dubai Stock'!I:I,'Dubai Stock'!H:H,Final_UAE!B:B)</f>
        <v/>
      </c>
      <c r="H1132" s="8" t="e">
        <v>#N/A</v>
      </c>
    </row>
    <row r="1133">
      <c r="A1133" s="4" t="n">
        <v>33834</v>
      </c>
      <c r="B1133" s="4" t="inlineStr">
        <is>
          <t>bc70218-bab-000513-0218-46</t>
        </is>
      </c>
      <c r="C1133" s="4" t="inlineStr">
        <is>
          <t>W00031886A</t>
        </is>
      </c>
      <c r="D1133" s="6">
        <f>IF(F1133&gt;=5, F1133-5, IF(F1133&lt;5, 0, F1133))</f>
        <v/>
      </c>
      <c r="E1133">
        <f>VLOOKUP(B1133,[1]Namshi!$A:$B,2,0)</f>
        <v/>
      </c>
      <c r="F1133" s="4">
        <f>SUMIFS('Dubai Stock'!I:I,'Dubai Stock'!H:H,Final_UAE!B:B)</f>
        <v/>
      </c>
      <c r="H1133" s="8" t="e">
        <v>#N/A</v>
      </c>
    </row>
    <row r="1134">
      <c r="A1134" s="4" t="n">
        <v>33834</v>
      </c>
      <c r="B1134" s="4" t="inlineStr">
        <is>
          <t>sm100702-30s-000407-0702-52</t>
        </is>
      </c>
      <c r="C1134" s="4" t="inlineStr">
        <is>
          <t>W00031886A</t>
        </is>
      </c>
      <c r="D1134" s="6">
        <f>IF(F1134&gt;=5, F1134-5, IF(F1134&lt;5, 0, F1134))</f>
        <v/>
      </c>
      <c r="E1134">
        <f>VLOOKUP(B1134,[1]Namshi!$A:$B,2,0)</f>
        <v/>
      </c>
      <c r="F1134" s="4">
        <f>SUMIFS('Dubai Stock'!I:I,'Dubai Stock'!H:H,Final_UAE!B:B)</f>
        <v/>
      </c>
      <c r="H1134" s="8" t="e">
        <v>#N/A</v>
      </c>
    </row>
    <row r="1135">
      <c r="A1135" s="4" t="n">
        <v>33834</v>
      </c>
      <c r="B1135" s="4" t="inlineStr">
        <is>
          <t>saccase-30s-case103-nvy-brn-navy-blue</t>
        </is>
      </c>
      <c r="C1135" s="4" t="inlineStr">
        <is>
          <t>W00031886A</t>
        </is>
      </c>
      <c r="D1135" s="6">
        <f>IF(F1135&gt;=5, F1135-5, IF(F1135&lt;5, 0, F1135))</f>
        <v/>
      </c>
      <c r="E1135">
        <f>VLOOKUP(B1135,[1]Namshi!$A:$B,2,0)</f>
        <v/>
      </c>
      <c r="F1135" s="4">
        <f>SUMIFS('Dubai Stock'!I:I,'Dubai Stock'!H:H,Final_UAE!B:B)</f>
        <v/>
      </c>
      <c r="H1135" s="8" t="e">
        <v>#N/A</v>
      </c>
      <c r="I1135" s="8" t="n"/>
    </row>
    <row r="1136">
      <c r="A1136" s="4" t="n">
        <v>33834</v>
      </c>
      <c r="B1136" s="4" t="inlineStr">
        <is>
          <t>sw62104-bla-000242-2104-52</t>
        </is>
      </c>
      <c r="C1136" s="4" t="inlineStr">
        <is>
          <t>W00031886A</t>
        </is>
      </c>
      <c r="D1136" s="6">
        <f>IF(F1136&gt;=5, F1136-5, IF(F1136&lt;5, 0, F1136))</f>
        <v/>
      </c>
      <c r="E1136">
        <f>VLOOKUP(B1136,[1]Namshi!$A:$B,2,0)</f>
        <v/>
      </c>
      <c r="F1136" s="4">
        <f>SUMIFS('Dubai Stock'!I:I,'Dubai Stock'!H:H,Final_UAE!B:B)</f>
        <v/>
      </c>
      <c r="H1136" s="8" t="e">
        <v>#N/A</v>
      </c>
    </row>
    <row r="1137">
      <c r="A1137" s="4" t="n">
        <v>33834</v>
      </c>
      <c r="B1137" s="4" t="inlineStr">
        <is>
          <t>fu70118-spc-000832-0118-50</t>
        </is>
      </c>
      <c r="C1137" s="4" t="inlineStr">
        <is>
          <t>W00031886A</t>
        </is>
      </c>
      <c r="D1137" s="6">
        <f>IF(F1137&gt;=5, F1137-5, IF(F1137&lt;5, 0, F1137))</f>
        <v/>
      </c>
      <c r="E1137">
        <f>VLOOKUP(B1137,[1]Namshi!$A:$B,2,0)</f>
        <v/>
      </c>
      <c r="F1137" s="4">
        <f>SUMIFS('Dubai Stock'!I:I,'Dubai Stock'!H:H,Final_UAE!B:B)</f>
        <v/>
      </c>
      <c r="H1137" s="8" t="e">
        <v>#N/A</v>
      </c>
      <c r="I1137" s="8" t="n"/>
    </row>
    <row r="1138">
      <c r="A1138" s="4" t="n">
        <v>33834</v>
      </c>
      <c r="B1138" s="4" t="inlineStr">
        <is>
          <t>clstdai-lay-cont-p90-dazzle-brown-sn0800</t>
        </is>
      </c>
      <c r="C1138" s="4" t="inlineStr">
        <is>
          <t>W00031886A</t>
        </is>
      </c>
      <c r="D1138" s="6">
        <f>IF(F1138&gt;=5, F1138-5, IF(F1138&lt;5, 0, F1138))</f>
        <v/>
      </c>
      <c r="E1138">
        <f>VLOOKUP(B1138,[1]Namshi!$A:$B,2,0)</f>
        <v/>
      </c>
      <c r="F1138" s="4">
        <f>SUMIFS('Dubai Stock'!I:I,'Dubai Stock'!H:H,Final_UAE!B:B)</f>
        <v/>
      </c>
      <c r="H1138" s="8" t="e">
        <v>#N/A</v>
      </c>
      <c r="I1138" s="8" t="n"/>
    </row>
    <row r="1139">
      <c r="A1139" s="4" t="n">
        <v>33834</v>
      </c>
      <c r="B1139" s="4" t="inlineStr">
        <is>
          <t>clstdai-dai-aqua-p90-sp0250</t>
        </is>
      </c>
      <c r="C1139" s="4" t="inlineStr">
        <is>
          <t>W00031886A</t>
        </is>
      </c>
      <c r="D1139" s="6">
        <f>IF(F1139&gt;=5, F1139-5, IF(F1139&lt;5, 0, F1139))</f>
        <v/>
      </c>
      <c r="E1139">
        <f>VLOOKUP(B1139,[1]Namshi!$A:$B,2,0)</f>
        <v/>
      </c>
      <c r="F1139" s="4">
        <f>SUMIFS('Dubai Stock'!I:I,'Dubai Stock'!H:H,Final_UAE!B:B)</f>
        <v/>
      </c>
      <c r="H1139" s="8" t="e">
        <v>#N/A</v>
      </c>
      <c r="I1139" s="8" t="n"/>
    </row>
    <row r="1140">
      <c r="A1140" s="4" t="n">
        <v>33834</v>
      </c>
      <c r="B1140" s="4" t="inlineStr">
        <is>
          <t>costmon-ama-2024-p02-chocolate-sn0275</t>
        </is>
      </c>
      <c r="C1140" s="4" t="inlineStr">
        <is>
          <t>W00031886A</t>
        </is>
      </c>
      <c r="D1140" s="6">
        <f>IF(F1140&gt;=5, F1140-5, IF(F1140&lt;5, 0, F1140))</f>
        <v/>
      </c>
      <c r="E1140">
        <f>VLOOKUP(B1140,[1]Namshi!$A:$B,2,0)</f>
        <v/>
      </c>
      <c r="F1140" s="4">
        <f>SUMIFS('Dubai Stock'!I:I,'Dubai Stock'!H:H,Final_UAE!B:B)</f>
        <v/>
      </c>
      <c r="H1140" s="8" t="e">
        <v>#N/A</v>
      </c>
      <c r="I1140" s="8" t="n"/>
    </row>
    <row r="1141">
      <c r="A1141" s="4" t="n">
        <v>33834</v>
      </c>
      <c r="B1141" s="4" t="inlineStr">
        <is>
          <t>costmon-ama-lens-p02-dark-sepia-sn0125</t>
        </is>
      </c>
      <c r="C1141" s="4" t="inlineStr">
        <is>
          <t>W00031886A</t>
        </is>
      </c>
      <c r="D1141" s="6">
        <f>IF(F1141&gt;=5, F1141-5, IF(F1141&lt;5, 0, F1141))</f>
        <v/>
      </c>
      <c r="E1141">
        <f>VLOOKUP(B1141,[1]Namshi!$A:$B,2,0)</f>
        <v/>
      </c>
      <c r="F1141" s="4">
        <f>SUMIFS('Dubai Stock'!I:I,'Dubai Stock'!H:H,Final_UAE!B:B)</f>
        <v/>
      </c>
      <c r="H1141" s="8" t="e">
        <v>#N/A</v>
      </c>
      <c r="I1141" s="8" t="n"/>
    </row>
    <row r="1142">
      <c r="A1142" s="4" t="n">
        <v>33834</v>
      </c>
      <c r="B1142" s="4" t="inlineStr">
        <is>
          <t>sw42904-bla-000245-2904-51</t>
        </is>
      </c>
      <c r="C1142" s="4" t="inlineStr">
        <is>
          <t>W00031886A</t>
        </is>
      </c>
      <c r="D1142" s="6">
        <f>IF(F1142&gt;=5, F1142-5, IF(F1142&lt;5, 0, F1142))</f>
        <v/>
      </c>
      <c r="E1142">
        <f>VLOOKUP(B1142,[1]Namshi!$A:$B,2,0)</f>
        <v/>
      </c>
      <c r="F1142" s="4">
        <f>SUMIFS('Dubai Stock'!I:I,'Dubai Stock'!H:H,Final_UAE!B:B)</f>
        <v/>
      </c>
      <c r="H1142" s="8" t="e">
        <v>#N/A</v>
      </c>
    </row>
    <row r="1143">
      <c r="A1143" s="4" t="n">
        <v>33834</v>
      </c>
      <c r="B1143" s="4" t="inlineStr">
        <is>
          <t>clstdai-acu-oasy-p30-sn0400</t>
        </is>
      </c>
      <c r="C1143" s="4" t="inlineStr">
        <is>
          <t>W00031886A</t>
        </is>
      </c>
      <c r="D1143" s="6">
        <f>IF(F1143&gt;=5, F1143-5, IF(F1143&lt;5, 0, F1143))</f>
        <v/>
      </c>
      <c r="E1143">
        <f>VLOOKUP(B1143,[1]Namshi!$A:$B,2,0)</f>
        <v/>
      </c>
      <c r="F1143" s="4">
        <f>SUMIFS('Dubai Stock'!I:I,'Dubai Stock'!H:H,Final_UAE!B:B)</f>
        <v/>
      </c>
      <c r="H1143" s="8" t="e">
        <v>#N/A</v>
      </c>
      <c r="I1143" s="8" t="n"/>
    </row>
    <row r="1144">
      <c r="A1144" s="4" t="n">
        <v>33834</v>
      </c>
      <c r="B1144" s="4" t="inlineStr">
        <is>
          <t>sw52904-bla-000219-2904-57</t>
        </is>
      </c>
      <c r="C1144" s="4" t="inlineStr">
        <is>
          <t>W00031886A</t>
        </is>
      </c>
      <c r="D1144" s="6">
        <f>IF(F1144&gt;=5, F1144-5, IF(F1144&lt;5, 0, F1144))</f>
        <v/>
      </c>
      <c r="E1144">
        <f>VLOOKUP(B1144,[1]Namshi!$A:$B,2,0)</f>
        <v/>
      </c>
      <c r="F1144" s="4">
        <f>SUMIFS('Dubai Stock'!I:I,'Dubai Stock'!H:H,Final_UAE!B:B)</f>
        <v/>
      </c>
      <c r="H1144" s="8" t="e">
        <v>#N/A</v>
      </c>
    </row>
    <row r="1145">
      <c r="A1145" s="4" t="n">
        <v>33834</v>
      </c>
      <c r="B1145" s="4" t="inlineStr">
        <is>
          <t>clstdai-acu-oasy-p60-sn0450</t>
        </is>
      </c>
      <c r="C1145" s="4" t="inlineStr">
        <is>
          <t>W00031886A</t>
        </is>
      </c>
      <c r="D1145" s="6">
        <f>IF(F1145&gt;=5, F1145-5, IF(F1145&lt;5, 0, F1145))</f>
        <v/>
      </c>
      <c r="E1145">
        <f>VLOOKUP(B1145,[1]Namshi!$A:$B,2,0)</f>
        <v/>
      </c>
      <c r="F1145" s="4">
        <f>SUMIFS('Dubai Stock'!I:I,'Dubai Stock'!H:H,Final_UAE!B:B)</f>
        <v/>
      </c>
      <c r="H1145" s="8" t="e">
        <v>#N/A</v>
      </c>
      <c r="I1145" s="8" t="n"/>
    </row>
    <row r="1146">
      <c r="A1146" s="4" t="n">
        <v>33834</v>
      </c>
      <c r="B1146" s="4" t="inlineStr">
        <is>
          <t>sw40101-bla-000271-0101-49</t>
        </is>
      </c>
      <c r="C1146" s="4" t="inlineStr">
        <is>
          <t>W00031886A</t>
        </is>
      </c>
      <c r="D1146" s="6">
        <f>IF(F1146&gt;=5, F1146-5, IF(F1146&lt;5, 0, F1146))</f>
        <v/>
      </c>
      <c r="E1146">
        <f>VLOOKUP(B1146,[1]Namshi!$A:$B,2,0)</f>
        <v/>
      </c>
      <c r="F1146" s="4">
        <f>SUMIFS('Dubai Stock'!I:I,'Dubai Stock'!H:H,Final_UAE!B:B)</f>
        <v/>
      </c>
      <c r="H1146" s="8" t="e">
        <v>#N/A</v>
      </c>
    </row>
    <row r="1147">
      <c r="A1147" s="4" t="n">
        <v>33834</v>
      </c>
      <c r="B1147" s="4" t="inlineStr">
        <is>
          <t>costmon-ama-lens-p02-dark-sepia-sn0425</t>
        </is>
      </c>
      <c r="C1147" s="4" t="inlineStr">
        <is>
          <t>W00031886A</t>
        </is>
      </c>
      <c r="D1147" s="6">
        <f>IF(F1147&gt;=5, F1147-5, IF(F1147&lt;5, 0, F1147))</f>
        <v/>
      </c>
      <c r="E1147">
        <f>VLOOKUP(B1147,[1]Namshi!$A:$B,2,0)</f>
        <v/>
      </c>
      <c r="F1147" s="4">
        <f>SUMIFS('Dubai Stock'!I:I,'Dubai Stock'!H:H,Final_UAE!B:B)</f>
        <v/>
      </c>
      <c r="H1147" s="8" t="e">
        <v>#N/A</v>
      </c>
      <c r="I1147" s="8" t="n"/>
    </row>
    <row r="1148">
      <c r="A1148" s="4" t="n">
        <v>33834</v>
      </c>
      <c r="B1148" s="4" t="inlineStr">
        <is>
          <t>clstdai-acu-dfrb-p90-sn0250</t>
        </is>
      </c>
      <c r="C1148" s="4" t="inlineStr">
        <is>
          <t>W00031886A</t>
        </is>
      </c>
      <c r="D1148" s="6">
        <f>IF(F1148&gt;=5, F1148-5, IF(F1148&lt;5, 0, F1148))</f>
        <v/>
      </c>
      <c r="E1148">
        <f>VLOOKUP(B1148,[1]Namshi!$A:$B,2,0)</f>
        <v/>
      </c>
      <c r="F1148" s="4">
        <f>SUMIFS('Dubai Stock'!I:I,'Dubai Stock'!H:H,Final_UAE!B:B)</f>
        <v/>
      </c>
      <c r="H1148" s="8" t="e">
        <v>#N/A</v>
      </c>
      <c r="I1148" s="8" t="n"/>
    </row>
    <row r="1149">
      <c r="A1149" s="4" t="n">
        <v>33834</v>
      </c>
      <c r="B1149" s="4" t="inlineStr">
        <is>
          <t>clstdai-dai-tot1-p90-sp0075</t>
        </is>
      </c>
      <c r="C1149" s="4" t="inlineStr">
        <is>
          <t>W00031886A</t>
        </is>
      </c>
      <c r="D1149" s="6">
        <f>IF(F1149&gt;=5, F1149-5, IF(F1149&lt;5, 0, F1149))</f>
        <v/>
      </c>
      <c r="E1149">
        <f>VLOOKUP(B1149,[1]Namshi!$A:$B,2,0)</f>
        <v/>
      </c>
      <c r="F1149" s="4">
        <f>SUMIFS('Dubai Stock'!I:I,'Dubai Stock'!H:H,Final_UAE!B:B)</f>
        <v/>
      </c>
      <c r="H1149" s="8" t="e">
        <v>#N/A</v>
      </c>
      <c r="I1149" s="8" t="n"/>
    </row>
    <row r="1150">
      <c r="A1150" s="4" t="n">
        <v>33834</v>
      </c>
      <c r="B1150" s="4" t="inlineStr">
        <is>
          <t>costmon-ama-2020-p02-pure-hazel-sn0200</t>
        </is>
      </c>
      <c r="C1150" s="4" t="inlineStr">
        <is>
          <t>W00031886A</t>
        </is>
      </c>
      <c r="D1150" s="6">
        <f>IF(F1150&gt;=5, F1150-5, IF(F1150&lt;5, 0, F1150))</f>
        <v/>
      </c>
      <c r="E1150">
        <f>VLOOKUP(B1150,[1]Namshi!$A:$B,2,0)</f>
        <v/>
      </c>
      <c r="F1150" s="4">
        <f>SUMIFS('Dubai Stock'!I:I,'Dubai Stock'!H:H,Final_UAE!B:B)</f>
        <v/>
      </c>
      <c r="H1150" s="8" t="e">
        <v>#N/A</v>
      </c>
      <c r="I1150" s="8" t="n"/>
    </row>
    <row r="1151">
      <c r="A1151" s="4" t="n">
        <v>33834</v>
      </c>
      <c r="B1151" s="4" t="inlineStr">
        <is>
          <t>clstdai-acu-dfrb-p90-sn0150</t>
        </is>
      </c>
      <c r="C1151" s="4" t="inlineStr">
        <is>
          <t>W00031886A</t>
        </is>
      </c>
      <c r="D1151" s="6">
        <f>IF(F1151&gt;=5, F1151-5, IF(F1151&lt;5, 0, F1151))</f>
        <v/>
      </c>
      <c r="E1151">
        <f>VLOOKUP(B1151,[1]Namshi!$A:$B,2,0)</f>
        <v/>
      </c>
      <c r="F1151" s="4">
        <f>SUMIFS('Dubai Stock'!I:I,'Dubai Stock'!H:H,Final_UAE!B:B)</f>
        <v/>
      </c>
      <c r="H1151" s="8" t="e">
        <v>#N/A</v>
      </c>
      <c r="I1151" s="8" t="n"/>
    </row>
    <row r="1152">
      <c r="A1152" s="4" t="n">
        <v>33834</v>
      </c>
      <c r="B1152" s="4" t="inlineStr">
        <is>
          <t>clstdai-acu-dfrb-p90-sn0375</t>
        </is>
      </c>
      <c r="C1152" s="4" t="inlineStr">
        <is>
          <t>W00031886A</t>
        </is>
      </c>
      <c r="D1152" s="6">
        <f>IF(F1152&gt;=5, F1152-5, IF(F1152&lt;5, 0, F1152))</f>
        <v/>
      </c>
      <c r="E1152">
        <f>VLOOKUP(B1152,[1]Namshi!$A:$B,2,0)</f>
        <v/>
      </c>
      <c r="F1152" s="4">
        <f>SUMIFS('Dubai Stock'!I:I,'Dubai Stock'!H:H,Final_UAE!B:B)</f>
        <v/>
      </c>
      <c r="H1152" s="8" t="e">
        <v>#N/A</v>
      </c>
      <c r="I1152" s="8" t="n"/>
    </row>
    <row r="1153">
      <c r="A1153" s="4" t="n">
        <v>33834</v>
      </c>
      <c r="B1153" s="4" t="inlineStr">
        <is>
          <t>clstdai-acu-mois-p30-sn0550</t>
        </is>
      </c>
      <c r="C1153" s="4" t="inlineStr">
        <is>
          <t>W00031886A</t>
        </is>
      </c>
      <c r="D1153" s="6">
        <f>IF(F1153&gt;=5, F1153-5, IF(F1153&lt;5, 0, F1153))</f>
        <v/>
      </c>
      <c r="E1153">
        <f>VLOOKUP(B1153,[1]Namshi!$A:$B,2,0)</f>
        <v/>
      </c>
      <c r="F1153" s="4">
        <f>SUMIFS('Dubai Stock'!I:I,'Dubai Stock'!H:H,Final_UAE!B:B)</f>
        <v/>
      </c>
      <c r="H1153" s="8" t="e">
        <v>#N/A</v>
      </c>
      <c r="I1153" s="8" t="n"/>
    </row>
    <row r="1154">
      <c r="A1154" s="4" t="n">
        <v>33834</v>
      </c>
      <c r="B1154" s="4" t="inlineStr">
        <is>
          <t>clstdai-acu-omax-p90-sp0550</t>
        </is>
      </c>
      <c r="C1154" s="4" t="inlineStr">
        <is>
          <t>W00031886A</t>
        </is>
      </c>
      <c r="D1154" s="6">
        <f>IF(F1154&gt;=5, F1154-5, IF(F1154&lt;5, 0, F1154))</f>
        <v/>
      </c>
      <c r="E1154">
        <f>VLOOKUP(B1154,[1]Namshi!$A:$B,2,0)</f>
        <v/>
      </c>
      <c r="F1154" s="4">
        <f>SUMIFS('Dubai Stock'!I:I,'Dubai Stock'!H:H,Final_UAE!B:B)</f>
        <v/>
      </c>
      <c r="H1154" s="8" t="e">
        <v>#N/A</v>
      </c>
      <c r="I1154" s="8" t="n"/>
    </row>
    <row r="1155">
      <c r="A1155" s="4" t="n">
        <v>33834</v>
      </c>
      <c r="B1155" s="4" t="inlineStr">
        <is>
          <t>clstdai-lay-cont-p90-dazzle-brown-sn0125</t>
        </is>
      </c>
      <c r="C1155" s="4" t="inlineStr">
        <is>
          <t>W00031886A</t>
        </is>
      </c>
      <c r="D1155" s="6">
        <f>IF(F1155&gt;=5, F1155-5, IF(F1155&lt;5, 0, F1155))</f>
        <v/>
      </c>
      <c r="E1155">
        <f>VLOOKUP(B1155,[1]Namshi!$A:$B,2,0)</f>
        <v/>
      </c>
      <c r="F1155" s="4">
        <f>SUMIFS('Dubai Stock'!I:I,'Dubai Stock'!H:H,Final_UAE!B:B)</f>
        <v/>
      </c>
      <c r="H1155" s="8" t="e">
        <v>#N/A</v>
      </c>
      <c r="I1155" s="8" t="n"/>
    </row>
    <row r="1156">
      <c r="A1156" s="4" t="n">
        <v>33834</v>
      </c>
      <c r="B1156" s="4" t="inlineStr">
        <is>
          <t>clstdai-sof-sdai-p90-sn0375</t>
        </is>
      </c>
      <c r="C1156" s="4" t="inlineStr">
        <is>
          <t>W00031886A</t>
        </is>
      </c>
      <c r="D1156" s="6">
        <f>IF(F1156&gt;=5, F1156-5, IF(F1156&lt;5, 0, F1156))</f>
        <v/>
      </c>
      <c r="E1156">
        <f>VLOOKUP(B1156,[1]Namshi!$A:$B,2,0)</f>
        <v/>
      </c>
      <c r="F1156" s="4">
        <f>SUMIFS('Dubai Stock'!I:I,'Dubai Stock'!H:H,Final_UAE!B:B)</f>
        <v/>
      </c>
      <c r="H1156" s="8" t="e">
        <v>#N/A</v>
      </c>
      <c r="I1156" s="8" t="n"/>
    </row>
    <row r="1157">
      <c r="A1157" s="4" t="n">
        <v>33834</v>
      </c>
      <c r="B1157" s="4" t="inlineStr">
        <is>
          <t>costdai-acu-dffr-p10-rose-sn0225</t>
        </is>
      </c>
      <c r="C1157" s="4" t="inlineStr">
        <is>
          <t>W00031886A</t>
        </is>
      </c>
      <c r="D1157" s="6">
        <f>IF(F1157&gt;=5, F1157-5, IF(F1157&lt;5, 0, F1157))</f>
        <v/>
      </c>
      <c r="E1157">
        <f>VLOOKUP(B1157,[1]Namshi!$A:$B,2,0)</f>
        <v/>
      </c>
      <c r="F1157" s="4">
        <f>SUMIFS('Dubai Stock'!I:I,'Dubai Stock'!H:H,Final_UAE!B:B)</f>
        <v/>
      </c>
      <c r="H1157" s="8" t="e">
        <v>#N/A</v>
      </c>
      <c r="I1157" s="8" t="n"/>
    </row>
    <row r="1158">
      <c r="A1158" s="4" t="n">
        <v>33834</v>
      </c>
      <c r="B1158" s="4" t="inlineStr">
        <is>
          <t>sm20207-30s-000219-0207-50</t>
        </is>
      </c>
      <c r="C1158" s="4" t="inlineStr">
        <is>
          <t>W00031886A</t>
        </is>
      </c>
      <c r="D1158" s="6">
        <f>IF(F1158&gt;=5, F1158-5, IF(F1158&lt;5, 0, F1158))</f>
        <v/>
      </c>
      <c r="E1158">
        <f>VLOOKUP(B1158,[1]Namshi!$A:$B,2,0)</f>
        <v/>
      </c>
      <c r="F1158" s="4">
        <f>SUMIFS('Dubai Stock'!I:I,'Dubai Stock'!H:H,Final_UAE!B:B)</f>
        <v/>
      </c>
      <c r="H1158" s="8" t="e">
        <v>#N/A</v>
      </c>
    </row>
    <row r="1159">
      <c r="A1159" s="4" t="n">
        <v>33834</v>
      </c>
      <c r="B1159" s="4" t="inlineStr">
        <is>
          <t>costdai-acu-dffr-p30-honey-sn0175</t>
        </is>
      </c>
      <c r="C1159" s="4" t="inlineStr">
        <is>
          <t>W00031886A</t>
        </is>
      </c>
      <c r="D1159" s="6">
        <f>IF(F1159&gt;=5, F1159-5, IF(F1159&lt;5, 0, F1159))</f>
        <v/>
      </c>
      <c r="E1159">
        <f>VLOOKUP(B1159,[1]Namshi!$A:$B,2,0)</f>
        <v/>
      </c>
      <c r="F1159" s="4">
        <f>SUMIFS('Dubai Stock'!I:I,'Dubai Stock'!H:H,Final_UAE!B:B)</f>
        <v/>
      </c>
      <c r="H1159" s="8" t="e">
        <v>#N/A</v>
      </c>
      <c r="I1159" s="8" t="n"/>
    </row>
    <row r="1160">
      <c r="A1160" s="4" t="n">
        <v>33834</v>
      </c>
      <c r="B1160" s="4" t="inlineStr">
        <is>
          <t>costdai-acu-dffr-p30-hazel-sn0300</t>
        </is>
      </c>
      <c r="C1160" s="4" t="inlineStr">
        <is>
          <t>W00031886A</t>
        </is>
      </c>
      <c r="D1160" s="6">
        <f>IF(F1160&gt;=5, F1160-5, IF(F1160&lt;5, 0, F1160))</f>
        <v/>
      </c>
      <c r="E1160">
        <f>VLOOKUP(B1160,[1]Namshi!$A:$B,2,0)</f>
        <v/>
      </c>
      <c r="F1160" s="4">
        <f>SUMIFS('Dubai Stock'!I:I,'Dubai Stock'!H:H,Final_UAE!B:B)</f>
        <v/>
      </c>
      <c r="H1160" s="8" t="e">
        <v>#N/A</v>
      </c>
      <c r="I1160" s="8" t="n"/>
    </row>
    <row r="1161">
      <c r="A1161" s="4" t="n">
        <v>33834</v>
      </c>
      <c r="B1161" s="4" t="inlineStr">
        <is>
          <t>clstdai-acu-dfrb-p30-sn0475</t>
        </is>
      </c>
      <c r="C1161" s="4" t="inlineStr">
        <is>
          <t>W00031886A</t>
        </is>
      </c>
      <c r="D1161" s="6">
        <f>IF(F1161&gt;=5, F1161-5, IF(F1161&lt;5, 0, F1161))</f>
        <v/>
      </c>
      <c r="E1161">
        <f>VLOOKUP(B1161,[1]Namshi!$A:$B,2,0)</f>
        <v/>
      </c>
      <c r="F1161" s="4">
        <f>SUMIFS('Dubai Stock'!I:I,'Dubai Stock'!H:H,Final_UAE!B:B)</f>
        <v/>
      </c>
      <c r="H1161" s="8" t="e">
        <v>#N/A</v>
      </c>
      <c r="I1161" s="8" t="n"/>
    </row>
    <row r="1162">
      <c r="A1162" s="4" t="n">
        <v>33834</v>
      </c>
      <c r="B1162" s="4" t="inlineStr">
        <is>
          <t>sw60404-bla-000242-0404-52</t>
        </is>
      </c>
      <c r="C1162" s="4" t="inlineStr">
        <is>
          <t>W00031886A</t>
        </is>
      </c>
      <c r="D1162" s="6">
        <f>IF(F1162&gt;=5, F1162-5, IF(F1162&lt;5, 0, F1162))</f>
        <v/>
      </c>
      <c r="E1162">
        <f>VLOOKUP(B1162,[1]Namshi!$A:$B,2,0)</f>
        <v/>
      </c>
      <c r="F1162" s="4">
        <f>SUMIFS('Dubai Stock'!I:I,'Dubai Stock'!H:H,Final_UAE!B:B)</f>
        <v/>
      </c>
      <c r="H1162" s="8" t="e">
        <v>#N/A</v>
      </c>
    </row>
    <row r="1163">
      <c r="A1163" s="4" t="n">
        <v>33834</v>
      </c>
      <c r="B1163" s="4" t="inlineStr">
        <is>
          <t>sc40207-bab-000511-0207d-46</t>
        </is>
      </c>
      <c r="C1163" s="4" t="inlineStr">
        <is>
          <t>W00031886A</t>
        </is>
      </c>
      <c r="D1163" s="6">
        <f>IF(F1163&gt;=5, F1163-5, IF(F1163&lt;5, 0, F1163))</f>
        <v/>
      </c>
      <c r="E1163">
        <f>VLOOKUP(B1163,[1]Namshi!$A:$B,2,0)</f>
        <v/>
      </c>
      <c r="F1163" s="4">
        <f>SUMIFS('Dubai Stock'!I:I,'Dubai Stock'!H:H,Final_UAE!B:B)</f>
        <v/>
      </c>
      <c r="H1163" s="8" t="e">
        <v>#N/A</v>
      </c>
    </row>
    <row r="1164">
      <c r="A1164" s="4" t="n">
        <v>33834</v>
      </c>
      <c r="B1164" s="4" t="inlineStr">
        <is>
          <t>fc52618-bab-00561-2618d-51</t>
        </is>
      </c>
      <c r="C1164" s="4" t="inlineStr">
        <is>
          <t>W00031886A</t>
        </is>
      </c>
      <c r="D1164" s="6">
        <f>IF(F1164&gt;=5, F1164-5, IF(F1164&lt;5, 0, F1164))</f>
        <v/>
      </c>
      <c r="E1164">
        <f>VLOOKUP(B1164,[1]Namshi!$A:$B,2,0)</f>
        <v/>
      </c>
      <c r="F1164" s="4">
        <f>SUMIFS('Dubai Stock'!I:I,'Dubai Stock'!H:H,Final_UAE!B:B)</f>
        <v/>
      </c>
      <c r="H1164" s="8" t="e">
        <v>#N/A</v>
      </c>
      <c r="I1164" s="8" t="n"/>
    </row>
    <row r="1165">
      <c r="A1165" s="4" t="n">
        <v>33834</v>
      </c>
      <c r="B1165" s="4" t="inlineStr">
        <is>
          <t>sm101206-bla-000337-1206-57</t>
        </is>
      </c>
      <c r="C1165" s="4" t="inlineStr">
        <is>
          <t>W00031886A</t>
        </is>
      </c>
      <c r="D1165" s="6">
        <f>IF(F1165&gt;=5, F1165-5, IF(F1165&lt;5, 0, F1165))</f>
        <v/>
      </c>
      <c r="E1165">
        <f>VLOOKUP(B1165,[1]Namshi!$A:$B,2,0)</f>
        <v/>
      </c>
      <c r="F1165" s="4">
        <f>SUMIFS('Dubai Stock'!I:I,'Dubai Stock'!H:H,Final_UAE!B:B)</f>
        <v/>
      </c>
      <c r="H1165" s="8" t="e">
        <v>#N/A</v>
      </c>
    </row>
    <row r="1166">
      <c r="A1166" s="4" t="n">
        <v>33834</v>
      </c>
      <c r="B1166" s="4" t="inlineStr">
        <is>
          <t>costdai-acu-dffr-p10-grayzel-sn0800</t>
        </is>
      </c>
      <c r="C1166" s="4" t="inlineStr">
        <is>
          <t>W00031886A</t>
        </is>
      </c>
      <c r="D1166" s="6">
        <f>IF(F1166&gt;=5, F1166-5, IF(F1166&lt;5, 0, F1166))</f>
        <v/>
      </c>
      <c r="E1166">
        <f>VLOOKUP(B1166,[1]Namshi!$A:$B,2,0)</f>
        <v/>
      </c>
      <c r="F1166" s="4">
        <f>SUMIFS('Dubai Stock'!I:I,'Dubai Stock'!H:H,Final_UAE!B:B)</f>
        <v/>
      </c>
      <c r="H1166" s="8" t="e">
        <v>#N/A</v>
      </c>
      <c r="I1166" s="8" t="n"/>
    </row>
    <row r="1167">
      <c r="A1167" s="4" t="n">
        <v>33834</v>
      </c>
      <c r="B1167" s="4" t="inlineStr">
        <is>
          <t>clstdai-acu-omax-p90-sn0075</t>
        </is>
      </c>
      <c r="C1167" s="4" t="inlineStr">
        <is>
          <t>W00031886A</t>
        </is>
      </c>
      <c r="D1167" s="6">
        <f>IF(F1167&gt;=5, F1167-5, IF(F1167&lt;5, 0, F1167))</f>
        <v/>
      </c>
      <c r="E1167">
        <f>VLOOKUP(B1167,[1]Namshi!$A:$B,2,0)</f>
        <v/>
      </c>
      <c r="F1167" s="4">
        <f>SUMIFS('Dubai Stock'!I:I,'Dubai Stock'!H:H,Final_UAE!B:B)</f>
        <v/>
      </c>
      <c r="H1167" s="8" t="e">
        <v>#N/A</v>
      </c>
      <c r="I1167" s="8" t="n"/>
    </row>
    <row r="1168">
      <c r="A1168" s="4" t="n">
        <v>33834</v>
      </c>
      <c r="B1168" s="4" t="inlineStr">
        <is>
          <t>ru40118-spc-000850-0118-49-sp0100</t>
        </is>
      </c>
      <c r="C1168" s="4" t="inlineStr">
        <is>
          <t>W00031886A</t>
        </is>
      </c>
      <c r="D1168" s="6">
        <f>IF(F1168&gt;=5, F1168-5, IF(F1168&lt;5, 0, F1168))</f>
        <v/>
      </c>
      <c r="E1168">
        <f>VLOOKUP(B1168,[1]Namshi!$A:$B,2,0)</f>
        <v/>
      </c>
      <c r="F1168" s="4">
        <f>SUMIFS('Dubai Stock'!I:I,'Dubai Stock'!H:H,Final_UAE!B:B)</f>
        <v/>
      </c>
      <c r="H1168" s="8" t="e">
        <v>#N/A</v>
      </c>
      <c r="I1168" s="8" t="n"/>
    </row>
    <row r="1169">
      <c r="A1169" s="4" t="n">
        <v>33834</v>
      </c>
      <c r="B1169" s="4" t="inlineStr">
        <is>
          <t>clstdai-lay-cont-p60-dazzle-black-sn0225</t>
        </is>
      </c>
      <c r="C1169" s="4" t="inlineStr">
        <is>
          <t>W00031886A</t>
        </is>
      </c>
      <c r="D1169" s="6">
        <f>IF(F1169&gt;=5, F1169-5, IF(F1169&lt;5, 0, F1169))</f>
        <v/>
      </c>
      <c r="E1169">
        <f>VLOOKUP(B1169,[1]Namshi!$A:$B,2,0)</f>
        <v/>
      </c>
      <c r="F1169" s="4">
        <f>SUMIFS('Dubai Stock'!I:I,'Dubai Stock'!H:H,Final_UAE!B:B)</f>
        <v/>
      </c>
      <c r="H1169" s="8" t="e">
        <v>#N/A</v>
      </c>
      <c r="I1169" s="8" t="n"/>
    </row>
    <row r="1170">
      <c r="A1170" s="4" t="n">
        <v>33834</v>
      </c>
      <c r="B1170" s="4" t="inlineStr">
        <is>
          <t>sw20506-bla-000206-2706-57</t>
        </is>
      </c>
      <c r="C1170" s="4" t="inlineStr">
        <is>
          <t>W00031886A</t>
        </is>
      </c>
      <c r="D1170" s="6">
        <f>IF(F1170&gt;=5, F1170-5, IF(F1170&lt;5, 0, F1170))</f>
        <v/>
      </c>
      <c r="E1170">
        <f>VLOOKUP(B1170,[1]Namshi!$A:$B,2,0)</f>
        <v/>
      </c>
      <c r="F1170" s="4">
        <f>SUMIFS('Dubai Stock'!I:I,'Dubai Stock'!H:H,Final_UAE!B:B)</f>
        <v/>
      </c>
      <c r="H1170" s="8" t="e">
        <v>#N/A</v>
      </c>
    </row>
    <row r="1171">
      <c r="A1171" s="4" t="n">
        <v>33834</v>
      </c>
      <c r="B1171" s="4" t="inlineStr">
        <is>
          <t>sm51304-30s-000200-1304-57</t>
        </is>
      </c>
      <c r="C1171" s="4" t="inlineStr">
        <is>
          <t>W00031886A</t>
        </is>
      </c>
      <c r="D1171" s="6">
        <f>IF(F1171&gt;=5, F1171-5, IF(F1171&lt;5, 0, F1171))</f>
        <v/>
      </c>
      <c r="E1171">
        <f>VLOOKUP(B1171,[1]Namshi!$A:$B,2,0)</f>
        <v/>
      </c>
      <c r="F1171" s="4">
        <f>SUMIFS('Dubai Stock'!I:I,'Dubai Stock'!H:H,Final_UAE!B:B)</f>
        <v/>
      </c>
      <c r="H1171" s="8" t="e">
        <v>#N/A</v>
      </c>
    </row>
    <row r="1172">
      <c r="A1172" s="4" t="n">
        <v>33834</v>
      </c>
      <c r="B1172" s="4" t="inlineStr">
        <is>
          <t>sw52309-bla-000105-2310-59</t>
        </is>
      </c>
      <c r="C1172" s="4" t="inlineStr">
        <is>
          <t>W00031886A</t>
        </is>
      </c>
      <c r="D1172" s="6">
        <f>IF(F1172&gt;=5, F1172-5, IF(F1172&lt;5, 0, F1172))</f>
        <v/>
      </c>
      <c r="E1172">
        <f>VLOOKUP(B1172,[1]Namshi!$A:$B,2,0)</f>
        <v/>
      </c>
      <c r="F1172" s="4">
        <f>SUMIFS('Dubai Stock'!I:I,'Dubai Stock'!H:H,Final_UAE!B:B)</f>
        <v/>
      </c>
      <c r="H1172" s="8" t="e">
        <v>#N/A</v>
      </c>
    </row>
    <row r="1173">
      <c r="A1173" s="4" t="n">
        <v>33834</v>
      </c>
      <c r="B1173" s="4" t="inlineStr">
        <is>
          <t>clstdai-acu-omax-p90-sp0600</t>
        </is>
      </c>
      <c r="C1173" s="4" t="inlineStr">
        <is>
          <t>W00031886A</t>
        </is>
      </c>
      <c r="D1173" s="6">
        <f>IF(F1173&gt;=5, F1173-5, IF(F1173&lt;5, 0, F1173))</f>
        <v/>
      </c>
      <c r="E1173">
        <f>VLOOKUP(B1173,[1]Namshi!$A:$B,2,0)</f>
        <v/>
      </c>
      <c r="F1173" s="4">
        <f>SUMIFS('Dubai Stock'!I:I,'Dubai Stock'!H:H,Final_UAE!B:B)</f>
        <v/>
      </c>
      <c r="H1173" s="8" t="e">
        <v>#N/A</v>
      </c>
      <c r="I1173" s="8" t="n"/>
    </row>
    <row r="1174">
      <c r="A1174" s="4" t="n">
        <v>33834</v>
      </c>
      <c r="B1174" s="4" t="inlineStr">
        <is>
          <t>clstbiw-acu-0002-p06-sn0525</t>
        </is>
      </c>
      <c r="C1174" s="4" t="inlineStr">
        <is>
          <t>W00031886A</t>
        </is>
      </c>
      <c r="D1174" s="6">
        <f>IF(F1174&gt;=5, F1174-5, IF(F1174&lt;5, 0, F1174))</f>
        <v/>
      </c>
      <c r="E1174">
        <f>VLOOKUP(B1174,[1]Namshi!$A:$B,2,0)</f>
        <v/>
      </c>
      <c r="F1174" s="4">
        <f>SUMIFS('Dubai Stock'!I:I,'Dubai Stock'!H:H,Final_UAE!B:B)</f>
        <v/>
      </c>
      <c r="H1174" s="8" t="e">
        <v>#N/A</v>
      </c>
      <c r="I1174" s="8" t="n"/>
    </row>
    <row r="1175">
      <c r="A1175" s="4" t="n">
        <v>33834</v>
      </c>
      <c r="B1175" s="4" t="inlineStr">
        <is>
          <t>clstbiw-acu-cle-p06-sn0225</t>
        </is>
      </c>
      <c r="C1175" s="4" t="inlineStr">
        <is>
          <t>W00031886A</t>
        </is>
      </c>
      <c r="D1175" s="6">
        <f>IF(F1175&gt;=5, F1175-5, IF(F1175&lt;5, 0, F1175))</f>
        <v/>
      </c>
      <c r="E1175">
        <f>VLOOKUP(B1175,[1]Namshi!$A:$B,2,0)</f>
        <v/>
      </c>
      <c r="F1175" s="4">
        <f>SUMIFS('Dubai Stock'!I:I,'Dubai Stock'!H:H,Final_UAE!B:B)</f>
        <v/>
      </c>
      <c r="H1175" s="8" t="e">
        <v>#N/A</v>
      </c>
      <c r="I1175" s="8" t="n"/>
    </row>
    <row r="1176">
      <c r="A1176" s="4" t="n">
        <v>33834</v>
      </c>
      <c r="B1176" s="4" t="inlineStr">
        <is>
          <t>fw40918-spc-000650-0918-51</t>
        </is>
      </c>
      <c r="C1176" s="4" t="inlineStr">
        <is>
          <t>W00031886A</t>
        </is>
      </c>
      <c r="D1176" s="6">
        <f>IF(F1176&gt;=5, F1176-5, IF(F1176&lt;5, 0, F1176))</f>
        <v/>
      </c>
      <c r="E1176">
        <f>VLOOKUP(B1176,[1]Namshi!$A:$B,2,0)</f>
        <v/>
      </c>
      <c r="F1176" s="4">
        <f>SUMIFS('Dubai Stock'!I:I,'Dubai Stock'!H:H,Final_UAE!B:B)</f>
        <v/>
      </c>
      <c r="H1176" s="8" t="e">
        <v>#N/A</v>
      </c>
      <c r="I1176" s="8" t="n"/>
    </row>
    <row r="1177">
      <c r="A1177" s="4" t="n">
        <v>33834</v>
      </c>
      <c r="B1177" s="4" t="inlineStr">
        <is>
          <t>sw70804-30s-000282-0804-54</t>
        </is>
      </c>
      <c r="C1177" s="4" t="inlineStr">
        <is>
          <t>W00031886A</t>
        </is>
      </c>
      <c r="D1177" s="6">
        <f>IF(F1177&gt;=5, F1177-5, IF(F1177&lt;5, 0, F1177))</f>
        <v/>
      </c>
      <c r="E1177">
        <f>VLOOKUP(B1177,[1]Namshi!$A:$B,2,0)</f>
        <v/>
      </c>
      <c r="F1177" s="4">
        <f>SUMIFS('Dubai Stock'!I:I,'Dubai Stock'!H:H,Final_UAE!B:B)</f>
        <v/>
      </c>
      <c r="H1177" s="8" t="e">
        <v>#N/A</v>
      </c>
    </row>
    <row r="1178">
      <c r="A1178" s="4" t="n">
        <v>33834</v>
      </c>
      <c r="B1178" s="4" t="inlineStr">
        <is>
          <t>costdai-ama-dail-p10-amber-sn0250</t>
        </is>
      </c>
      <c r="C1178" s="4" t="inlineStr">
        <is>
          <t>W00031886A</t>
        </is>
      </c>
      <c r="D1178" s="6">
        <f>IF(F1178&gt;=5, F1178-5, IF(F1178&lt;5, 0, F1178))</f>
        <v/>
      </c>
      <c r="E1178">
        <f>VLOOKUP(B1178,[1]Namshi!$A:$B,2,0)</f>
        <v/>
      </c>
      <c r="F1178" s="4">
        <f>SUMIFS('Dubai Stock'!I:I,'Dubai Stock'!H:H,Final_UAE!B:B)</f>
        <v/>
      </c>
      <c r="H1178" s="8" t="e">
        <v>#N/A</v>
      </c>
      <c r="I1178" s="8" t="n"/>
    </row>
    <row r="1179">
      <c r="A1179" s="4" t="n">
        <v>33834</v>
      </c>
      <c r="B1179" s="4" t="inlineStr">
        <is>
          <t>costdai-ama-dail-p10-sugar-sn0650</t>
        </is>
      </c>
      <c r="C1179" s="4" t="inlineStr">
        <is>
          <t>W00031886A</t>
        </is>
      </c>
      <c r="D1179" s="6">
        <f>IF(F1179&gt;=5, F1179-5, IF(F1179&lt;5, 0, F1179))</f>
        <v/>
      </c>
      <c r="E1179">
        <f>VLOOKUP(B1179,[1]Namshi!$A:$B,2,0)</f>
        <v/>
      </c>
      <c r="F1179" s="4">
        <f>SUMIFS('Dubai Stock'!I:I,'Dubai Stock'!H:H,Final_UAE!B:B)</f>
        <v/>
      </c>
      <c r="H1179" s="8" t="e">
        <v>#N/A</v>
      </c>
      <c r="I1179" s="8" t="n"/>
    </row>
    <row r="1180">
      <c r="A1180" s="4" t="n">
        <v>33834</v>
      </c>
      <c r="B1180" s="4" t="inlineStr">
        <is>
          <t>clstdai-lay-cont-p30-dazzle-brown-sn0475</t>
        </is>
      </c>
      <c r="C1180" s="4" t="inlineStr">
        <is>
          <t>W00031886A</t>
        </is>
      </c>
      <c r="D1180" s="6">
        <f>IF(F1180&gt;=5, F1180-5, IF(F1180&lt;5, 0, F1180))</f>
        <v/>
      </c>
      <c r="E1180">
        <f>VLOOKUP(B1180,[1]Namshi!$A:$B,2,0)</f>
        <v/>
      </c>
      <c r="F1180" s="4">
        <f>SUMIFS('Dubai Stock'!I:I,'Dubai Stock'!H:H,Final_UAE!B:B)</f>
        <v/>
      </c>
      <c r="H1180" s="8" t="e">
        <v>#N/A</v>
      </c>
      <c r="I1180" s="8" t="n"/>
    </row>
    <row r="1181">
      <c r="A1181" s="4" t="n">
        <v>33834</v>
      </c>
      <c r="B1181" s="4" t="inlineStr">
        <is>
          <t>clstdai-sof-sdai-p30-sn0600</t>
        </is>
      </c>
      <c r="C1181" s="4" t="inlineStr">
        <is>
          <t>W00031886A</t>
        </is>
      </c>
      <c r="D1181" s="6">
        <f>IF(F1181&gt;=5, F1181-5, IF(F1181&lt;5, 0, F1181))</f>
        <v/>
      </c>
      <c r="E1181">
        <f>VLOOKUP(B1181,[1]Namshi!$A:$B,2,0)</f>
        <v/>
      </c>
      <c r="F1181" s="4">
        <f>SUMIFS('Dubai Stock'!I:I,'Dubai Stock'!H:H,Final_UAE!B:B)</f>
        <v/>
      </c>
      <c r="H1181" s="8" t="e">
        <v>#N/A</v>
      </c>
      <c r="I1181" s="8" t="n"/>
    </row>
    <row r="1182">
      <c r="A1182" s="4" t="n">
        <v>33834</v>
      </c>
      <c r="B1182" s="4" t="inlineStr">
        <is>
          <t>fw32418-spc-000722-2418-51</t>
        </is>
      </c>
      <c r="C1182" s="4" t="inlineStr">
        <is>
          <t>W00031886A</t>
        </is>
      </c>
      <c r="D1182" s="6">
        <f>IF(F1182&gt;=5, F1182-5, IF(F1182&lt;5, 0, F1182))</f>
        <v/>
      </c>
      <c r="E1182">
        <f>VLOOKUP(B1182,[1]Namshi!$A:$B,2,0)</f>
        <v/>
      </c>
      <c r="F1182" s="4">
        <f>SUMIFS('Dubai Stock'!I:I,'Dubai Stock'!H:H,Final_UAE!B:B)</f>
        <v/>
      </c>
      <c r="H1182" s="8" t="e">
        <v>#N/A</v>
      </c>
      <c r="I1182" s="8" t="n"/>
    </row>
    <row r="1183">
      <c r="A1183" s="4" t="n">
        <v>33834</v>
      </c>
      <c r="B1183" s="4" t="inlineStr">
        <is>
          <t>clstdai-lay-cont-p10-dazzle-brown-sn0075</t>
        </is>
      </c>
      <c r="C1183" s="4" t="inlineStr">
        <is>
          <t>W00031886A</t>
        </is>
      </c>
      <c r="D1183" s="6">
        <f>IF(F1183&gt;=5, F1183-5, IF(F1183&lt;5, 0, F1183))</f>
        <v/>
      </c>
      <c r="E1183">
        <f>VLOOKUP(B1183,[1]Namshi!$A:$B,2,0)</f>
        <v/>
      </c>
      <c r="F1183" s="4">
        <f>SUMIFS('Dubai Stock'!I:I,'Dubai Stock'!H:H,Final_UAE!B:B)</f>
        <v/>
      </c>
      <c r="H1183" s="8" t="e">
        <v>#N/A</v>
      </c>
      <c r="I1183" s="8" t="n"/>
    </row>
    <row r="1184">
      <c r="A1184" s="4" t="n">
        <v>33834</v>
      </c>
      <c r="B1184" s="4" t="inlineStr">
        <is>
          <t>clstdai-btr-oned-p90-sn0350</t>
        </is>
      </c>
      <c r="C1184" s="4" t="inlineStr">
        <is>
          <t>W00031886A</t>
        </is>
      </c>
      <c r="D1184" s="6">
        <f>IF(F1184&gt;=5, F1184-5, IF(F1184&lt;5, 0, F1184))</f>
        <v/>
      </c>
      <c r="E1184">
        <f>VLOOKUP(B1184,[1]Namshi!$A:$B,2,0)</f>
        <v/>
      </c>
      <c r="F1184" s="4">
        <f>SUMIFS('Dubai Stock'!I:I,'Dubai Stock'!H:H,Final_UAE!B:B)</f>
        <v/>
      </c>
      <c r="H1184" s="8" t="e">
        <v>#N/A</v>
      </c>
      <c r="I1184" s="8" t="n"/>
    </row>
    <row r="1185">
      <c r="A1185" s="4" t="n">
        <v>33834</v>
      </c>
      <c r="B1185" s="4" t="inlineStr">
        <is>
          <t>clstdai-acu-dfrb-p30-sn0450</t>
        </is>
      </c>
      <c r="C1185" s="4" t="inlineStr">
        <is>
          <t>W00031886A</t>
        </is>
      </c>
      <c r="D1185" s="6">
        <f>IF(F1185&gt;=5, F1185-5, IF(F1185&lt;5, 0, F1185))</f>
        <v/>
      </c>
      <c r="E1185">
        <f>VLOOKUP(B1185,[1]Namshi!$A:$B,2,0)</f>
        <v/>
      </c>
      <c r="F1185" s="4">
        <f>SUMIFS('Dubai Stock'!I:I,'Dubai Stock'!H:H,Final_UAE!B:B)</f>
        <v/>
      </c>
      <c r="H1185" s="8" t="e">
        <v>#N/A</v>
      </c>
      <c r="I1185" s="8" t="n"/>
    </row>
    <row r="1186">
      <c r="A1186" s="4" t="n">
        <v>33834</v>
      </c>
      <c r="B1186" s="4" t="inlineStr">
        <is>
          <t>fc20218-bab-000250-0200-46</t>
        </is>
      </c>
      <c r="C1186" s="4" t="inlineStr">
        <is>
          <t>W00031886A</t>
        </is>
      </c>
      <c r="D1186" s="6">
        <f>IF(F1186&gt;=5, F1186-5, IF(F1186&lt;5, 0, F1186))</f>
        <v/>
      </c>
      <c r="E1186">
        <f>VLOOKUP(B1186,[1]Namshi!$A:$B,2,0)</f>
        <v/>
      </c>
      <c r="F1186" s="4">
        <f>SUMIFS('Dubai Stock'!I:I,'Dubai Stock'!H:H,Final_UAE!B:B)</f>
        <v/>
      </c>
      <c r="H1186" s="8" t="e">
        <v>#N/A</v>
      </c>
      <c r="I1186" s="8" t="n"/>
    </row>
    <row r="1187">
      <c r="A1187" s="4" t="n">
        <v>33834</v>
      </c>
      <c r="B1187" s="4" t="inlineStr">
        <is>
          <t>costmon-ama-2020-p02-charcoal-gray-sn0900</t>
        </is>
      </c>
      <c r="C1187" s="4" t="inlineStr">
        <is>
          <t>W00031886A</t>
        </is>
      </c>
      <c r="D1187" s="6">
        <f>IF(F1187&gt;=5, F1187-5, IF(F1187&lt;5, 0, F1187))</f>
        <v/>
      </c>
      <c r="E1187">
        <f>VLOOKUP(B1187,[1]Namshi!$A:$B,2,0)</f>
        <v/>
      </c>
      <c r="F1187" s="4">
        <f>SUMIFS('Dubai Stock'!I:I,'Dubai Stock'!H:H,Final_UAE!B:B)</f>
        <v/>
      </c>
      <c r="H1187" s="8" t="e">
        <v>#N/A</v>
      </c>
      <c r="I1187" s="8" t="n"/>
    </row>
    <row r="1188">
      <c r="A1188" s="4" t="n">
        <v>33834</v>
      </c>
      <c r="B1188" s="4" t="inlineStr">
        <is>
          <t>fw101218-spc-000866-1218-49</t>
        </is>
      </c>
      <c r="C1188" s="4" t="inlineStr">
        <is>
          <t>W00031886A</t>
        </is>
      </c>
      <c r="D1188" s="6">
        <f>IF(F1188&gt;=5, F1188-5, IF(F1188&lt;5, 0, F1188))</f>
        <v/>
      </c>
      <c r="E1188">
        <f>VLOOKUP(B1188,[1]Namshi!$A:$B,2,0)</f>
        <v/>
      </c>
      <c r="F1188" s="4">
        <f>SUMIFS('Dubai Stock'!I:I,'Dubai Stock'!H:H,Final_UAE!B:B)</f>
        <v/>
      </c>
      <c r="H1188" s="8" t="e">
        <v>#N/A</v>
      </c>
      <c r="I1188" s="8" t="n"/>
    </row>
    <row r="1189">
      <c r="A1189" s="4" t="n">
        <v>33834</v>
      </c>
      <c r="B1189" s="4" t="inlineStr">
        <is>
          <t>sw30507-bla-000220-0501-65</t>
        </is>
      </c>
      <c r="C1189" s="4" t="inlineStr">
        <is>
          <t>W00031886A</t>
        </is>
      </c>
      <c r="D1189" s="6">
        <f>IF(F1189&gt;=5, F1189-5, IF(F1189&lt;5, 0, F1189))</f>
        <v/>
      </c>
      <c r="E1189">
        <f>VLOOKUP(B1189,[1]Namshi!$A:$B,2,0)</f>
        <v/>
      </c>
      <c r="F1189" s="4">
        <f>SUMIFS('Dubai Stock'!I:I,'Dubai Stock'!H:H,Final_UAE!B:B)</f>
        <v/>
      </c>
      <c r="H1189" s="8" t="e">
        <v>#N/A</v>
      </c>
    </row>
    <row r="1190">
      <c r="A1190" s="4" t="n">
        <v>33834</v>
      </c>
      <c r="B1190" s="4" t="inlineStr">
        <is>
          <t>fw70518-spc-000513-0500-52</t>
        </is>
      </c>
      <c r="C1190" s="4" t="inlineStr">
        <is>
          <t>W00031886A</t>
        </is>
      </c>
      <c r="D1190" s="6">
        <f>IF(F1190&gt;=5, F1190-5, IF(F1190&lt;5, 0, F1190))</f>
        <v/>
      </c>
      <c r="E1190">
        <f>VLOOKUP(B1190,[1]Namshi!$A:$B,2,0)</f>
        <v/>
      </c>
      <c r="F1190" s="4">
        <f>SUMIFS('Dubai Stock'!I:I,'Dubai Stock'!H:H,Final_UAE!B:B)</f>
        <v/>
      </c>
      <c r="H1190" s="8" t="e">
        <v>#N/A</v>
      </c>
      <c r="I1190" s="8" t="n"/>
    </row>
    <row r="1191">
      <c r="A1191" s="4" t="n">
        <v>33834</v>
      </c>
      <c r="B1191" s="4" t="inlineStr">
        <is>
          <t>clstdai-lay-cont-p10-dazzle-black-sn0225</t>
        </is>
      </c>
      <c r="C1191" s="4" t="inlineStr">
        <is>
          <t>W00031886A</t>
        </is>
      </c>
      <c r="D1191" s="6">
        <f>IF(F1191&gt;=5, F1191-5, IF(F1191&lt;5, 0, F1191))</f>
        <v/>
      </c>
      <c r="E1191">
        <f>VLOOKUP(B1191,[1]Namshi!$A:$B,2,0)</f>
        <v/>
      </c>
      <c r="F1191" s="4">
        <f>SUMIFS('Dubai Stock'!I:I,'Dubai Stock'!H:H,Final_UAE!B:B)</f>
        <v/>
      </c>
      <c r="H1191" s="8" t="e">
        <v>#N/A</v>
      </c>
      <c r="I1191" s="8" t="n"/>
    </row>
    <row r="1192">
      <c r="A1192" s="4" t="n">
        <v>33834</v>
      </c>
      <c r="B1192" s="4" t="inlineStr">
        <is>
          <t>costmon-ama-lens-p02-crocodile-green-sn0300</t>
        </is>
      </c>
      <c r="C1192" s="4" t="inlineStr">
        <is>
          <t>W00031886A</t>
        </is>
      </c>
      <c r="D1192" s="6">
        <f>IF(F1192&gt;=5, F1192-5, IF(F1192&lt;5, 0, F1192))</f>
        <v/>
      </c>
      <c r="E1192">
        <f>VLOOKUP(B1192,[1]Namshi!$A:$B,2,0)</f>
        <v/>
      </c>
      <c r="F1192" s="4">
        <f>SUMIFS('Dubai Stock'!I:I,'Dubai Stock'!H:H,Final_UAE!B:B)</f>
        <v/>
      </c>
      <c r="H1192" s="8" t="e">
        <v>#N/A</v>
      </c>
      <c r="I1192" s="8" t="n"/>
    </row>
    <row r="1193">
      <c r="A1193" s="4" t="n">
        <v>33834</v>
      </c>
      <c r="B1193" s="4" t="inlineStr">
        <is>
          <t>sw30404-30s-000121-0404-49</t>
        </is>
      </c>
      <c r="C1193" s="4" t="inlineStr">
        <is>
          <t>W00031886A</t>
        </is>
      </c>
      <c r="D1193" s="6">
        <f>IF(F1193&gt;=5, F1193-5, IF(F1193&lt;5, 0, F1193))</f>
        <v/>
      </c>
      <c r="E1193">
        <f>VLOOKUP(B1193,[1]Namshi!$A:$B,2,0)</f>
        <v/>
      </c>
      <c r="F1193" s="4">
        <f>SUMIFS('Dubai Stock'!I:I,'Dubai Stock'!H:H,Final_UAE!B:B)</f>
        <v/>
      </c>
      <c r="H1193" s="8" t="e">
        <v>#N/A</v>
      </c>
    </row>
    <row r="1194">
      <c r="A1194" s="4" t="n">
        <v>33834</v>
      </c>
      <c r="B1194" s="4" t="inlineStr">
        <is>
          <t>clstbiw-acu-oasy-p18-sn0250</t>
        </is>
      </c>
      <c r="C1194" s="4" t="inlineStr">
        <is>
          <t>W00031886A</t>
        </is>
      </c>
      <c r="D1194" s="6">
        <f>IF(F1194&gt;=5, F1194-5, IF(F1194&lt;5, 0, F1194))</f>
        <v/>
      </c>
      <c r="E1194">
        <f>VLOOKUP(B1194,[1]Namshi!$A:$B,2,0)</f>
        <v/>
      </c>
      <c r="F1194" s="4">
        <f>SUMIFS('Dubai Stock'!I:I,'Dubai Stock'!H:H,Final_UAE!B:B)</f>
        <v/>
      </c>
      <c r="H1194" s="8" t="e">
        <v>#N/A</v>
      </c>
      <c r="I1194" s="8" t="n"/>
    </row>
    <row r="1195">
      <c r="A1195" s="4" t="n">
        <v>33834</v>
      </c>
      <c r="B1195" s="4" t="inlineStr">
        <is>
          <t>costmon-ama-2024-p02-chocolate-sn0150</t>
        </is>
      </c>
      <c r="C1195" s="4" t="inlineStr">
        <is>
          <t>W00031886A</t>
        </is>
      </c>
      <c r="D1195" s="6">
        <f>IF(F1195&gt;=5, F1195-5, IF(F1195&lt;5, 0, F1195))</f>
        <v/>
      </c>
      <c r="E1195">
        <f>VLOOKUP(B1195,[1]Namshi!$A:$B,2,0)</f>
        <v/>
      </c>
      <c r="F1195" s="4">
        <f>SUMIFS('Dubai Stock'!I:I,'Dubai Stock'!H:H,Final_UAE!B:B)</f>
        <v/>
      </c>
      <c r="H1195" s="8" t="e">
        <v>#N/A</v>
      </c>
      <c r="I1195" s="8" t="n"/>
    </row>
    <row r="1196">
      <c r="A1196" s="4" t="n">
        <v>33834</v>
      </c>
      <c r="B1196" s="4" t="inlineStr">
        <is>
          <t>clstmon-eve-prom-p06-sn0175</t>
        </is>
      </c>
      <c r="C1196" s="4" t="inlineStr">
        <is>
          <t>W00031886A</t>
        </is>
      </c>
      <c r="D1196" s="6">
        <f>IF(F1196&gt;=5, F1196-5, IF(F1196&lt;5, 0, F1196))</f>
        <v/>
      </c>
      <c r="E1196">
        <f>VLOOKUP(B1196,[1]Namshi!$A:$B,2,0)</f>
        <v/>
      </c>
      <c r="F1196" s="4">
        <f>SUMIFS('Dubai Stock'!I:I,'Dubai Stock'!H:H,Final_UAE!B:B)</f>
        <v/>
      </c>
      <c r="H1196" s="8" t="n">
        <v>212</v>
      </c>
      <c r="I1196" s="8" t="n">
        <v>111.3</v>
      </c>
    </row>
    <row r="1197">
      <c r="A1197" s="4" t="n">
        <v>33834</v>
      </c>
      <c r="B1197" s="4" t="inlineStr">
        <is>
          <t>clstdai-acu-omax-p90-sn0125</t>
        </is>
      </c>
      <c r="C1197" s="4" t="inlineStr">
        <is>
          <t>W00031886A</t>
        </is>
      </c>
      <c r="D1197" s="6">
        <f>IF(F1197&gt;=5, F1197-5, IF(F1197&lt;5, 0, F1197))</f>
        <v/>
      </c>
      <c r="E1197">
        <f>VLOOKUP(B1197,[1]Namshi!$A:$B,2,0)</f>
        <v/>
      </c>
      <c r="F1197" s="4">
        <f>SUMIFS('Dubai Stock'!I:I,'Dubai Stock'!H:H,Final_UAE!B:B)</f>
        <v/>
      </c>
      <c r="H1197" s="8" t="e">
        <v>#N/A</v>
      </c>
      <c r="I1197" s="8" t="n"/>
    </row>
    <row r="1198">
      <c r="A1198" s="4" t="n">
        <v>33834</v>
      </c>
      <c r="B1198" s="4" t="inlineStr">
        <is>
          <t>clstdai-dai-aqua-p90-sp0200</t>
        </is>
      </c>
      <c r="C1198" s="4" t="inlineStr">
        <is>
          <t>W00031886A</t>
        </is>
      </c>
      <c r="D1198" s="6">
        <f>IF(F1198&gt;=5, F1198-5, IF(F1198&lt;5, 0, F1198))</f>
        <v/>
      </c>
      <c r="E1198">
        <f>VLOOKUP(B1198,[1]Namshi!$A:$B,2,0)</f>
        <v/>
      </c>
      <c r="F1198" s="4">
        <f>SUMIFS('Dubai Stock'!I:I,'Dubai Stock'!H:H,Final_UAE!B:B)</f>
        <v/>
      </c>
      <c r="H1198" s="8" t="e">
        <v>#N/A</v>
      </c>
      <c r="I1198" s="8" t="n"/>
    </row>
    <row r="1199">
      <c r="A1199" s="4" t="n">
        <v>33834</v>
      </c>
      <c r="B1199" s="4" t="inlineStr">
        <is>
          <t>cltobiw-acu-oasy-p06-sn0450-cn0075-a010</t>
        </is>
      </c>
      <c r="C1199" s="4" t="inlineStr">
        <is>
          <t>W00031886A</t>
        </is>
      </c>
      <c r="D1199" s="6">
        <f>IF(F1199&gt;=5, F1199-5, IF(F1199&lt;5, 0, F1199))</f>
        <v/>
      </c>
      <c r="E1199">
        <f>VLOOKUP(B1199,[1]Namshi!$A:$B,2,0)</f>
        <v/>
      </c>
      <c r="F1199" s="4">
        <f>SUMIFS('Dubai Stock'!I:I,'Dubai Stock'!H:H,Final_UAE!B:B)</f>
        <v/>
      </c>
      <c r="H1199" s="8" t="e">
        <v>#N/A</v>
      </c>
      <c r="I1199" s="8" t="n"/>
    </row>
    <row r="1200">
      <c r="A1200" s="4" t="n">
        <v>33834</v>
      </c>
      <c r="B1200" s="4" t="inlineStr">
        <is>
          <t>clstdai-acu-mois-p30-sp0300</t>
        </is>
      </c>
      <c r="C1200" s="4" t="inlineStr">
        <is>
          <t>W00031886A</t>
        </is>
      </c>
      <c r="D1200" s="6">
        <f>IF(F1200&gt;=5, F1200-5, IF(F1200&lt;5, 0, F1200))</f>
        <v/>
      </c>
      <c r="E1200">
        <f>VLOOKUP(B1200,[1]Namshi!$A:$B,2,0)</f>
        <v/>
      </c>
      <c r="F1200" s="4">
        <f>SUMIFS('Dubai Stock'!I:I,'Dubai Stock'!H:H,Final_UAE!B:B)</f>
        <v/>
      </c>
      <c r="H1200" s="8" t="e">
        <v>#N/A</v>
      </c>
      <c r="I1200" s="8" t="n"/>
    </row>
    <row r="1201">
      <c r="A1201" s="4" t="n">
        <v>33834</v>
      </c>
      <c r="B1201" s="4" t="inlineStr">
        <is>
          <t>cost3mo-lay-2021-p02-sunkiss-brown-sn0375</t>
        </is>
      </c>
      <c r="C1201" s="4" t="inlineStr">
        <is>
          <t>W00031886A</t>
        </is>
      </c>
      <c r="D1201" s="6">
        <f>IF(F1201&gt;=5, F1201-5, IF(F1201&lt;5, 0, F1201))</f>
        <v/>
      </c>
      <c r="E1201">
        <f>VLOOKUP(B1201,[1]Namshi!$A:$B,2,0)</f>
        <v/>
      </c>
      <c r="F1201" s="4">
        <f>SUMIFS('Dubai Stock'!I:I,'Dubai Stock'!H:H,Final_UAE!B:B)</f>
        <v/>
      </c>
      <c r="H1201" s="8" t="e">
        <v>#N/A</v>
      </c>
      <c r="I1201" s="8" t="n"/>
    </row>
    <row r="1202">
      <c r="A1202" s="4" t="n">
        <v>33834</v>
      </c>
      <c r="B1202" s="4" t="inlineStr">
        <is>
          <t>clstdai-dai-tot1-p30-sn0225</t>
        </is>
      </c>
      <c r="C1202" s="4" t="inlineStr">
        <is>
          <t>W00031886A</t>
        </is>
      </c>
      <c r="D1202" s="6">
        <f>IF(F1202&gt;=5, F1202-5, IF(F1202&lt;5, 0, F1202))</f>
        <v/>
      </c>
      <c r="E1202">
        <f>VLOOKUP(B1202,[1]Namshi!$A:$B,2,0)</f>
        <v/>
      </c>
      <c r="F1202" s="4">
        <f>SUMIFS('Dubai Stock'!I:I,'Dubai Stock'!H:H,Final_UAE!B:B)</f>
        <v/>
      </c>
      <c r="H1202" s="8" t="e">
        <v>#N/A</v>
      </c>
      <c r="I1202" s="8" t="n"/>
    </row>
    <row r="1203">
      <c r="A1203" s="4" t="n">
        <v>33834</v>
      </c>
      <c r="B1203" s="4" t="inlineStr">
        <is>
          <t>sm50107-30s-00438-0107p-52</t>
        </is>
      </c>
      <c r="C1203" s="4" t="inlineStr">
        <is>
          <t>W00031886A</t>
        </is>
      </c>
      <c r="D1203" s="6">
        <f>IF(F1203&gt;=5, F1203-5, IF(F1203&lt;5, 0, F1203))</f>
        <v/>
      </c>
      <c r="E1203">
        <f>VLOOKUP(B1203,[1]Namshi!$A:$B,2,0)</f>
        <v/>
      </c>
      <c r="F1203" s="4">
        <f>SUMIFS('Dubai Stock'!I:I,'Dubai Stock'!H:H,Final_UAE!B:B)</f>
        <v/>
      </c>
      <c r="H1203" s="8" t="e">
        <v>#N/A</v>
      </c>
    </row>
    <row r="1204">
      <c r="A1204" s="4" t="n">
        <v>33834</v>
      </c>
      <c r="B1204" s="4" t="inlineStr">
        <is>
          <t>cost3mo-lay-2021-p02-skye-blue-sn0300</t>
        </is>
      </c>
      <c r="C1204" s="4" t="inlineStr">
        <is>
          <t>W00031886A</t>
        </is>
      </c>
      <c r="D1204" s="6">
        <f>IF(F1204&gt;=5, F1204-5, IF(F1204&lt;5, 0, F1204))</f>
        <v/>
      </c>
      <c r="E1204">
        <f>VLOOKUP(B1204,[1]Namshi!$A:$B,2,0)</f>
        <v/>
      </c>
      <c r="F1204" s="4">
        <f>SUMIFS('Dubai Stock'!I:I,'Dubai Stock'!H:H,Final_UAE!B:B)</f>
        <v/>
      </c>
      <c r="H1204" s="8" t="e">
        <v>#N/A</v>
      </c>
      <c r="I1204" s="8" t="n"/>
    </row>
    <row r="1205">
      <c r="A1205" s="4" t="n">
        <v>33834</v>
      </c>
      <c r="B1205" s="4" t="inlineStr">
        <is>
          <t>su70202-30s-000268-0202-53</t>
        </is>
      </c>
      <c r="C1205" s="4" t="inlineStr">
        <is>
          <t>W00031886A</t>
        </is>
      </c>
      <c r="D1205" s="6">
        <f>IF(F1205&gt;=5, F1205-5, IF(F1205&lt;5, 0, F1205))</f>
        <v/>
      </c>
      <c r="E1205">
        <f>VLOOKUP(B1205,[1]Namshi!$A:$B,2,0)</f>
        <v/>
      </c>
      <c r="F1205" s="4">
        <f>SUMIFS('Dubai Stock'!I:I,'Dubai Stock'!H:H,Final_UAE!B:B)</f>
        <v/>
      </c>
      <c r="H1205" s="8" t="e">
        <v>#N/A</v>
      </c>
    </row>
    <row r="1206">
      <c r="A1206" s="4" t="n">
        <v>33834</v>
      </c>
      <c r="B1206" s="4" t="inlineStr">
        <is>
          <t>clstdai-acu-omax-p90-sn0400</t>
        </is>
      </c>
      <c r="C1206" s="4" t="inlineStr">
        <is>
          <t>W00031886A</t>
        </is>
      </c>
      <c r="D1206" s="6">
        <f>IF(F1206&gt;=5, F1206-5, IF(F1206&lt;5, 0, F1206))</f>
        <v/>
      </c>
      <c r="E1206">
        <f>VLOOKUP(B1206,[1]Namshi!$A:$B,2,0)</f>
        <v/>
      </c>
      <c r="F1206" s="4">
        <f>SUMIFS('Dubai Stock'!I:I,'Dubai Stock'!H:H,Final_UAE!B:B)</f>
        <v/>
      </c>
      <c r="H1206" s="8" t="e">
        <v>#N/A</v>
      </c>
      <c r="I1206" s="8" t="n"/>
    </row>
    <row r="1207">
      <c r="A1207" s="4" t="n">
        <v>33834</v>
      </c>
      <c r="B1207" s="4" t="inlineStr">
        <is>
          <t>costdai-ama-dail-p10-amber-sn0075</t>
        </is>
      </c>
      <c r="C1207" s="4" t="inlineStr">
        <is>
          <t>W00031886A</t>
        </is>
      </c>
      <c r="D1207" s="6">
        <f>IF(F1207&gt;=5, F1207-5, IF(F1207&lt;5, 0, F1207))</f>
        <v/>
      </c>
      <c r="E1207">
        <f>VLOOKUP(B1207,[1]Namshi!$A:$B,2,0)</f>
        <v/>
      </c>
      <c r="F1207" s="4">
        <f>SUMIFS('Dubai Stock'!I:I,'Dubai Stock'!H:H,Final_UAE!B:B)</f>
        <v/>
      </c>
      <c r="H1207" s="8" t="e">
        <v>#N/A</v>
      </c>
      <c r="I1207" s="8" t="n"/>
    </row>
    <row r="1208">
      <c r="A1208" s="4" t="n">
        <v>33834</v>
      </c>
      <c r="B1208" s="4" t="inlineStr">
        <is>
          <t>su100404-30s-000305-0404-50</t>
        </is>
      </c>
      <c r="C1208" s="4" t="inlineStr">
        <is>
          <t>W00031886A</t>
        </is>
      </c>
      <c r="D1208" s="6">
        <f>IF(F1208&gt;=5, F1208-5, IF(F1208&lt;5, 0, F1208))</f>
        <v/>
      </c>
      <c r="E1208">
        <f>VLOOKUP(B1208,[1]Namshi!$A:$B,2,0)</f>
        <v/>
      </c>
      <c r="F1208" s="4">
        <f>SUMIFS('Dubai Stock'!I:I,'Dubai Stock'!H:H,Final_UAE!B:B)</f>
        <v/>
      </c>
      <c r="H1208" s="8" t="e">
        <v>#N/A</v>
      </c>
    </row>
    <row r="1209">
      <c r="A1209" s="4" t="n">
        <v>33834</v>
      </c>
      <c r="B1209" s="4" t="inlineStr">
        <is>
          <t>su100707-bla-000384-0707-55</t>
        </is>
      </c>
      <c r="C1209" s="4" t="inlineStr">
        <is>
          <t>W00031886A</t>
        </is>
      </c>
      <c r="D1209" s="6">
        <f>IF(F1209&gt;=5, F1209-5, IF(F1209&lt;5, 0, F1209))</f>
        <v/>
      </c>
      <c r="E1209">
        <f>VLOOKUP(B1209,[1]Namshi!$A:$B,2,0)</f>
        <v/>
      </c>
      <c r="F1209" s="4">
        <f>SUMIFS('Dubai Stock'!I:I,'Dubai Stock'!H:H,Final_UAE!B:B)</f>
        <v/>
      </c>
      <c r="H1209" s="8" t="e">
        <v>#N/A</v>
      </c>
    </row>
    <row r="1210">
      <c r="A1210" s="4" t="n">
        <v>33834</v>
      </c>
      <c r="B1210" s="4" t="inlineStr">
        <is>
          <t>sw40202-bla-000254-0202-52</t>
        </is>
      </c>
      <c r="C1210" s="4" t="inlineStr">
        <is>
          <t>W00031886A</t>
        </is>
      </c>
      <c r="D1210" s="6">
        <f>IF(F1210&gt;=5, F1210-5, IF(F1210&lt;5, 0, F1210))</f>
        <v/>
      </c>
      <c r="E1210">
        <f>VLOOKUP(B1210,[1]Namshi!$A:$B,2,0)</f>
        <v/>
      </c>
      <c r="F1210" s="4">
        <f>SUMIFS('Dubai Stock'!I:I,'Dubai Stock'!H:H,Final_UAE!B:B)</f>
        <v/>
      </c>
      <c r="H1210" s="8" t="e">
        <v>#N/A</v>
      </c>
    </row>
    <row r="1211">
      <c r="A1211" s="4" t="n">
        <v>33834</v>
      </c>
      <c r="B1211" s="4" t="inlineStr">
        <is>
          <t>cost3mo-lay-lens-p02-crystal-brown-sn0100</t>
        </is>
      </c>
      <c r="C1211" s="4" t="inlineStr">
        <is>
          <t>W00031886A</t>
        </is>
      </c>
      <c r="D1211" s="6">
        <f>IF(F1211&gt;=5, F1211-5, IF(F1211&lt;5, 0, F1211))</f>
        <v/>
      </c>
      <c r="E1211">
        <f>VLOOKUP(B1211,[1]Namshi!$A:$B,2,0)</f>
        <v/>
      </c>
      <c r="F1211" s="4">
        <f>SUMIFS('Dubai Stock'!I:I,'Dubai Stock'!H:H,Final_UAE!B:B)</f>
        <v/>
      </c>
      <c r="H1211" s="8" t="e">
        <v>#N/A</v>
      </c>
      <c r="I1211" s="8" t="n"/>
    </row>
    <row r="1212">
      <c r="A1212" s="4" t="n">
        <v>33834</v>
      </c>
      <c r="B1212" s="4" t="inlineStr">
        <is>
          <t>sw40406-30s-000274-0406-54</t>
        </is>
      </c>
      <c r="C1212" s="4" t="inlineStr">
        <is>
          <t>W00031886A</t>
        </is>
      </c>
      <c r="D1212" s="6">
        <f>IF(F1212&gt;=5, F1212-5, IF(F1212&lt;5, 0, F1212))</f>
        <v/>
      </c>
      <c r="E1212">
        <f>VLOOKUP(B1212,[1]Namshi!$A:$B,2,0)</f>
        <v/>
      </c>
      <c r="F1212" s="4">
        <f>SUMIFS('Dubai Stock'!I:I,'Dubai Stock'!H:H,Final_UAE!B:B)</f>
        <v/>
      </c>
      <c r="H1212" s="8" t="e">
        <v>#N/A</v>
      </c>
    </row>
    <row r="1213">
      <c r="A1213" s="4" t="n">
        <v>33834</v>
      </c>
      <c r="B1213" s="4" t="inlineStr">
        <is>
          <t>su51406-30s-000236-1406-49</t>
        </is>
      </c>
      <c r="C1213" s="4" t="inlineStr">
        <is>
          <t>W00031886A</t>
        </is>
      </c>
      <c r="D1213" s="6">
        <f>IF(F1213&gt;=5, F1213-5, IF(F1213&lt;5, 0, F1213))</f>
        <v/>
      </c>
      <c r="E1213">
        <f>VLOOKUP(B1213,[1]Namshi!$A:$B,2,0)</f>
        <v/>
      </c>
      <c r="F1213" s="4">
        <f>SUMIFS('Dubai Stock'!I:I,'Dubai Stock'!H:H,Final_UAE!B:B)</f>
        <v/>
      </c>
      <c r="H1213" s="8" t="e">
        <v>#N/A</v>
      </c>
    </row>
    <row r="1214">
      <c r="A1214" s="4" t="n">
        <v>33834</v>
      </c>
      <c r="B1214" s="4" t="inlineStr">
        <is>
          <t>costdai-acu-dffr-p10-blue-sn0400</t>
        </is>
      </c>
      <c r="C1214" s="4" t="inlineStr">
        <is>
          <t>W00031886A</t>
        </is>
      </c>
      <c r="D1214" s="6">
        <f>IF(F1214&gt;=5, F1214-5, IF(F1214&lt;5, 0, F1214))</f>
        <v/>
      </c>
      <c r="E1214">
        <f>VLOOKUP(B1214,[1]Namshi!$A:$B,2,0)</f>
        <v/>
      </c>
      <c r="F1214" s="4">
        <f>SUMIFS('Dubai Stock'!I:I,'Dubai Stock'!H:H,Final_UAE!B:B)</f>
        <v/>
      </c>
      <c r="H1214" s="8" t="e">
        <v>#N/A</v>
      </c>
      <c r="I1214" s="8" t="n"/>
    </row>
    <row r="1215">
      <c r="A1215" s="4" t="n">
        <v>33834</v>
      </c>
      <c r="B1215" s="4" t="inlineStr">
        <is>
          <t>costmon-ama-2022-p02-tiger-eyes-sn0050</t>
        </is>
      </c>
      <c r="C1215" s="4" t="inlineStr">
        <is>
          <t>W00031886A</t>
        </is>
      </c>
      <c r="D1215" s="6">
        <f>IF(F1215&gt;=5, F1215-5, IF(F1215&lt;5, 0, F1215))</f>
        <v/>
      </c>
      <c r="E1215">
        <f>VLOOKUP(B1215,[1]Namshi!$A:$B,2,0)</f>
        <v/>
      </c>
      <c r="F1215" s="4">
        <f>SUMIFS('Dubai Stock'!I:I,'Dubai Stock'!H:H,Final_UAE!B:B)</f>
        <v/>
      </c>
      <c r="H1215" s="8" t="e">
        <v>#N/A</v>
      </c>
      <c r="I1215" s="8" t="n"/>
    </row>
    <row r="1216">
      <c r="A1216" s="4" t="n">
        <v>33834</v>
      </c>
      <c r="B1216" s="4" t="inlineStr">
        <is>
          <t>fw30618-spc-000723-0618-54</t>
        </is>
      </c>
      <c r="C1216" s="4" t="inlineStr">
        <is>
          <t>W00031886A</t>
        </is>
      </c>
      <c r="D1216" s="6">
        <f>IF(F1216&gt;=5, F1216-5, IF(F1216&lt;5, 0, F1216))</f>
        <v/>
      </c>
      <c r="E1216">
        <f>VLOOKUP(B1216,[1]Namshi!$A:$B,2,0)</f>
        <v/>
      </c>
      <c r="F1216" s="4">
        <f>SUMIFS('Dubai Stock'!I:I,'Dubai Stock'!H:H,Final_UAE!B:B)</f>
        <v/>
      </c>
      <c r="H1216" s="8" t="e">
        <v>#N/A</v>
      </c>
      <c r="I1216" s="8" t="n"/>
    </row>
    <row r="1217">
      <c r="A1217" s="4" t="n">
        <v>33834</v>
      </c>
      <c r="B1217" s="4" t="inlineStr">
        <is>
          <t>costdai-ama-dail-p10-amber-sn0700</t>
        </is>
      </c>
      <c r="C1217" s="4" t="inlineStr">
        <is>
          <t>W00031886A</t>
        </is>
      </c>
      <c r="D1217" s="6">
        <f>IF(F1217&gt;=5, F1217-5, IF(F1217&lt;5, 0, F1217))</f>
        <v/>
      </c>
      <c r="E1217">
        <f>VLOOKUP(B1217,[1]Namshi!$A:$B,2,0)</f>
        <v/>
      </c>
      <c r="F1217" s="4">
        <f>SUMIFS('Dubai Stock'!I:I,'Dubai Stock'!H:H,Final_UAE!B:B)</f>
        <v/>
      </c>
      <c r="H1217" s="8" t="e">
        <v>#N/A</v>
      </c>
      <c r="I1217" s="8" t="n"/>
    </row>
    <row r="1218">
      <c r="A1218" s="4" t="n">
        <v>33834</v>
      </c>
      <c r="B1218" s="4" t="inlineStr">
        <is>
          <t>sw102604-30s-000306-2604-49</t>
        </is>
      </c>
      <c r="C1218" s="4" t="inlineStr">
        <is>
          <t>W00031886A</t>
        </is>
      </c>
      <c r="D1218" s="6">
        <f>IF(F1218&gt;=5, F1218-5, IF(F1218&lt;5, 0, F1218))</f>
        <v/>
      </c>
      <c r="E1218">
        <f>VLOOKUP(B1218,[1]Namshi!$A:$B,2,0)</f>
        <v/>
      </c>
      <c r="F1218" s="4">
        <f>SUMIFS('Dubai Stock'!I:I,'Dubai Stock'!H:H,Final_UAE!B:B)</f>
        <v/>
      </c>
      <c r="H1218" s="8" t="e">
        <v>#N/A</v>
      </c>
    </row>
    <row r="1219">
      <c r="A1219" s="4" t="n">
        <v>33834</v>
      </c>
      <c r="B1219" s="4" t="inlineStr">
        <is>
          <t>su52404-30s-000442-2404-50</t>
        </is>
      </c>
      <c r="C1219" s="4" t="inlineStr">
        <is>
          <t>W00031886A</t>
        </is>
      </c>
      <c r="D1219" s="6">
        <f>IF(F1219&gt;=5, F1219-5, IF(F1219&lt;5, 0, F1219))</f>
        <v/>
      </c>
      <c r="E1219">
        <f>VLOOKUP(B1219,[1]Namshi!$A:$B,2,0)</f>
        <v/>
      </c>
      <c r="F1219" s="4">
        <f>SUMIFS('Dubai Stock'!I:I,'Dubai Stock'!H:H,Final_UAE!B:B)</f>
        <v/>
      </c>
      <c r="H1219" s="8" t="e">
        <v>#N/A</v>
      </c>
    </row>
    <row r="1220">
      <c r="A1220" s="4" t="n">
        <v>33834</v>
      </c>
      <c r="B1220" s="4" t="inlineStr">
        <is>
          <t>saccase-30s-case101-nvy-brn-navy-blue</t>
        </is>
      </c>
      <c r="C1220" s="4" t="inlineStr">
        <is>
          <t>W00031886A</t>
        </is>
      </c>
      <c r="D1220" s="6">
        <f>IF(F1220&gt;=5, F1220-5, IF(F1220&lt;5, 0, F1220))</f>
        <v/>
      </c>
      <c r="E1220">
        <f>VLOOKUP(B1220,[1]Namshi!$A:$B,2,0)</f>
        <v/>
      </c>
      <c r="F1220" s="4">
        <f>SUMIFS('Dubai Stock'!I:I,'Dubai Stock'!H:H,Final_UAE!B:B)</f>
        <v/>
      </c>
      <c r="H1220" s="8" t="e">
        <v>#N/A</v>
      </c>
      <c r="I1220" s="8" t="n"/>
    </row>
    <row r="1221">
      <c r="A1221" s="4" t="n">
        <v>33834</v>
      </c>
      <c r="B1221" s="4" t="inlineStr">
        <is>
          <t>sw40604-bla-000261-0604-50</t>
        </is>
      </c>
      <c r="C1221" s="4" t="inlineStr">
        <is>
          <t>W00031886A</t>
        </is>
      </c>
      <c r="D1221" s="6">
        <f>IF(F1221&gt;=5, F1221-5, IF(F1221&lt;5, 0, F1221))</f>
        <v/>
      </c>
      <c r="E1221">
        <f>VLOOKUP(B1221,[1]Namshi!$A:$B,2,0)</f>
        <v/>
      </c>
      <c r="F1221" s="4">
        <f>SUMIFS('Dubai Stock'!I:I,'Dubai Stock'!H:H,Final_UAE!B:B)</f>
        <v/>
      </c>
      <c r="H1221" s="8" t="e">
        <v>#N/A</v>
      </c>
    </row>
    <row r="1222">
      <c r="A1222" s="4" t="n">
        <v>33834</v>
      </c>
      <c r="B1222" s="4" t="inlineStr">
        <is>
          <t>clstdai-dai-aqua-p30-sn0075</t>
        </is>
      </c>
      <c r="C1222" s="4" t="inlineStr">
        <is>
          <t>W00031886A</t>
        </is>
      </c>
      <c r="D1222" s="6">
        <f>IF(F1222&gt;=5, F1222-5, IF(F1222&lt;5, 0, F1222))</f>
        <v/>
      </c>
      <c r="E1222">
        <f>VLOOKUP(B1222,[1]Namshi!$A:$B,2,0)</f>
        <v/>
      </c>
      <c r="F1222" s="4">
        <f>SUMIFS('Dubai Stock'!I:I,'Dubai Stock'!H:H,Final_UAE!B:B)</f>
        <v/>
      </c>
      <c r="H1222" s="8" t="e">
        <v>#N/A</v>
      </c>
      <c r="I1222" s="8" t="n"/>
    </row>
    <row r="1223">
      <c r="A1223" s="4" t="n">
        <v>33834</v>
      </c>
      <c r="B1223" s="4" t="inlineStr">
        <is>
          <t>costmon-ama-lens-p02-mocca-sn0475</t>
        </is>
      </c>
      <c r="C1223" s="4" t="inlineStr">
        <is>
          <t>W00031886A</t>
        </is>
      </c>
      <c r="D1223" s="6">
        <f>IF(F1223&gt;=5, F1223-5, IF(F1223&lt;5, 0, F1223))</f>
        <v/>
      </c>
      <c r="E1223">
        <f>VLOOKUP(B1223,[1]Namshi!$A:$B,2,0)</f>
        <v/>
      </c>
      <c r="F1223" s="4">
        <f>SUMIFS('Dubai Stock'!I:I,'Dubai Stock'!H:H,Final_UAE!B:B)</f>
        <v/>
      </c>
      <c r="H1223" s="8" t="e">
        <v>#N/A</v>
      </c>
      <c r="I1223" s="8" t="n"/>
    </row>
    <row r="1224">
      <c r="A1224" s="4" t="n">
        <v>33834</v>
      </c>
      <c r="B1224" s="4" t="inlineStr">
        <is>
          <t>cost3mo-lay-2022-p02-royal-green-sn0375</t>
        </is>
      </c>
      <c r="C1224" s="4" t="inlineStr">
        <is>
          <t>W00031886A</t>
        </is>
      </c>
      <c r="D1224" s="6">
        <f>IF(F1224&gt;=5, F1224-5, IF(F1224&lt;5, 0, F1224))</f>
        <v/>
      </c>
      <c r="E1224">
        <f>VLOOKUP(B1224,[1]Namshi!$A:$B,2,0)</f>
        <v/>
      </c>
      <c r="F1224" s="4">
        <f>SUMIFS('Dubai Stock'!I:I,'Dubai Stock'!H:H,Final_UAE!B:B)</f>
        <v/>
      </c>
      <c r="H1224" s="8" t="e">
        <v>#N/A</v>
      </c>
      <c r="I1224" s="8" t="n"/>
    </row>
    <row r="1225">
      <c r="A1225" s="4" t="n">
        <v>33834</v>
      </c>
      <c r="B1225" s="4" t="inlineStr">
        <is>
          <t>sw70404-30s-000260-0404-53</t>
        </is>
      </c>
      <c r="C1225" s="4" t="inlineStr">
        <is>
          <t>W00031886A</t>
        </is>
      </c>
      <c r="D1225" s="6">
        <f>IF(F1225&gt;=5, F1225-5, IF(F1225&lt;5, 0, F1225))</f>
        <v/>
      </c>
      <c r="E1225">
        <f>VLOOKUP(B1225,[1]Namshi!$A:$B,2,0)</f>
        <v/>
      </c>
      <c r="F1225" s="4">
        <f>SUMIFS('Dubai Stock'!I:I,'Dubai Stock'!H:H,Final_UAE!B:B)</f>
        <v/>
      </c>
      <c r="H1225" s="8" t="e">
        <v>#N/A</v>
      </c>
    </row>
    <row r="1226">
      <c r="A1226" s="4" t="n">
        <v>33834</v>
      </c>
      <c r="B1226" s="4" t="inlineStr">
        <is>
          <t>cost3mo-lay-2020-p02-ash-gray-sn0325</t>
        </is>
      </c>
      <c r="C1226" s="4" t="inlineStr">
        <is>
          <t>W00031886A</t>
        </is>
      </c>
      <c r="D1226" s="6">
        <f>IF(F1226&gt;=5, F1226-5, IF(F1226&lt;5, 0, F1226))</f>
        <v/>
      </c>
      <c r="E1226">
        <f>VLOOKUP(B1226,[1]Namshi!$A:$B,2,0)</f>
        <v/>
      </c>
      <c r="F1226" s="4">
        <f>SUMIFS('Dubai Stock'!I:I,'Dubai Stock'!H:H,Final_UAE!B:B)</f>
        <v/>
      </c>
      <c r="H1226" s="8" t="e">
        <v>#N/A</v>
      </c>
      <c r="I1226" s="8" t="n"/>
    </row>
    <row r="1227">
      <c r="A1227" s="4" t="n">
        <v>33834</v>
      </c>
      <c r="B1227" s="4" t="inlineStr">
        <is>
          <t>clstdai-btr-oned-p30-sn0175</t>
        </is>
      </c>
      <c r="C1227" s="4" t="inlineStr">
        <is>
          <t>W00031886A</t>
        </is>
      </c>
      <c r="D1227" s="6">
        <f>IF(F1227&gt;=5, F1227-5, IF(F1227&lt;5, 0, F1227))</f>
        <v/>
      </c>
      <c r="E1227">
        <f>VLOOKUP(B1227,[1]Namshi!$A:$B,2,0)</f>
        <v/>
      </c>
      <c r="F1227" s="4">
        <f>SUMIFS('Dubai Stock'!I:I,'Dubai Stock'!H:H,Final_UAE!B:B)</f>
        <v/>
      </c>
      <c r="H1227" s="8" t="e">
        <v>#N/A</v>
      </c>
      <c r="I1227" s="8" t="n"/>
    </row>
    <row r="1228">
      <c r="A1228" s="4" t="n">
        <v>33834</v>
      </c>
      <c r="B1228" s="4" t="inlineStr">
        <is>
          <t>costmon-ama-2024-p02-matcha-sn0425</t>
        </is>
      </c>
      <c r="C1228" s="4" t="inlineStr">
        <is>
          <t>W00031886A</t>
        </is>
      </c>
      <c r="D1228" s="6">
        <f>IF(F1228&gt;=5, F1228-5, IF(F1228&lt;5, 0, F1228))</f>
        <v/>
      </c>
      <c r="E1228">
        <f>VLOOKUP(B1228,[1]Namshi!$A:$B,2,0)</f>
        <v/>
      </c>
      <c r="F1228" s="4">
        <f>SUMIFS('Dubai Stock'!I:I,'Dubai Stock'!H:H,Final_UAE!B:B)</f>
        <v/>
      </c>
      <c r="H1228" s="8" t="e">
        <v>#N/A</v>
      </c>
      <c r="I1228" s="8" t="n"/>
    </row>
    <row r="1229">
      <c r="A1229" s="4" t="n">
        <v>33834</v>
      </c>
      <c r="B1229" s="4" t="inlineStr">
        <is>
          <t>costmon-ama-lens-p02-mocca-sn1000</t>
        </is>
      </c>
      <c r="C1229" s="4" t="inlineStr">
        <is>
          <t>W00031886A</t>
        </is>
      </c>
      <c r="D1229" s="6">
        <f>IF(F1229&gt;=5, F1229-5, IF(F1229&lt;5, 0, F1229))</f>
        <v/>
      </c>
      <c r="E1229">
        <f>VLOOKUP(B1229,[1]Namshi!$A:$B,2,0)</f>
        <v/>
      </c>
      <c r="F1229" s="4">
        <f>SUMIFS('Dubai Stock'!I:I,'Dubai Stock'!H:H,Final_UAE!B:B)</f>
        <v/>
      </c>
      <c r="H1229" s="8" t="e">
        <v>#N/A</v>
      </c>
      <c r="I1229" s="8" t="n"/>
    </row>
    <row r="1230">
      <c r="A1230" s="4" t="n">
        <v>33834</v>
      </c>
      <c r="B1230" s="4" t="inlineStr">
        <is>
          <t>sacchan-30s-chain139-wht-nebula-white-pearl</t>
        </is>
      </c>
      <c r="C1230" s="4" t="inlineStr">
        <is>
          <t>W00031886A</t>
        </is>
      </c>
      <c r="D1230" s="6">
        <f>IF(F1230&gt;=5, F1230-5, IF(F1230&lt;5, 0, F1230))</f>
        <v/>
      </c>
      <c r="E1230">
        <f>VLOOKUP(B1230,[1]Namshi!$A:$B,2,0)</f>
        <v/>
      </c>
      <c r="F1230" s="4">
        <f>SUMIFS('Dubai Stock'!I:I,'Dubai Stock'!H:H,Final_UAE!B:B)</f>
        <v/>
      </c>
      <c r="H1230" s="8" t="e">
        <v>#N/A</v>
      </c>
      <c r="I1230" s="8" t="n"/>
    </row>
    <row r="1231">
      <c r="A1231" s="4" t="n">
        <v>33834</v>
      </c>
      <c r="B1231" s="4" t="inlineStr">
        <is>
          <t>clstdai-dai-tot1-p90-sp0300</t>
        </is>
      </c>
      <c r="C1231" s="4" t="inlineStr">
        <is>
          <t>W00031886A</t>
        </is>
      </c>
      <c r="D1231" s="6">
        <f>IF(F1231&gt;=5, F1231-5, IF(F1231&lt;5, 0, F1231))</f>
        <v/>
      </c>
      <c r="E1231">
        <f>VLOOKUP(B1231,[1]Namshi!$A:$B,2,0)</f>
        <v/>
      </c>
      <c r="F1231" s="4">
        <f>SUMIFS('Dubai Stock'!I:I,'Dubai Stock'!H:H,Final_UAE!B:B)</f>
        <v/>
      </c>
      <c r="H1231" s="8" t="e">
        <v>#N/A</v>
      </c>
      <c r="I1231" s="8" t="n"/>
    </row>
    <row r="1232">
      <c r="A1232" s="4" t="n">
        <v>33834</v>
      </c>
      <c r="B1232" s="4" t="inlineStr">
        <is>
          <t>costmon-ama-2020-p02-charcoal-gray-sn0500</t>
        </is>
      </c>
      <c r="C1232" s="4" t="inlineStr">
        <is>
          <t>W00031886A</t>
        </is>
      </c>
      <c r="D1232" s="6">
        <f>IF(F1232&gt;=5, F1232-5, IF(F1232&lt;5, 0, F1232))</f>
        <v/>
      </c>
      <c r="E1232">
        <f>VLOOKUP(B1232,[1]Namshi!$A:$B,2,0)</f>
        <v/>
      </c>
      <c r="F1232" s="4">
        <f>SUMIFS('Dubai Stock'!I:I,'Dubai Stock'!H:H,Final_UAE!B:B)</f>
        <v/>
      </c>
      <c r="H1232" s="8" t="e">
        <v>#N/A</v>
      </c>
      <c r="I1232" s="8" t="n"/>
    </row>
    <row r="1233">
      <c r="A1233" s="4" t="n">
        <v>33834</v>
      </c>
      <c r="B1233" s="4" t="inlineStr">
        <is>
          <t>clstmon-bme-bm55-p06-sn0250</t>
        </is>
      </c>
      <c r="C1233" s="4" t="inlineStr">
        <is>
          <t>W00031886A</t>
        </is>
      </c>
      <c r="D1233" s="6">
        <f>IF(F1233&gt;=5, F1233-5, IF(F1233&lt;5, 0, F1233))</f>
        <v/>
      </c>
      <c r="E1233">
        <f>VLOOKUP(B1233,[1]Namshi!$A:$B,2,0)</f>
        <v/>
      </c>
      <c r="F1233" s="4">
        <f>SUMIFS('Dubai Stock'!I:I,'Dubai Stock'!H:H,Final_UAE!B:B)</f>
        <v/>
      </c>
      <c r="H1233" s="8" t="e">
        <v>#N/A</v>
      </c>
      <c r="I1233" s="8" t="n"/>
    </row>
    <row r="1234">
      <c r="A1234" s="4" t="n">
        <v>33834</v>
      </c>
      <c r="B1234" s="4" t="inlineStr">
        <is>
          <t>sunglasses-30Sundays-30s-000455-0707</t>
        </is>
      </c>
      <c r="C1234" s="4" t="inlineStr">
        <is>
          <t>W00031886A</t>
        </is>
      </c>
      <c r="D1234" s="6">
        <f>IF(F1234&gt;=5, F1234-5, IF(F1234&lt;5, 0, F1234))</f>
        <v/>
      </c>
      <c r="E1234">
        <f>VLOOKUP(B1234,[1]Namshi!$A:$B,2,0)</f>
        <v/>
      </c>
      <c r="F1234" s="4">
        <f>SUMIFS('Dubai Stock'!I:I,'Dubai Stock'!H:H,Final_UAE!B:B)</f>
        <v/>
      </c>
      <c r="H1234" s="8" t="e">
        <v>#N/A</v>
      </c>
      <c r="I1234" s="8" t="n"/>
    </row>
    <row r="1235">
      <c r="A1235" s="4" t="n">
        <v>33834</v>
      </c>
      <c r="B1235" s="4" t="inlineStr">
        <is>
          <t>cost3mo-lay-2020-p02-hazel-brown-sn0075</t>
        </is>
      </c>
      <c r="C1235" s="4" t="inlineStr">
        <is>
          <t>W00031886A</t>
        </is>
      </c>
      <c r="D1235" s="6">
        <f>IF(F1235&gt;=5, F1235-5, IF(F1235&lt;5, 0, F1235))</f>
        <v/>
      </c>
      <c r="E1235">
        <f>VLOOKUP(B1235,[1]Namshi!$A:$B,2,0)</f>
        <v/>
      </c>
      <c r="F1235" s="4">
        <f>SUMIFS('Dubai Stock'!I:I,'Dubai Stock'!H:H,Final_UAE!B:B)</f>
        <v/>
      </c>
      <c r="H1235" s="8" t="e">
        <v>#N/A</v>
      </c>
      <c r="I1235" s="8" t="n"/>
    </row>
    <row r="1236">
      <c r="A1236" s="4" t="n">
        <v>33834</v>
      </c>
      <c r="B1236" s="4" t="inlineStr">
        <is>
          <t>fm20218-spc-000635-0218-50</t>
        </is>
      </c>
      <c r="C1236" s="4" t="inlineStr">
        <is>
          <t>W00031886A</t>
        </is>
      </c>
      <c r="D1236" s="6">
        <f>IF(F1236&gt;=5, F1236-5, IF(F1236&lt;5, 0, F1236))</f>
        <v/>
      </c>
      <c r="E1236">
        <f>VLOOKUP(B1236,[1]Namshi!$A:$B,2,0)</f>
        <v/>
      </c>
      <c r="F1236" s="4">
        <f>SUMIFS('Dubai Stock'!I:I,'Dubai Stock'!H:H,Final_UAE!B:B)</f>
        <v/>
      </c>
      <c r="H1236" s="8" t="e">
        <v>#N/A</v>
      </c>
      <c r="I1236" s="8" t="n"/>
    </row>
    <row r="1237">
      <c r="A1237" s="4" t="n">
        <v>33834</v>
      </c>
      <c r="B1237" s="4" t="inlineStr">
        <is>
          <t>clstdai-sof-sdai-p90-sn0500</t>
        </is>
      </c>
      <c r="C1237" s="4" t="inlineStr">
        <is>
          <t>W00031886A</t>
        </is>
      </c>
      <c r="D1237" s="6">
        <f>IF(F1237&gt;=5, F1237-5, IF(F1237&lt;5, 0, F1237))</f>
        <v/>
      </c>
      <c r="E1237">
        <f>VLOOKUP(B1237,[1]Namshi!$A:$B,2,0)</f>
        <v/>
      </c>
      <c r="F1237" s="4">
        <f>SUMIFS('Dubai Stock'!I:I,'Dubai Stock'!H:H,Final_UAE!B:B)</f>
        <v/>
      </c>
      <c r="H1237" s="8" t="e">
        <v>#N/A</v>
      </c>
      <c r="I1237" s="8" t="n"/>
    </row>
    <row r="1238">
      <c r="A1238" s="4" t="n">
        <v>33834</v>
      </c>
      <c r="B1238" s="4" t="inlineStr">
        <is>
          <t>costmon-ama-2020-p02-charcoal-gray-sn0425</t>
        </is>
      </c>
      <c r="C1238" s="4" t="inlineStr">
        <is>
          <t>W00031886A</t>
        </is>
      </c>
      <c r="D1238" s="6">
        <f>IF(F1238&gt;=5, F1238-5, IF(F1238&lt;5, 0, F1238))</f>
        <v/>
      </c>
      <c r="E1238">
        <f>VLOOKUP(B1238,[1]Namshi!$A:$B,2,0)</f>
        <v/>
      </c>
      <c r="F1238" s="4">
        <f>SUMIFS('Dubai Stock'!I:I,'Dubai Stock'!H:H,Final_UAE!B:B)</f>
        <v/>
      </c>
      <c r="H1238" s="8" t="e">
        <v>#N/A</v>
      </c>
      <c r="I1238" s="8" t="n"/>
    </row>
    <row r="1239">
      <c r="A1239" s="4" t="n">
        <v>33834</v>
      </c>
      <c r="B1239" s="4" t="inlineStr">
        <is>
          <t>sw100808-bla-000268-2908-56</t>
        </is>
      </c>
      <c r="C1239" s="4" t="inlineStr">
        <is>
          <t>W00031886A</t>
        </is>
      </c>
      <c r="D1239" s="6">
        <f>IF(F1239&gt;=5, F1239-5, IF(F1239&lt;5, 0, F1239))</f>
        <v/>
      </c>
      <c r="E1239">
        <f>VLOOKUP(B1239,[1]Namshi!$A:$B,2,0)</f>
        <v/>
      </c>
      <c r="F1239" s="4">
        <f>SUMIFS('Dubai Stock'!I:I,'Dubai Stock'!H:H,Final_UAE!B:B)</f>
        <v/>
      </c>
      <c r="H1239" s="8" t="e">
        <v>#N/A</v>
      </c>
    </row>
    <row r="1240">
      <c r="A1240" s="4" t="n">
        <v>33834</v>
      </c>
      <c r="B1240" s="4" t="inlineStr">
        <is>
          <t>clstdai-sof-sdai-p30-sn0150</t>
        </is>
      </c>
      <c r="C1240" s="4" t="inlineStr">
        <is>
          <t>W00031886A</t>
        </is>
      </c>
      <c r="D1240" s="6">
        <f>IF(F1240&gt;=5, F1240-5, IF(F1240&lt;5, 0, F1240))</f>
        <v/>
      </c>
      <c r="E1240">
        <f>VLOOKUP(B1240,[1]Namshi!$A:$B,2,0)</f>
        <v/>
      </c>
      <c r="F1240" s="4">
        <f>SUMIFS('Dubai Stock'!I:I,'Dubai Stock'!H:H,Final_UAE!B:B)</f>
        <v/>
      </c>
      <c r="H1240" s="8" t="e">
        <v>#N/A</v>
      </c>
      <c r="I1240" s="8" t="n"/>
    </row>
    <row r="1241">
      <c r="A1241" s="4" t="n">
        <v>33834</v>
      </c>
      <c r="B1241" s="4" t="inlineStr">
        <is>
          <t>clstdai-acu-oasy-p120-sn1050</t>
        </is>
      </c>
      <c r="C1241" s="4" t="inlineStr">
        <is>
          <t>W00031886A</t>
        </is>
      </c>
      <c r="D1241" s="6">
        <f>IF(F1241&gt;=5, F1241-5, IF(F1241&lt;5, 0, F1241))</f>
        <v/>
      </c>
      <c r="E1241">
        <f>VLOOKUP(B1241,[1]Namshi!$A:$B,2,0)</f>
        <v/>
      </c>
      <c r="F1241" s="4">
        <f>SUMIFS('Dubai Stock'!I:I,'Dubai Stock'!H:H,Final_UAE!B:B)</f>
        <v/>
      </c>
      <c r="H1241" s="8" t="e">
        <v>#N/A</v>
      </c>
      <c r="I1241" s="8" t="n"/>
    </row>
    <row r="1242">
      <c r="A1242" s="4" t="n">
        <v>33834</v>
      </c>
      <c r="B1242" s="4" t="inlineStr">
        <is>
          <t>clstbiw-acu-oasy-p18-sn0425</t>
        </is>
      </c>
      <c r="C1242" s="4" t="inlineStr">
        <is>
          <t>W00031886A</t>
        </is>
      </c>
      <c r="D1242" s="6">
        <f>IF(F1242&gt;=5, F1242-5, IF(F1242&lt;5, 0, F1242))</f>
        <v/>
      </c>
      <c r="E1242">
        <f>VLOOKUP(B1242,[1]Namshi!$A:$B,2,0)</f>
        <v/>
      </c>
      <c r="F1242" s="4">
        <f>SUMIFS('Dubai Stock'!I:I,'Dubai Stock'!H:H,Final_UAE!B:B)</f>
        <v/>
      </c>
      <c r="H1242" s="8" t="e">
        <v>#N/A</v>
      </c>
      <c r="I1242" s="8" t="n"/>
    </row>
    <row r="1243">
      <c r="A1243" s="4" t="n">
        <v>33834</v>
      </c>
      <c r="B1243" s="4" t="inlineStr">
        <is>
          <t>costdai-ama-dail-p10-moon-stone-sn0500</t>
        </is>
      </c>
      <c r="C1243" s="4" t="inlineStr">
        <is>
          <t>W00031886A</t>
        </is>
      </c>
      <c r="D1243" s="6">
        <f>IF(F1243&gt;=5, F1243-5, IF(F1243&lt;5, 0, F1243))</f>
        <v/>
      </c>
      <c r="E1243">
        <f>VLOOKUP(B1243,[1]Namshi!$A:$B,2,0)</f>
        <v/>
      </c>
      <c r="F1243" s="4">
        <f>SUMIFS('Dubai Stock'!I:I,'Dubai Stock'!H:H,Final_UAE!B:B)</f>
        <v/>
      </c>
      <c r="H1243" s="8" t="e">
        <v>#N/A</v>
      </c>
      <c r="I1243" s="8" t="n"/>
    </row>
    <row r="1244">
      <c r="A1244" s="4" t="n">
        <v>33834</v>
      </c>
      <c r="B1244" s="4" t="inlineStr">
        <is>
          <t>clstdai-acu-oasy-p60-sn0400</t>
        </is>
      </c>
      <c r="C1244" s="4" t="inlineStr">
        <is>
          <t>W00031886A</t>
        </is>
      </c>
      <c r="D1244" s="6">
        <f>IF(F1244&gt;=5, F1244-5, IF(F1244&lt;5, 0, F1244))</f>
        <v/>
      </c>
      <c r="E1244">
        <f>VLOOKUP(B1244,[1]Namshi!$A:$B,2,0)</f>
        <v/>
      </c>
      <c r="F1244" s="4">
        <f>SUMIFS('Dubai Stock'!I:I,'Dubai Stock'!H:H,Final_UAE!B:B)</f>
        <v/>
      </c>
      <c r="H1244" s="8" t="e">
        <v>#N/A</v>
      </c>
      <c r="I1244" s="8" t="n"/>
    </row>
    <row r="1245">
      <c r="A1245" s="4" t="n">
        <v>33834</v>
      </c>
      <c r="B1245" s="4" t="inlineStr">
        <is>
          <t>cost3mo-lay-2022-p02-sage-gray-sn0375</t>
        </is>
      </c>
      <c r="C1245" s="4" t="inlineStr">
        <is>
          <t>W00031886A</t>
        </is>
      </c>
      <c r="D1245" s="6">
        <f>IF(F1245&gt;=5, F1245-5, IF(F1245&lt;5, 0, F1245))</f>
        <v/>
      </c>
      <c r="E1245">
        <f>VLOOKUP(B1245,[1]Namshi!$A:$B,2,0)</f>
        <v/>
      </c>
      <c r="F1245" s="4">
        <f>SUMIFS('Dubai Stock'!I:I,'Dubai Stock'!H:H,Final_UAE!B:B)</f>
        <v/>
      </c>
      <c r="H1245" s="8" t="e">
        <v>#N/A</v>
      </c>
      <c r="I1245" s="8" t="n"/>
    </row>
    <row r="1246">
      <c r="A1246" s="4" t="n">
        <v>33834</v>
      </c>
      <c r="B1246" s="4" t="inlineStr">
        <is>
          <t>cost3mo-lay-2022-p02-avena-brown-sn0175</t>
        </is>
      </c>
      <c r="C1246" s="4" t="inlineStr">
        <is>
          <t>W00031886A</t>
        </is>
      </c>
      <c r="D1246" s="6">
        <f>IF(F1246&gt;=5, F1246-5, IF(F1246&lt;5, 0, F1246))</f>
        <v/>
      </c>
      <c r="E1246">
        <f>VLOOKUP(B1246,[1]Namshi!$A:$B,2,0)</f>
        <v/>
      </c>
      <c r="F1246" s="4">
        <f>SUMIFS('Dubai Stock'!I:I,'Dubai Stock'!H:H,Final_UAE!B:B)</f>
        <v/>
      </c>
      <c r="H1246" s="8" t="e">
        <v>#N/A</v>
      </c>
      <c r="I1246" s="8" t="n"/>
    </row>
    <row r="1247">
      <c r="A1247" s="4" t="n">
        <v>33834</v>
      </c>
      <c r="B1247" s="4" t="inlineStr">
        <is>
          <t>clstdai-acu-dfrb-p60-sn0500</t>
        </is>
      </c>
      <c r="C1247" s="4" t="inlineStr">
        <is>
          <t>W00031886A</t>
        </is>
      </c>
      <c r="D1247" s="6">
        <f>IF(F1247&gt;=5, F1247-5, IF(F1247&lt;5, 0, F1247))</f>
        <v/>
      </c>
      <c r="E1247">
        <f>VLOOKUP(B1247,[1]Namshi!$A:$B,2,0)</f>
        <v/>
      </c>
      <c r="F1247" s="4">
        <f>SUMIFS('Dubai Stock'!I:I,'Dubai Stock'!H:H,Final_UAE!B:B)</f>
        <v/>
      </c>
      <c r="H1247" s="8" t="e">
        <v>#N/A</v>
      </c>
      <c r="I1247" s="8" t="n"/>
    </row>
    <row r="1248">
      <c r="A1248" s="4" t="n">
        <v>33834</v>
      </c>
      <c r="B1248" s="4" t="inlineStr">
        <is>
          <t>clstdai-acu-omax-p30-sp0500</t>
        </is>
      </c>
      <c r="C1248" s="4" t="inlineStr">
        <is>
          <t>W00031886A</t>
        </is>
      </c>
      <c r="D1248" s="6">
        <f>IF(F1248&gt;=5, F1248-5, IF(F1248&lt;5, 0, F1248))</f>
        <v/>
      </c>
      <c r="E1248">
        <f>VLOOKUP(B1248,[1]Namshi!$A:$B,2,0)</f>
        <v/>
      </c>
      <c r="F1248" s="4">
        <f>SUMIFS('Dubai Stock'!I:I,'Dubai Stock'!H:H,Final_UAE!B:B)</f>
        <v/>
      </c>
      <c r="H1248" s="8" t="e">
        <v>#N/A</v>
      </c>
      <c r="I1248" s="8" t="n"/>
    </row>
    <row r="1249">
      <c r="A1249" s="4" t="n">
        <v>33834</v>
      </c>
      <c r="B1249" s="4" t="inlineStr">
        <is>
          <t>clstdai-acu-mois-p30-sn0475</t>
        </is>
      </c>
      <c r="C1249" s="4" t="inlineStr">
        <is>
          <t>W00031886A</t>
        </is>
      </c>
      <c r="D1249" s="6">
        <f>IF(F1249&gt;=5, F1249-5, IF(F1249&lt;5, 0, F1249))</f>
        <v/>
      </c>
      <c r="E1249">
        <f>VLOOKUP(B1249,[1]Namshi!$A:$B,2,0)</f>
        <v/>
      </c>
      <c r="F1249" s="4">
        <f>SUMIFS('Dubai Stock'!I:I,'Dubai Stock'!H:H,Final_UAE!B:B)</f>
        <v/>
      </c>
      <c r="H1249" s="8" t="e">
        <v>#N/A</v>
      </c>
      <c r="I1249" s="8" t="n"/>
    </row>
    <row r="1250">
      <c r="A1250" s="4" t="n">
        <v>33834</v>
      </c>
      <c r="B1250" s="4" t="inlineStr">
        <is>
          <t>sc50904-bab-000503-0904-46</t>
        </is>
      </c>
      <c r="C1250" s="4" t="inlineStr">
        <is>
          <t>W00031886A</t>
        </is>
      </c>
      <c r="D1250" s="6">
        <f>IF(F1250&gt;=5, F1250-5, IF(F1250&lt;5, 0, F1250))</f>
        <v/>
      </c>
      <c r="E1250">
        <f>VLOOKUP(B1250,[1]Namshi!$A:$B,2,0)</f>
        <v/>
      </c>
      <c r="F1250" s="4">
        <f>SUMIFS('Dubai Stock'!I:I,'Dubai Stock'!H:H,Final_UAE!B:B)</f>
        <v/>
      </c>
      <c r="H1250" s="8" t="e">
        <v>#N/A</v>
      </c>
    </row>
    <row r="1251">
      <c r="A1251" s="4" t="n">
        <v>33834</v>
      </c>
      <c r="B1251" s="4" t="inlineStr">
        <is>
          <t>clstdai-acu-oasy-p60-sn0100</t>
        </is>
      </c>
      <c r="C1251" s="4" t="inlineStr">
        <is>
          <t>W00031886A</t>
        </is>
      </c>
      <c r="D1251" s="6">
        <f>IF(F1251&gt;=5, F1251-5, IF(F1251&lt;5, 0, F1251))</f>
        <v/>
      </c>
      <c r="E1251">
        <f>VLOOKUP(B1251,[1]Namshi!$A:$B,2,0)</f>
        <v/>
      </c>
      <c r="F1251" s="4">
        <f>SUMIFS('Dubai Stock'!I:I,'Dubai Stock'!H:H,Final_UAE!B:B)</f>
        <v/>
      </c>
      <c r="H1251" s="8" t="e">
        <v>#N/A</v>
      </c>
      <c r="I1251" s="8" t="n"/>
    </row>
    <row r="1252">
      <c r="A1252" s="4" t="n">
        <v>33834</v>
      </c>
      <c r="B1252" s="4" t="inlineStr">
        <is>
          <t>costdai-acu-dffr-p30-honey-sn0150</t>
        </is>
      </c>
      <c r="C1252" s="4" t="inlineStr">
        <is>
          <t>W00031886A</t>
        </is>
      </c>
      <c r="D1252" s="6">
        <f>IF(F1252&gt;=5, F1252-5, IF(F1252&lt;5, 0, F1252))</f>
        <v/>
      </c>
      <c r="E1252">
        <f>VLOOKUP(B1252,[1]Namshi!$A:$B,2,0)</f>
        <v/>
      </c>
      <c r="F1252" s="4">
        <f>SUMIFS('Dubai Stock'!I:I,'Dubai Stock'!H:H,Final_UAE!B:B)</f>
        <v/>
      </c>
      <c r="H1252" s="8" t="e">
        <v>#N/A</v>
      </c>
      <c r="I1252" s="8" t="n"/>
    </row>
    <row r="1253">
      <c r="A1253" s="4" t="n">
        <v>33834</v>
      </c>
      <c r="B1253" s="4" t="inlineStr">
        <is>
          <t>clstdai-acu-oasy-p90-sp0500</t>
        </is>
      </c>
      <c r="C1253" s="4" t="inlineStr">
        <is>
          <t>W00031886A</t>
        </is>
      </c>
      <c r="D1253" s="6">
        <f>IF(F1253&gt;=5, F1253-5, IF(F1253&lt;5, 0, F1253))</f>
        <v/>
      </c>
      <c r="E1253">
        <f>VLOOKUP(B1253,[1]Namshi!$A:$B,2,0)</f>
        <v/>
      </c>
      <c r="F1253" s="4">
        <f>SUMIFS('Dubai Stock'!I:I,'Dubai Stock'!H:H,Final_UAE!B:B)</f>
        <v/>
      </c>
      <c r="H1253" s="8" t="e">
        <v>#N/A</v>
      </c>
      <c r="I1253" s="8" t="n"/>
    </row>
    <row r="1254">
      <c r="A1254" s="4" t="n">
        <v>33834</v>
      </c>
      <c r="B1254" s="4" t="inlineStr">
        <is>
          <t>sc22002-bab-000514-2002d-43</t>
        </is>
      </c>
      <c r="C1254" s="4" t="inlineStr">
        <is>
          <t>W00031886A</t>
        </is>
      </c>
      <c r="D1254" s="6">
        <f>IF(F1254&gt;=5, F1254-5, IF(F1254&lt;5, 0, F1254))</f>
        <v/>
      </c>
      <c r="E1254">
        <f>VLOOKUP(B1254,[1]Namshi!$A:$B,2,0)</f>
        <v/>
      </c>
      <c r="F1254" s="4">
        <f>SUMIFS('Dubai Stock'!I:I,'Dubai Stock'!H:H,Final_UAE!B:B)</f>
        <v/>
      </c>
      <c r="H1254" s="8" t="e">
        <v>#N/A</v>
      </c>
    </row>
    <row r="1255">
      <c r="A1255" s="4" t="n">
        <v>33834</v>
      </c>
      <c r="B1255" s="4" t="inlineStr">
        <is>
          <t>sm50707-30s-000299-0707p-53</t>
        </is>
      </c>
      <c r="C1255" s="4" t="inlineStr">
        <is>
          <t>W00031886A</t>
        </is>
      </c>
      <c r="D1255" s="6">
        <f>IF(F1255&gt;=5, F1255-5, IF(F1255&lt;5, 0, F1255))</f>
        <v/>
      </c>
      <c r="E1255">
        <f>VLOOKUP(B1255,[1]Namshi!$A:$B,2,0)</f>
        <v/>
      </c>
      <c r="F1255" s="4">
        <f>SUMIFS('Dubai Stock'!I:I,'Dubai Stock'!H:H,Final_UAE!B:B)</f>
        <v/>
      </c>
      <c r="H1255" s="8" t="e">
        <v>#N/A</v>
      </c>
    </row>
    <row r="1256">
      <c r="A1256" s="4" t="n">
        <v>33834</v>
      </c>
      <c r="B1256" s="4" t="inlineStr">
        <is>
          <t>costmon-ama-2022-p02-dream-sn0500</t>
        </is>
      </c>
      <c r="C1256" s="4" t="inlineStr">
        <is>
          <t>W00031886A</t>
        </is>
      </c>
      <c r="D1256" s="6">
        <f>IF(F1256&gt;=5, F1256-5, IF(F1256&lt;5, 0, F1256))</f>
        <v/>
      </c>
      <c r="E1256">
        <f>VLOOKUP(B1256,[1]Namshi!$A:$B,2,0)</f>
        <v/>
      </c>
      <c r="F1256" s="4">
        <f>SUMIFS('Dubai Stock'!I:I,'Dubai Stock'!H:H,Final_UAE!B:B)</f>
        <v/>
      </c>
      <c r="H1256" s="8" t="e">
        <v>#N/A</v>
      </c>
      <c r="I1256" s="8" t="n"/>
    </row>
    <row r="1257">
      <c r="A1257" s="4" t="n">
        <v>33834</v>
      </c>
      <c r="B1257" s="4" t="inlineStr">
        <is>
          <t>bc50118-bab-00538-0118d-51</t>
        </is>
      </c>
      <c r="C1257" s="4" t="inlineStr">
        <is>
          <t>W00031886A</t>
        </is>
      </c>
      <c r="D1257" s="6">
        <f>IF(F1257&gt;=5, F1257-5, IF(F1257&lt;5, 0, F1257))</f>
        <v/>
      </c>
      <c r="E1257">
        <f>VLOOKUP(B1257,[1]Namshi!$A:$B,2,0)</f>
        <v/>
      </c>
      <c r="F1257" s="4">
        <f>SUMIFS('Dubai Stock'!I:I,'Dubai Stock'!H:H,Final_UAE!B:B)</f>
        <v/>
      </c>
      <c r="H1257" s="8" t="e">
        <v>#N/A</v>
      </c>
      <c r="I1257" s="8" t="n"/>
    </row>
    <row r="1258">
      <c r="A1258" s="4" t="n">
        <v>33834</v>
      </c>
      <c r="B1258" s="4" t="inlineStr">
        <is>
          <t>clstdai-acu-dfvi-p90-sn0225</t>
        </is>
      </c>
      <c r="C1258" s="4" t="inlineStr">
        <is>
          <t>W00031886A</t>
        </is>
      </c>
      <c r="D1258" s="6">
        <f>IF(F1258&gt;=5, F1258-5, IF(F1258&lt;5, 0, F1258))</f>
        <v/>
      </c>
      <c r="E1258">
        <f>VLOOKUP(B1258,[1]Namshi!$A:$B,2,0)</f>
        <v/>
      </c>
      <c r="F1258" s="4">
        <f>SUMIFS('Dubai Stock'!I:I,'Dubai Stock'!H:H,Final_UAE!B:B)</f>
        <v/>
      </c>
      <c r="H1258" s="8" t="e">
        <v>#N/A</v>
      </c>
      <c r="I1258" s="8" t="n"/>
    </row>
    <row r="1259">
      <c r="A1259" s="4" t="n">
        <v>33834</v>
      </c>
      <c r="B1259" s="4" t="inlineStr">
        <is>
          <t>su12906-30s-000230-2906-58</t>
        </is>
      </c>
      <c r="C1259" s="4" t="inlineStr">
        <is>
          <t>W00031886A</t>
        </is>
      </c>
      <c r="D1259" s="6">
        <f>IF(F1259&gt;=5, F1259-5, IF(F1259&lt;5, 0, F1259))</f>
        <v/>
      </c>
      <c r="E1259">
        <f>VLOOKUP(B1259,[1]Namshi!$A:$B,2,0)</f>
        <v/>
      </c>
      <c r="F1259" s="4">
        <f>SUMIFS('Dubai Stock'!I:I,'Dubai Stock'!H:H,Final_UAE!B:B)</f>
        <v/>
      </c>
      <c r="H1259" s="8" t="e">
        <v>#N/A</v>
      </c>
    </row>
    <row r="1260">
      <c r="A1260" s="4" t="n">
        <v>33834</v>
      </c>
      <c r="B1260" s="4" t="inlineStr">
        <is>
          <t>fm50218-spc-000557-0200-49</t>
        </is>
      </c>
      <c r="C1260" s="4" t="inlineStr">
        <is>
          <t>W00031886A</t>
        </is>
      </c>
      <c r="D1260" s="6">
        <f>IF(F1260&gt;=5, F1260-5, IF(F1260&lt;5, 0, F1260))</f>
        <v/>
      </c>
      <c r="E1260">
        <f>VLOOKUP(B1260,[1]Namshi!$A:$B,2,0)</f>
        <v/>
      </c>
      <c r="F1260" s="4">
        <f>SUMIFS('Dubai Stock'!I:I,'Dubai Stock'!H:H,Final_UAE!B:B)</f>
        <v/>
      </c>
      <c r="H1260" s="8" t="e">
        <v>#N/A</v>
      </c>
      <c r="I1260" s="8" t="n"/>
    </row>
    <row r="1261">
      <c r="A1261" s="4" t="n">
        <v>33834</v>
      </c>
      <c r="B1261" s="4" t="inlineStr">
        <is>
          <t>clstdai-dai-aqua-p30-sp0225</t>
        </is>
      </c>
      <c r="C1261" s="4" t="inlineStr">
        <is>
          <t>W00031886A</t>
        </is>
      </c>
      <c r="D1261" s="6">
        <f>IF(F1261&gt;=5, F1261-5, IF(F1261&lt;5, 0, F1261))</f>
        <v/>
      </c>
      <c r="E1261">
        <f>VLOOKUP(B1261,[1]Namshi!$A:$B,2,0)</f>
        <v/>
      </c>
      <c r="F1261" s="4">
        <f>SUMIFS('Dubai Stock'!I:I,'Dubai Stock'!H:H,Final_UAE!B:B)</f>
        <v/>
      </c>
      <c r="H1261" s="8" t="e">
        <v>#N/A</v>
      </c>
      <c r="I1261" s="8" t="n"/>
    </row>
    <row r="1262">
      <c r="A1262" s="4" t="n">
        <v>33834</v>
      </c>
      <c r="B1262" s="4" t="inlineStr">
        <is>
          <t>cost3mo-lay-2021-p02-willow-green-sn0275</t>
        </is>
      </c>
      <c r="C1262" s="4" t="inlineStr">
        <is>
          <t>W00031886A</t>
        </is>
      </c>
      <c r="D1262" s="6">
        <f>IF(F1262&gt;=5, F1262-5, IF(F1262&lt;5, 0, F1262))</f>
        <v/>
      </c>
      <c r="E1262">
        <f>VLOOKUP(B1262,[1]Namshi!$A:$B,2,0)</f>
        <v/>
      </c>
      <c r="F1262" s="4">
        <f>SUMIFS('Dubai Stock'!I:I,'Dubai Stock'!H:H,Final_UAE!B:B)</f>
        <v/>
      </c>
      <c r="H1262" s="8" t="e">
        <v>#N/A</v>
      </c>
      <c r="I1262" s="8" t="n"/>
    </row>
    <row r="1263">
      <c r="A1263" s="4" t="n">
        <v>33834</v>
      </c>
      <c r="B1263" s="4" t="inlineStr">
        <is>
          <t>costmon-ama-lens-p02-crocodile-green-sn0700</t>
        </is>
      </c>
      <c r="C1263" s="4" t="inlineStr">
        <is>
          <t>W00031886A</t>
        </is>
      </c>
      <c r="D1263" s="6">
        <f>IF(F1263&gt;=5, F1263-5, IF(F1263&lt;5, 0, F1263))</f>
        <v/>
      </c>
      <c r="E1263">
        <f>VLOOKUP(B1263,[1]Namshi!$A:$B,2,0)</f>
        <v/>
      </c>
      <c r="F1263" s="4">
        <f>SUMIFS('Dubai Stock'!I:I,'Dubai Stock'!H:H,Final_UAE!B:B)</f>
        <v/>
      </c>
      <c r="H1263" s="8" t="e">
        <v>#N/A</v>
      </c>
      <c r="I1263" s="8" t="n"/>
    </row>
    <row r="1264">
      <c r="A1264" s="4" t="n">
        <v>33834</v>
      </c>
      <c r="B1264" s="4" t="inlineStr">
        <is>
          <t>sm10101-30s-000202-0101-59</t>
        </is>
      </c>
      <c r="C1264" s="4" t="inlineStr">
        <is>
          <t>W00031886A</t>
        </is>
      </c>
      <c r="D1264" s="6">
        <f>IF(F1264&gt;=5, F1264-5, IF(F1264&lt;5, 0, F1264))</f>
        <v/>
      </c>
      <c r="E1264">
        <f>VLOOKUP(B1264,[1]Namshi!$A:$B,2,0)</f>
        <v/>
      </c>
      <c r="F1264" s="4">
        <f>SUMIFS('Dubai Stock'!I:I,'Dubai Stock'!H:H,Final_UAE!B:B)</f>
        <v/>
      </c>
      <c r="H1264" s="8" t="e">
        <v>#N/A</v>
      </c>
    </row>
    <row r="1265">
      <c r="A1265" s="4" t="n">
        <v>33834</v>
      </c>
      <c r="B1265" s="4" t="inlineStr">
        <is>
          <t>costdai-acu-dffr-p30-green-sn0175</t>
        </is>
      </c>
      <c r="C1265" s="4" t="inlineStr">
        <is>
          <t>W00031886A</t>
        </is>
      </c>
      <c r="D1265" s="6">
        <f>IF(F1265&gt;=5, F1265-5, IF(F1265&lt;5, 0, F1265))</f>
        <v/>
      </c>
      <c r="E1265">
        <f>VLOOKUP(B1265,[1]Namshi!$A:$B,2,0)</f>
        <v/>
      </c>
      <c r="F1265" s="4">
        <f>SUMIFS('Dubai Stock'!I:I,'Dubai Stock'!H:H,Final_UAE!B:B)</f>
        <v/>
      </c>
      <c r="H1265" s="8" t="e">
        <v>#N/A</v>
      </c>
      <c r="I1265" s="8" t="n"/>
    </row>
    <row r="1266">
      <c r="A1266" s="4" t="n">
        <v>33834</v>
      </c>
      <c r="B1266" s="4" t="inlineStr">
        <is>
          <t>costmon-ama-2024-p02-matcha-sn0050</t>
        </is>
      </c>
      <c r="C1266" s="4" t="inlineStr">
        <is>
          <t>W00031886A</t>
        </is>
      </c>
      <c r="D1266" s="6">
        <f>IF(F1266&gt;=5, F1266-5, IF(F1266&lt;5, 0, F1266))</f>
        <v/>
      </c>
      <c r="E1266">
        <f>VLOOKUP(B1266,[1]Namshi!$A:$B,2,0)</f>
        <v/>
      </c>
      <c r="F1266" s="4">
        <f>SUMIFS('Dubai Stock'!I:I,'Dubai Stock'!H:H,Final_UAE!B:B)</f>
        <v/>
      </c>
      <c r="H1266" s="8" t="e">
        <v>#N/A</v>
      </c>
      <c r="I1266" s="8" t="n"/>
    </row>
    <row r="1267">
      <c r="A1267" s="4" t="n">
        <v>33834</v>
      </c>
      <c r="B1267" s="4" t="inlineStr">
        <is>
          <t>su21306-30s-000232-1306-63</t>
        </is>
      </c>
      <c r="C1267" s="4" t="inlineStr">
        <is>
          <t>W00031886A</t>
        </is>
      </c>
      <c r="D1267" s="6">
        <f>IF(F1267&gt;=5, F1267-5, IF(F1267&lt;5, 0, F1267))</f>
        <v/>
      </c>
      <c r="E1267">
        <f>VLOOKUP(B1267,[1]Namshi!$A:$B,2,0)</f>
        <v/>
      </c>
      <c r="F1267" s="4">
        <f>SUMIFS('Dubai Stock'!I:I,'Dubai Stock'!H:H,Final_UAE!B:B)</f>
        <v/>
      </c>
      <c r="H1267" s="8" t="e">
        <v>#N/A</v>
      </c>
    </row>
    <row r="1268">
      <c r="A1268" s="4" t="n">
        <v>33834</v>
      </c>
      <c r="B1268" s="4" t="inlineStr">
        <is>
          <t>cost3mo-lay-lens-p02-platinum-gray-sn0325</t>
        </is>
      </c>
      <c r="C1268" s="4" t="inlineStr">
        <is>
          <t>W00031886A</t>
        </is>
      </c>
      <c r="D1268" s="6">
        <f>IF(F1268&gt;=5, F1268-5, IF(F1268&lt;5, 0, F1268))</f>
        <v/>
      </c>
      <c r="E1268">
        <f>VLOOKUP(B1268,[1]Namshi!$A:$B,2,0)</f>
        <v/>
      </c>
      <c r="F1268" s="4">
        <f>SUMIFS('Dubai Stock'!I:I,'Dubai Stock'!H:H,Final_UAE!B:B)</f>
        <v/>
      </c>
      <c r="H1268" s="8" t="e">
        <v>#N/A</v>
      </c>
      <c r="I1268" s="8" t="n"/>
    </row>
    <row r="1269">
      <c r="A1269" s="4" t="n">
        <v>33834</v>
      </c>
      <c r="B1269" s="4" t="inlineStr">
        <is>
          <t>costmon-ama-2022-p02-cocoa-sn0225</t>
        </is>
      </c>
      <c r="C1269" s="4" t="inlineStr">
        <is>
          <t>W00031886A</t>
        </is>
      </c>
      <c r="D1269" s="6">
        <f>IF(F1269&gt;=5, F1269-5, IF(F1269&lt;5, 0, F1269))</f>
        <v/>
      </c>
      <c r="E1269">
        <f>VLOOKUP(B1269,[1]Namshi!$A:$B,2,0)</f>
        <v/>
      </c>
      <c r="F1269" s="4">
        <f>SUMIFS('Dubai Stock'!I:I,'Dubai Stock'!H:H,Final_UAE!B:B)</f>
        <v/>
      </c>
      <c r="H1269" s="8" t="e">
        <v>#N/A</v>
      </c>
      <c r="I1269" s="8" t="n"/>
    </row>
    <row r="1270">
      <c r="A1270" s="4" t="n">
        <v>33834</v>
      </c>
      <c r="B1270" s="4" t="inlineStr">
        <is>
          <t>clstmon-eve-prom-p06-sn0800</t>
        </is>
      </c>
      <c r="C1270" s="4" t="inlineStr">
        <is>
          <t>W00031886A</t>
        </is>
      </c>
      <c r="D1270" s="6">
        <f>IF(F1270&gt;=5, F1270-5, IF(F1270&lt;5, 0, F1270))</f>
        <v/>
      </c>
      <c r="E1270">
        <f>VLOOKUP(B1270,[1]Namshi!$A:$B,2,0)</f>
        <v/>
      </c>
      <c r="F1270" s="4">
        <f>SUMIFS('Dubai Stock'!I:I,'Dubai Stock'!H:H,Final_UAE!B:B)</f>
        <v/>
      </c>
      <c r="H1270" s="8" t="n">
        <v>212</v>
      </c>
      <c r="I1270" s="8" t="n">
        <v>111.3</v>
      </c>
    </row>
    <row r="1271">
      <c r="A1271" s="4" t="n">
        <v>33834</v>
      </c>
      <c r="B1271" s="4" t="inlineStr">
        <is>
          <t>clstdai-acu-omax-p30-sn0450</t>
        </is>
      </c>
      <c r="C1271" s="4" t="inlineStr">
        <is>
          <t>W00031886A</t>
        </is>
      </c>
      <c r="D1271" s="6">
        <f>IF(F1271&gt;=5, F1271-5, IF(F1271&lt;5, 0, F1271))</f>
        <v/>
      </c>
      <c r="E1271">
        <f>VLOOKUP(B1271,[1]Namshi!$A:$B,2,0)</f>
        <v/>
      </c>
      <c r="F1271" s="4">
        <f>SUMIFS('Dubai Stock'!I:I,'Dubai Stock'!H:H,Final_UAE!B:B)</f>
        <v/>
      </c>
      <c r="H1271" s="8" t="e">
        <v>#N/A</v>
      </c>
      <c r="I1271" s="8" t="n"/>
    </row>
    <row r="1272">
      <c r="A1272" s="4" t="n">
        <v>33834</v>
      </c>
      <c r="B1272" s="4" t="inlineStr">
        <is>
          <t>cost3mo-lay-lens-p02-forest-green-sn0450</t>
        </is>
      </c>
      <c r="C1272" s="4" t="inlineStr">
        <is>
          <t>W00031886A</t>
        </is>
      </c>
      <c r="D1272" s="6">
        <f>IF(F1272&gt;=5, F1272-5, IF(F1272&lt;5, 0, F1272))</f>
        <v/>
      </c>
      <c r="E1272">
        <f>VLOOKUP(B1272,[1]Namshi!$A:$B,2,0)</f>
        <v/>
      </c>
      <c r="F1272" s="4">
        <f>SUMIFS('Dubai Stock'!I:I,'Dubai Stock'!H:H,Final_UAE!B:B)</f>
        <v/>
      </c>
      <c r="H1272" s="8" t="e">
        <v>#N/A</v>
      </c>
      <c r="I1272" s="8" t="n"/>
    </row>
    <row r="1273">
      <c r="A1273" s="4" t="n">
        <v>33834</v>
      </c>
      <c r="B1273" s="4" t="inlineStr">
        <is>
          <t>clstdai-btr-oned-p90-sn0375</t>
        </is>
      </c>
      <c r="C1273" s="4" t="inlineStr">
        <is>
          <t>W00031886A</t>
        </is>
      </c>
      <c r="D1273" s="6">
        <f>IF(F1273&gt;=5, F1273-5, IF(F1273&lt;5, 0, F1273))</f>
        <v/>
      </c>
      <c r="E1273">
        <f>VLOOKUP(B1273,[1]Namshi!$A:$B,2,0)</f>
        <v/>
      </c>
      <c r="F1273" s="4">
        <f>SUMIFS('Dubai Stock'!I:I,'Dubai Stock'!H:H,Final_UAE!B:B)</f>
        <v/>
      </c>
      <c r="H1273" s="8" t="e">
        <v>#N/A</v>
      </c>
      <c r="I1273" s="8" t="n"/>
    </row>
    <row r="1274">
      <c r="A1274" s="4" t="n">
        <v>33834</v>
      </c>
      <c r="B1274" s="4" t="inlineStr">
        <is>
          <t>clstdai-acu-mois-p60-sn1150</t>
        </is>
      </c>
      <c r="C1274" s="4" t="inlineStr">
        <is>
          <t>W00031886A</t>
        </is>
      </c>
      <c r="D1274" s="6">
        <f>IF(F1274&gt;=5, F1274-5, IF(F1274&lt;5, 0, F1274))</f>
        <v/>
      </c>
      <c r="E1274">
        <f>VLOOKUP(B1274,[1]Namshi!$A:$B,2,0)</f>
        <v/>
      </c>
      <c r="F1274" s="4">
        <f>SUMIFS('Dubai Stock'!I:I,'Dubai Stock'!H:H,Final_UAE!B:B)</f>
        <v/>
      </c>
      <c r="H1274" s="8" t="e">
        <v>#N/A</v>
      </c>
      <c r="I1274" s="8" t="n"/>
    </row>
    <row r="1275">
      <c r="A1275" s="4" t="n">
        <v>33834</v>
      </c>
      <c r="B1275" s="4" t="inlineStr">
        <is>
          <t>clstdai-sof-sdai-p90-sn0525</t>
        </is>
      </c>
      <c r="C1275" s="4" t="inlineStr">
        <is>
          <t>W00031886A</t>
        </is>
      </c>
      <c r="D1275" s="6">
        <f>IF(F1275&gt;=5, F1275-5, IF(F1275&lt;5, 0, F1275))</f>
        <v/>
      </c>
      <c r="E1275">
        <f>VLOOKUP(B1275,[1]Namshi!$A:$B,2,0)</f>
        <v/>
      </c>
      <c r="F1275" s="4">
        <f>SUMIFS('Dubai Stock'!I:I,'Dubai Stock'!H:H,Final_UAE!B:B)</f>
        <v/>
      </c>
      <c r="H1275" s="8" t="e">
        <v>#N/A</v>
      </c>
      <c r="I1275" s="8" t="n"/>
    </row>
    <row r="1276">
      <c r="A1276" s="4" t="n">
        <v>33834</v>
      </c>
      <c r="B1276" s="4" t="inlineStr">
        <is>
          <t>costmon-ama-lens-p02-crocodile-green-sn0275</t>
        </is>
      </c>
      <c r="C1276" s="4" t="inlineStr">
        <is>
          <t>W00031886A</t>
        </is>
      </c>
      <c r="D1276" s="6">
        <f>IF(F1276&gt;=5, F1276-5, IF(F1276&lt;5, 0, F1276))</f>
        <v/>
      </c>
      <c r="E1276">
        <f>VLOOKUP(B1276,[1]Namshi!$A:$B,2,0)</f>
        <v/>
      </c>
      <c r="F1276" s="4">
        <f>SUMIFS('Dubai Stock'!I:I,'Dubai Stock'!H:H,Final_UAE!B:B)</f>
        <v/>
      </c>
      <c r="H1276" s="8" t="e">
        <v>#N/A</v>
      </c>
      <c r="I1276" s="8" t="n"/>
    </row>
    <row r="1277">
      <c r="A1277" s="4" t="n">
        <v>33834</v>
      </c>
      <c r="B1277" s="4" t="inlineStr">
        <is>
          <t>clstdai-dai-tot1-p30-sn1200</t>
        </is>
      </c>
      <c r="C1277" s="4" t="inlineStr">
        <is>
          <t>W00031886A</t>
        </is>
      </c>
      <c r="D1277" s="6">
        <f>IF(F1277&gt;=5, F1277-5, IF(F1277&lt;5, 0, F1277))</f>
        <v/>
      </c>
      <c r="E1277">
        <f>VLOOKUP(B1277,[1]Namshi!$A:$B,2,0)</f>
        <v/>
      </c>
      <c r="F1277" s="4">
        <f>SUMIFS('Dubai Stock'!I:I,'Dubai Stock'!H:H,Final_UAE!B:B)</f>
        <v/>
      </c>
      <c r="H1277" s="8" t="e">
        <v>#N/A</v>
      </c>
      <c r="I1277" s="8" t="n"/>
    </row>
    <row r="1278">
      <c r="A1278" s="4" t="n">
        <v>33834</v>
      </c>
      <c r="B1278" s="4" t="inlineStr">
        <is>
          <t>costdai-ama-dail-p10-shadow-sn0250</t>
        </is>
      </c>
      <c r="C1278" s="4" t="inlineStr">
        <is>
          <t>W00031886A</t>
        </is>
      </c>
      <c r="D1278" s="6">
        <f>IF(F1278&gt;=5, F1278-5, IF(F1278&lt;5, 0, F1278))</f>
        <v/>
      </c>
      <c r="E1278">
        <f>VLOOKUP(B1278,[1]Namshi!$A:$B,2,0)</f>
        <v/>
      </c>
      <c r="F1278" s="4">
        <f>SUMIFS('Dubai Stock'!I:I,'Dubai Stock'!H:H,Final_UAE!B:B)</f>
        <v/>
      </c>
      <c r="H1278" s="8" t="e">
        <v>#N/A</v>
      </c>
      <c r="I1278" s="8" t="n"/>
    </row>
    <row r="1279">
      <c r="A1279" s="4" t="n">
        <v>33834</v>
      </c>
      <c r="B1279" s="4" t="inlineStr">
        <is>
          <t>cost3mo-lay-2021-p02-polar-gray-sn0225</t>
        </is>
      </c>
      <c r="C1279" s="4" t="inlineStr">
        <is>
          <t>W00031886A</t>
        </is>
      </c>
      <c r="D1279" s="6">
        <f>IF(F1279&gt;=5, F1279-5, IF(F1279&lt;5, 0, F1279))</f>
        <v/>
      </c>
      <c r="E1279">
        <f>VLOOKUP(B1279,[1]Namshi!$A:$B,2,0)</f>
        <v/>
      </c>
      <c r="F1279" s="4">
        <f>SUMIFS('Dubai Stock'!I:I,'Dubai Stock'!H:H,Final_UAE!B:B)</f>
        <v/>
      </c>
      <c r="H1279" s="8" t="e">
        <v>#N/A</v>
      </c>
      <c r="I1279" s="8" t="n"/>
    </row>
    <row r="1280">
      <c r="A1280" s="4" t="n">
        <v>33834</v>
      </c>
      <c r="B1280" s="4" t="inlineStr">
        <is>
          <t>costmon-ama-2024-p02-chocolate-sn0100</t>
        </is>
      </c>
      <c r="C1280" s="4" t="inlineStr">
        <is>
          <t>W00031886A</t>
        </is>
      </c>
      <c r="D1280" s="6">
        <f>IF(F1280&gt;=5, F1280-5, IF(F1280&lt;5, 0, F1280))</f>
        <v/>
      </c>
      <c r="E1280">
        <f>VLOOKUP(B1280,[1]Namshi!$A:$B,2,0)</f>
        <v/>
      </c>
      <c r="F1280" s="4">
        <f>SUMIFS('Dubai Stock'!I:I,'Dubai Stock'!H:H,Final_UAE!B:B)</f>
        <v/>
      </c>
      <c r="H1280" s="8" t="e">
        <v>#N/A</v>
      </c>
      <c r="I1280" s="8" t="n"/>
    </row>
    <row r="1281">
      <c r="A1281" s="4" t="n">
        <v>33834</v>
      </c>
      <c r="B1281" s="4" t="inlineStr">
        <is>
          <t>cost3mo-lay-2025-p02-desert-topaz-sn0175</t>
        </is>
      </c>
      <c r="C1281" s="4" t="inlineStr">
        <is>
          <t>W00031886A</t>
        </is>
      </c>
      <c r="D1281" s="6">
        <f>IF(F1281&gt;=5, F1281-5, IF(F1281&lt;5, 0, F1281))</f>
        <v/>
      </c>
      <c r="E1281">
        <f>VLOOKUP(B1281,[1]Namshi!$A:$B,2,0)</f>
        <v/>
      </c>
      <c r="F1281" s="4">
        <f>SUMIFS('Dubai Stock'!I:I,'Dubai Stock'!H:H,Final_UAE!B:B)</f>
        <v/>
      </c>
      <c r="H1281" s="8" t="e">
        <v>#N/A</v>
      </c>
      <c r="I1281" s="8" t="n"/>
    </row>
    <row r="1282">
      <c r="A1282" s="4" t="n">
        <v>33834</v>
      </c>
      <c r="B1282" s="4" t="inlineStr">
        <is>
          <t>sm50504-30s-000241-0504-52</t>
        </is>
      </c>
      <c r="C1282" s="4" t="inlineStr">
        <is>
          <t>W00031886A</t>
        </is>
      </c>
      <c r="D1282" s="6">
        <f>IF(F1282&gt;=5, F1282-5, IF(F1282&lt;5, 0, F1282))</f>
        <v/>
      </c>
      <c r="E1282">
        <f>VLOOKUP(B1282,[1]Namshi!$A:$B,2,0)</f>
        <v/>
      </c>
      <c r="F1282" s="4">
        <f>SUMIFS('Dubai Stock'!I:I,'Dubai Stock'!H:H,Final_UAE!B:B)</f>
        <v/>
      </c>
      <c r="H1282" s="8" t="e">
        <v>#N/A</v>
      </c>
    </row>
    <row r="1283">
      <c r="A1283" s="4" t="n">
        <v>33834</v>
      </c>
      <c r="B1283" s="4" t="inlineStr">
        <is>
          <t>cost3mo-lay-2021-p02-stardust-gray-sn0125</t>
        </is>
      </c>
      <c r="C1283" s="4" t="inlineStr">
        <is>
          <t>W00031886A</t>
        </is>
      </c>
      <c r="D1283" s="6">
        <f>IF(F1283&gt;=5, F1283-5, IF(F1283&lt;5, 0, F1283))</f>
        <v/>
      </c>
      <c r="E1283">
        <f>VLOOKUP(B1283,[1]Namshi!$A:$B,2,0)</f>
        <v/>
      </c>
      <c r="F1283" s="4">
        <f>SUMIFS('Dubai Stock'!I:I,'Dubai Stock'!H:H,Final_UAE!B:B)</f>
        <v/>
      </c>
      <c r="H1283" s="8" t="e">
        <v>#N/A</v>
      </c>
      <c r="I1283" s="8" t="n"/>
    </row>
    <row r="1284">
      <c r="A1284" s="4" t="n">
        <v>33834</v>
      </c>
      <c r="B1284" s="4" t="inlineStr">
        <is>
          <t>clstmon-sof-sl59-p06-sn0500</t>
        </is>
      </c>
      <c r="C1284" s="4" t="inlineStr">
        <is>
          <t>W00031886A</t>
        </is>
      </c>
      <c r="D1284" s="6">
        <f>IF(F1284&gt;=5, F1284-5, IF(F1284&lt;5, 0, F1284))</f>
        <v/>
      </c>
      <c r="E1284">
        <f>VLOOKUP(B1284,[1]Namshi!$A:$B,2,0)</f>
        <v/>
      </c>
      <c r="F1284" s="4">
        <f>SUMIFS('Dubai Stock'!I:I,'Dubai Stock'!H:H,Final_UAE!B:B)</f>
        <v/>
      </c>
      <c r="H1284" s="8" t="e">
        <v>#N/A</v>
      </c>
      <c r="I1284" s="8" t="n"/>
    </row>
    <row r="1285">
      <c r="A1285" s="4" t="n">
        <v>33834</v>
      </c>
      <c r="B1285" s="4" t="inlineStr">
        <is>
          <t>su41707-rov-8207-13-14-55</t>
        </is>
      </c>
      <c r="C1285" s="4" t="inlineStr">
        <is>
          <t>W00031886A</t>
        </is>
      </c>
      <c r="D1285" s="6">
        <f>IF(F1285&gt;=5, F1285-5, IF(F1285&lt;5, 0, F1285))</f>
        <v/>
      </c>
      <c r="E1285">
        <f>VLOOKUP(B1285,[1]Namshi!$A:$B,2,0)</f>
        <v/>
      </c>
      <c r="F1285" s="4">
        <f>SUMIFS('Dubai Stock'!I:I,'Dubai Stock'!H:H,Final_UAE!B:B)</f>
        <v/>
      </c>
      <c r="H1285" s="8" t="e">
        <v>#N/A</v>
      </c>
      <c r="I1285" s="8" t="n"/>
    </row>
    <row r="1286">
      <c r="A1286" s="4" t="n">
        <v>33834</v>
      </c>
      <c r="B1286" s="4" t="inlineStr">
        <is>
          <t>clstdai-eve-pure-p90-sp0400</t>
        </is>
      </c>
      <c r="C1286" s="4" t="inlineStr">
        <is>
          <t>W00031886A</t>
        </is>
      </c>
      <c r="D1286" s="6">
        <f>IF(F1286&gt;=5, F1286-5, IF(F1286&lt;5, 0, F1286))</f>
        <v/>
      </c>
      <c r="E1286">
        <f>VLOOKUP(B1286,[1]Namshi!$A:$B,2,0)</f>
        <v/>
      </c>
      <c r="F1286" s="4">
        <f>SUMIFS('Dubai Stock'!I:I,'Dubai Stock'!H:H,Final_UAE!B:B)</f>
        <v/>
      </c>
      <c r="H1286" s="8" t="n">
        <v>529</v>
      </c>
      <c r="I1286" s="8" t="n">
        <v>259</v>
      </c>
    </row>
    <row r="1287">
      <c r="A1287" s="4" t="n">
        <v>33834</v>
      </c>
      <c r="B1287" s="4" t="inlineStr">
        <is>
          <t>costdai-ama-dail-p10-amber-sn0525</t>
        </is>
      </c>
      <c r="C1287" s="4" t="inlineStr">
        <is>
          <t>W00031886A</t>
        </is>
      </c>
      <c r="D1287" s="6">
        <f>IF(F1287&gt;=5, F1287-5, IF(F1287&lt;5, 0, F1287))</f>
        <v/>
      </c>
      <c r="E1287">
        <f>VLOOKUP(B1287,[1]Namshi!$A:$B,2,0)</f>
        <v/>
      </c>
      <c r="F1287" s="4">
        <f>SUMIFS('Dubai Stock'!I:I,'Dubai Stock'!H:H,Final_UAE!B:B)</f>
        <v/>
      </c>
      <c r="H1287" s="8" t="e">
        <v>#N/A</v>
      </c>
      <c r="I1287" s="8" t="n"/>
    </row>
    <row r="1288">
      <c r="A1288" s="4" t="n">
        <v>33834</v>
      </c>
      <c r="B1288" s="4" t="inlineStr">
        <is>
          <t>fm50418-spc-000746-0418-51</t>
        </is>
      </c>
      <c r="C1288" s="4" t="inlineStr">
        <is>
          <t>W00031886A</t>
        </is>
      </c>
      <c r="D1288" s="6">
        <f>IF(F1288&gt;=5, F1288-5, IF(F1288&lt;5, 0, F1288))</f>
        <v/>
      </c>
      <c r="E1288">
        <f>VLOOKUP(B1288,[1]Namshi!$A:$B,2,0)</f>
        <v/>
      </c>
      <c r="F1288" s="4">
        <f>SUMIFS('Dubai Stock'!I:I,'Dubai Stock'!H:H,Final_UAE!B:B)</f>
        <v/>
      </c>
      <c r="H1288" s="8" t="e">
        <v>#N/A</v>
      </c>
      <c r="I1288" s="8" t="n"/>
    </row>
    <row r="1289">
      <c r="A1289" s="4" t="n">
        <v>33834</v>
      </c>
      <c r="B1289" s="4" t="inlineStr">
        <is>
          <t>cost3mo-lay-2022-p02-sage-gray-sn0350</t>
        </is>
      </c>
      <c r="C1289" s="4" t="inlineStr">
        <is>
          <t>W00031886A</t>
        </is>
      </c>
      <c r="D1289" s="6">
        <f>IF(F1289&gt;=5, F1289-5, IF(F1289&lt;5, 0, F1289))</f>
        <v/>
      </c>
      <c r="E1289">
        <f>VLOOKUP(B1289,[1]Namshi!$A:$B,2,0)</f>
        <v/>
      </c>
      <c r="F1289" s="4">
        <f>SUMIFS('Dubai Stock'!I:I,'Dubai Stock'!H:H,Final_UAE!B:B)</f>
        <v/>
      </c>
      <c r="H1289" s="8" t="e">
        <v>#N/A</v>
      </c>
      <c r="I1289" s="8" t="n"/>
    </row>
    <row r="1290">
      <c r="A1290" s="4" t="n">
        <v>33834</v>
      </c>
      <c r="B1290" s="4" t="inlineStr">
        <is>
          <t>fm40418-spc-000541-0400-53</t>
        </is>
      </c>
      <c r="C1290" s="4" t="inlineStr">
        <is>
          <t>W00031886A</t>
        </is>
      </c>
      <c r="D1290" s="6">
        <f>IF(F1290&gt;=5, F1290-5, IF(F1290&lt;5, 0, F1290))</f>
        <v/>
      </c>
      <c r="E1290">
        <f>VLOOKUP(B1290,[1]Namshi!$A:$B,2,0)</f>
        <v/>
      </c>
      <c r="F1290" s="4">
        <f>SUMIFS('Dubai Stock'!I:I,'Dubai Stock'!H:H,Final_UAE!B:B)</f>
        <v/>
      </c>
      <c r="H1290" s="8" t="e">
        <v>#N/A</v>
      </c>
      <c r="I1290" s="8" t="n"/>
    </row>
    <row r="1291">
      <c r="A1291" s="4" t="n">
        <v>33834</v>
      </c>
      <c r="B1291" s="4" t="inlineStr">
        <is>
          <t>sm70702-30s-000430-0702-55</t>
        </is>
      </c>
      <c r="C1291" s="4" t="inlineStr">
        <is>
          <t>W00031886A</t>
        </is>
      </c>
      <c r="D1291" s="6">
        <f>IF(F1291&gt;=5, F1291-5, IF(F1291&lt;5, 0, F1291))</f>
        <v/>
      </c>
      <c r="E1291">
        <f>VLOOKUP(B1291,[1]Namshi!$A:$B,2,0)</f>
        <v/>
      </c>
      <c r="F1291" s="4">
        <f>SUMIFS('Dubai Stock'!I:I,'Dubai Stock'!H:H,Final_UAE!B:B)</f>
        <v/>
      </c>
      <c r="H1291" s="8" t="e">
        <v>#N/A</v>
      </c>
      <c r="I1291" s="8" t="n"/>
    </row>
    <row r="1292">
      <c r="A1292" s="4" t="n">
        <v>33834</v>
      </c>
      <c r="B1292" s="4" t="inlineStr">
        <is>
          <t>sm50101-30s-000248-0101-53</t>
        </is>
      </c>
      <c r="C1292" s="4" t="inlineStr">
        <is>
          <t>W00031886A</t>
        </is>
      </c>
      <c r="D1292" s="6">
        <f>IF(F1292&gt;=5, F1292-5, IF(F1292&lt;5, 0, F1292))</f>
        <v/>
      </c>
      <c r="E1292">
        <f>VLOOKUP(B1292,[1]Namshi!$A:$B,2,0)</f>
        <v/>
      </c>
      <c r="F1292" s="4">
        <f>SUMIFS('Dubai Stock'!I:I,'Dubai Stock'!H:H,Final_UAE!B:B)</f>
        <v/>
      </c>
      <c r="H1292" s="8" t="e">
        <v>#N/A</v>
      </c>
    </row>
    <row r="1293">
      <c r="A1293" s="4" t="n">
        <v>33834</v>
      </c>
      <c r="B1293" s="4" t="inlineStr">
        <is>
          <t>su101707-bla-000355-1707-51</t>
        </is>
      </c>
      <c r="C1293" s="4" t="inlineStr">
        <is>
          <t>W00031886A</t>
        </is>
      </c>
      <c r="D1293" s="6">
        <f>IF(F1293&gt;=5, F1293-5, IF(F1293&lt;5, 0, F1293))</f>
        <v/>
      </c>
      <c r="E1293">
        <f>VLOOKUP(B1293,[1]Namshi!$A:$B,2,0)</f>
        <v/>
      </c>
      <c r="F1293" s="4">
        <f>SUMIFS('Dubai Stock'!I:I,'Dubai Stock'!H:H,Final_UAE!B:B)</f>
        <v/>
      </c>
      <c r="H1293" s="8" t="e">
        <v>#N/A</v>
      </c>
    </row>
    <row r="1294">
      <c r="A1294" s="4" t="n">
        <v>33834</v>
      </c>
      <c r="B1294" s="4" t="inlineStr">
        <is>
          <t>clstdai-acu-omax-p90-sp0375</t>
        </is>
      </c>
      <c r="C1294" s="4" t="inlineStr">
        <is>
          <t>W00031886A</t>
        </is>
      </c>
      <c r="D1294" s="6">
        <f>IF(F1294&gt;=5, F1294-5, IF(F1294&lt;5, 0, F1294))</f>
        <v/>
      </c>
      <c r="E1294">
        <f>VLOOKUP(B1294,[1]Namshi!$A:$B,2,0)</f>
        <v/>
      </c>
      <c r="F1294" s="4">
        <f>SUMIFS('Dubai Stock'!I:I,'Dubai Stock'!H:H,Final_UAE!B:B)</f>
        <v/>
      </c>
      <c r="H1294" s="8" t="e">
        <v>#N/A</v>
      </c>
      <c r="I1294" s="8" t="n"/>
    </row>
    <row r="1295">
      <c r="A1295" s="4" t="n">
        <v>33834</v>
      </c>
      <c r="B1295" s="4" t="inlineStr">
        <is>
          <t>clstmon-eve-prom-p06-sn0900</t>
        </is>
      </c>
      <c r="C1295" s="4" t="inlineStr">
        <is>
          <t>W00031886A</t>
        </is>
      </c>
      <c r="D1295" s="6">
        <f>IF(F1295&gt;=5, F1295-5, IF(F1295&lt;5, 0, F1295))</f>
        <v/>
      </c>
      <c r="E1295">
        <f>VLOOKUP(B1295,[1]Namshi!$A:$B,2,0)</f>
        <v/>
      </c>
      <c r="F1295" s="4">
        <f>SUMIFS('Dubai Stock'!I:I,'Dubai Stock'!H:H,Final_UAE!B:B)</f>
        <v/>
      </c>
      <c r="H1295" s="8" t="n">
        <v>212</v>
      </c>
      <c r="I1295" s="8" t="n">
        <v>111.3</v>
      </c>
    </row>
    <row r="1296">
      <c r="A1296" s="4" t="n">
        <v>33834</v>
      </c>
      <c r="B1296" s="4" t="inlineStr">
        <is>
          <t>bc50118-bab-000504-0118-51</t>
        </is>
      </c>
      <c r="C1296" s="4" t="inlineStr">
        <is>
          <t>W00031886A</t>
        </is>
      </c>
      <c r="D1296" s="6">
        <f>IF(F1296&gt;=5, F1296-5, IF(F1296&lt;5, 0, F1296))</f>
        <v/>
      </c>
      <c r="E1296">
        <f>VLOOKUP(B1296,[1]Namshi!$A:$B,2,0)</f>
        <v/>
      </c>
      <c r="F1296" s="4">
        <f>SUMIFS('Dubai Stock'!I:I,'Dubai Stock'!H:H,Final_UAE!B:B)</f>
        <v/>
      </c>
      <c r="H1296" s="8" t="e">
        <v>#N/A</v>
      </c>
    </row>
    <row r="1297">
      <c r="A1297" s="4" t="n">
        <v>33834</v>
      </c>
      <c r="B1297" s="4" t="inlineStr">
        <is>
          <t>costdai-acu-dffr-p10-grayzel-sn0125</t>
        </is>
      </c>
      <c r="C1297" s="4" t="inlineStr">
        <is>
          <t>W00031886A</t>
        </is>
      </c>
      <c r="D1297" s="6">
        <f>IF(F1297&gt;=5, F1297-5, IF(F1297&lt;5, 0, F1297))</f>
        <v/>
      </c>
      <c r="E1297">
        <f>VLOOKUP(B1297,[1]Namshi!$A:$B,2,0)</f>
        <v/>
      </c>
      <c r="F1297" s="4">
        <f>SUMIFS('Dubai Stock'!I:I,'Dubai Stock'!H:H,Final_UAE!B:B)</f>
        <v/>
      </c>
      <c r="H1297" s="8" t="e">
        <v>#N/A</v>
      </c>
      <c r="I1297" s="8" t="n"/>
    </row>
    <row r="1298">
      <c r="A1298" s="4" t="n">
        <v>33834</v>
      </c>
      <c r="B1298" s="4" t="inlineStr">
        <is>
          <t>sw72904-bla-000247-2904-59</t>
        </is>
      </c>
      <c r="C1298" s="4" t="inlineStr">
        <is>
          <t>W00031886A</t>
        </is>
      </c>
      <c r="D1298" s="6">
        <f>IF(F1298&gt;=5, F1298-5, IF(F1298&lt;5, 0, F1298))</f>
        <v/>
      </c>
      <c r="E1298">
        <f>VLOOKUP(B1298,[1]Namshi!$A:$B,2,0)</f>
        <v/>
      </c>
      <c r="F1298" s="4">
        <f>SUMIFS('Dubai Stock'!I:I,'Dubai Stock'!H:H,Final_UAE!B:B)</f>
        <v/>
      </c>
      <c r="H1298" s="8" t="e">
        <v>#N/A</v>
      </c>
    </row>
    <row r="1299">
      <c r="A1299" s="4" t="n">
        <v>33834</v>
      </c>
      <c r="B1299" s="4" t="inlineStr">
        <is>
          <t>cost3mo-lay-lens-p02-chestnut-brown-sn0400</t>
        </is>
      </c>
      <c r="C1299" s="4" t="inlineStr">
        <is>
          <t>W00031886A</t>
        </is>
      </c>
      <c r="D1299" s="6">
        <f>IF(F1299&gt;=5, F1299-5, IF(F1299&lt;5, 0, F1299))</f>
        <v/>
      </c>
      <c r="E1299">
        <f>VLOOKUP(B1299,[1]Namshi!$A:$B,2,0)</f>
        <v/>
      </c>
      <c r="F1299" s="4">
        <f>SUMIFS('Dubai Stock'!I:I,'Dubai Stock'!H:H,Final_UAE!B:B)</f>
        <v/>
      </c>
      <c r="H1299" s="8" t="e">
        <v>#N/A</v>
      </c>
      <c r="I1299" s="8" t="n"/>
    </row>
    <row r="1300">
      <c r="A1300" s="4" t="n">
        <v>33834</v>
      </c>
      <c r="B1300" s="4" t="inlineStr">
        <is>
          <t>clstmon-ava-avai-p06-sp0300</t>
        </is>
      </c>
      <c r="C1300" s="4" t="inlineStr">
        <is>
          <t>W00031886A</t>
        </is>
      </c>
      <c r="D1300" s="6">
        <f>IF(F1300&gt;=5, F1300-5, IF(F1300&lt;5, 0, F1300))</f>
        <v/>
      </c>
      <c r="E1300">
        <f>VLOOKUP(B1300,[1]Namshi!$A:$B,2,0)</f>
        <v/>
      </c>
      <c r="F1300" s="4">
        <f>SUMIFS('Dubai Stock'!I:I,'Dubai Stock'!H:H,Final_UAE!B:B)</f>
        <v/>
      </c>
      <c r="H1300" s="8" t="e">
        <v>#N/A</v>
      </c>
      <c r="I1300" s="8" t="n"/>
    </row>
    <row r="1301">
      <c r="A1301" s="4" t="n">
        <v>33834</v>
      </c>
      <c r="B1301" s="4" t="inlineStr">
        <is>
          <t>sm22706-30s-000207-2706-53</t>
        </is>
      </c>
      <c r="C1301" s="4" t="inlineStr">
        <is>
          <t>W00031886A</t>
        </is>
      </c>
      <c r="D1301" s="6">
        <f>IF(F1301&gt;=5, F1301-5, IF(F1301&lt;5, 0, F1301))</f>
        <v/>
      </c>
      <c r="E1301">
        <f>VLOOKUP(B1301,[1]Namshi!$A:$B,2,0)</f>
        <v/>
      </c>
      <c r="F1301" s="4">
        <f>SUMIFS('Dubai Stock'!I:I,'Dubai Stock'!H:H,Final_UAE!B:B)</f>
        <v/>
      </c>
      <c r="H1301" s="8" t="e">
        <v>#N/A</v>
      </c>
    </row>
    <row r="1302">
      <c r="A1302" s="4" t="n">
        <v>33834</v>
      </c>
      <c r="B1302" s="4" t="inlineStr">
        <is>
          <t>sw102907-bla-000325-2907-56</t>
        </is>
      </c>
      <c r="C1302" s="4" t="inlineStr">
        <is>
          <t>W00031886A</t>
        </is>
      </c>
      <c r="D1302" s="6">
        <f>IF(F1302&gt;=5, F1302-5, IF(F1302&lt;5, 0, F1302))</f>
        <v/>
      </c>
      <c r="E1302">
        <f>VLOOKUP(B1302,[1]Namshi!$A:$B,2,0)</f>
        <v/>
      </c>
      <c r="F1302" s="4">
        <f>SUMIFS('Dubai Stock'!I:I,'Dubai Stock'!H:H,Final_UAE!B:B)</f>
        <v/>
      </c>
      <c r="H1302" s="8" t="e">
        <v>#N/A</v>
      </c>
    </row>
    <row r="1303">
      <c r="A1303" s="4" t="n">
        <v>33834</v>
      </c>
      <c r="B1303" s="4" t="inlineStr">
        <is>
          <t>clstbiw-acu-oasy-p18-sn0275</t>
        </is>
      </c>
      <c r="C1303" s="4" t="inlineStr">
        <is>
          <t>W00031886A</t>
        </is>
      </c>
      <c r="D1303" s="6">
        <f>IF(F1303&gt;=5, F1303-5, IF(F1303&lt;5, 0, F1303))</f>
        <v/>
      </c>
      <c r="E1303">
        <f>VLOOKUP(B1303,[1]Namshi!$A:$B,2,0)</f>
        <v/>
      </c>
      <c r="F1303" s="4">
        <f>SUMIFS('Dubai Stock'!I:I,'Dubai Stock'!H:H,Final_UAE!B:B)</f>
        <v/>
      </c>
      <c r="H1303" s="8" t="e">
        <v>#N/A</v>
      </c>
      <c r="I1303" s="8" t="n"/>
    </row>
    <row r="1304">
      <c r="A1304" s="4" t="n">
        <v>33834</v>
      </c>
      <c r="B1304" s="4" t="inlineStr">
        <is>
          <t>cltobiw-acu-oasy-p06-sn0600-cn0075-a100</t>
        </is>
      </c>
      <c r="C1304" s="4" t="inlineStr">
        <is>
          <t>W00031886A</t>
        </is>
      </c>
      <c r="D1304" s="6">
        <f>IF(F1304&gt;=5, F1304-5, IF(F1304&lt;5, 0, F1304))</f>
        <v/>
      </c>
      <c r="E1304">
        <f>VLOOKUP(B1304,[1]Namshi!$A:$B,2,0)</f>
        <v/>
      </c>
      <c r="F1304" s="4">
        <f>SUMIFS('Dubai Stock'!I:I,'Dubai Stock'!H:H,Final_UAE!B:B)</f>
        <v/>
      </c>
      <c r="H1304" s="8" t="e">
        <v>#N/A</v>
      </c>
      <c r="I1304" s="8" t="n"/>
    </row>
    <row r="1305">
      <c r="A1305" s="4" t="n">
        <v>33834</v>
      </c>
      <c r="B1305" s="4" t="inlineStr">
        <is>
          <t>su11201-bla-000239-1201-59</t>
        </is>
      </c>
      <c r="C1305" s="4" t="inlineStr">
        <is>
          <t>W00031886A</t>
        </is>
      </c>
      <c r="D1305" s="6">
        <f>IF(F1305&gt;=5, F1305-5, IF(F1305&lt;5, 0, F1305))</f>
        <v/>
      </c>
      <c r="E1305">
        <f>VLOOKUP(B1305,[1]Namshi!$A:$B,2,0)</f>
        <v/>
      </c>
      <c r="F1305" s="4">
        <f>SUMIFS('Dubai Stock'!I:I,'Dubai Stock'!H:H,Final_UAE!B:B)</f>
        <v/>
      </c>
      <c r="H1305" s="8" t="e">
        <v>#N/A</v>
      </c>
    </row>
    <row r="1306">
      <c r="A1306" s="4" t="n">
        <v>33834</v>
      </c>
      <c r="B1306" s="4" t="inlineStr">
        <is>
          <t>sw20106-bla-000217-2906-57</t>
        </is>
      </c>
      <c r="C1306" s="4" t="inlineStr">
        <is>
          <t>W00031886A</t>
        </is>
      </c>
      <c r="D1306" s="6">
        <f>IF(F1306&gt;=5, F1306-5, IF(F1306&lt;5, 0, F1306))</f>
        <v/>
      </c>
      <c r="E1306">
        <f>VLOOKUP(B1306,[1]Namshi!$A:$B,2,0)</f>
        <v/>
      </c>
      <c r="F1306" s="4">
        <f>SUMIFS('Dubai Stock'!I:I,'Dubai Stock'!H:H,Final_UAE!B:B)</f>
        <v/>
      </c>
      <c r="H1306" s="8" t="e">
        <v>#N/A</v>
      </c>
    </row>
    <row r="1307">
      <c r="A1307" s="4" t="n">
        <v>33834</v>
      </c>
      <c r="B1307" s="4" t="inlineStr">
        <is>
          <t>sacchan-30s-chain105-gpl-gold</t>
        </is>
      </c>
      <c r="C1307" s="4" t="inlineStr">
        <is>
          <t>W00031886A</t>
        </is>
      </c>
      <c r="D1307" s="6">
        <f>IF(F1307&gt;=5, F1307-5, IF(F1307&lt;5, 0, F1307))</f>
        <v/>
      </c>
      <c r="E1307">
        <f>VLOOKUP(B1307,[1]Namshi!$A:$B,2,0)</f>
        <v/>
      </c>
      <c r="F1307" s="4">
        <f>SUMIFS('Dubai Stock'!I:I,'Dubai Stock'!H:H,Final_UAE!B:B)</f>
        <v/>
      </c>
      <c r="H1307" s="8" t="e">
        <v>#N/A</v>
      </c>
      <c r="I1307" s="8" t="n"/>
    </row>
    <row r="1308">
      <c r="A1308" s="4" t="n">
        <v>33834</v>
      </c>
      <c r="B1308" s="4" t="inlineStr">
        <is>
          <t>sc50207-bab-000503-2807-46</t>
        </is>
      </c>
      <c r="C1308" s="4" t="inlineStr">
        <is>
          <t>W00031886A</t>
        </is>
      </c>
      <c r="D1308" s="6">
        <f>IF(F1308&gt;=5, F1308-5, IF(F1308&lt;5, 0, F1308))</f>
        <v/>
      </c>
      <c r="E1308">
        <f>VLOOKUP(B1308,[1]Namshi!$A:$B,2,0)</f>
        <v/>
      </c>
      <c r="F1308" s="4">
        <f>SUMIFS('Dubai Stock'!I:I,'Dubai Stock'!H:H,Final_UAE!B:B)</f>
        <v/>
      </c>
      <c r="H1308" s="8" t="e">
        <v>#N/A</v>
      </c>
    </row>
    <row r="1309">
      <c r="A1309" s="4" t="n">
        <v>33834</v>
      </c>
      <c r="B1309" s="4" t="inlineStr">
        <is>
          <t>clstdai-lay-cont-p10-dazzle-brown-sn1000</t>
        </is>
      </c>
      <c r="C1309" s="4" t="inlineStr">
        <is>
          <t>W00031886A</t>
        </is>
      </c>
      <c r="D1309" s="6">
        <f>IF(F1309&gt;=5, F1309-5, IF(F1309&lt;5, 0, F1309))</f>
        <v/>
      </c>
      <c r="E1309">
        <f>VLOOKUP(B1309,[1]Namshi!$A:$B,2,0)</f>
        <v/>
      </c>
      <c r="F1309" s="4">
        <f>SUMIFS('Dubai Stock'!I:I,'Dubai Stock'!H:H,Final_UAE!B:B)</f>
        <v/>
      </c>
      <c r="H1309" s="8" t="e">
        <v>#N/A</v>
      </c>
      <c r="I1309" s="8" t="n"/>
    </row>
    <row r="1310">
      <c r="A1310" s="4" t="n">
        <v>33834</v>
      </c>
      <c r="B1310" s="4" t="inlineStr">
        <is>
          <t>saccase-30s-case104-brn-bge-caramel-brown</t>
        </is>
      </c>
      <c r="C1310" s="4" t="inlineStr">
        <is>
          <t>W00031886A</t>
        </is>
      </c>
      <c r="D1310" s="6">
        <f>IF(F1310&gt;=5, F1310-5, IF(F1310&lt;5, 0, F1310))</f>
        <v/>
      </c>
      <c r="E1310">
        <f>VLOOKUP(B1310,[1]Namshi!$A:$B,2,0)</f>
        <v/>
      </c>
      <c r="F1310" s="4">
        <f>SUMIFS('Dubai Stock'!I:I,'Dubai Stock'!H:H,Final_UAE!B:B)</f>
        <v/>
      </c>
      <c r="H1310" s="8" t="e">
        <v>#N/A</v>
      </c>
      <c r="I1310" s="8" t="n"/>
    </row>
    <row r="1311">
      <c r="A1311" s="4" t="n">
        <v>33834</v>
      </c>
      <c r="B1311" s="4" t="inlineStr">
        <is>
          <t>sm50106-30s-000234-0106-48</t>
        </is>
      </c>
      <c r="C1311" s="4" t="inlineStr">
        <is>
          <t>W00031886A</t>
        </is>
      </c>
      <c r="D1311" s="6">
        <f>IF(F1311&gt;=5, F1311-5, IF(F1311&lt;5, 0, F1311))</f>
        <v/>
      </c>
      <c r="E1311">
        <f>VLOOKUP(B1311,[1]Namshi!$A:$B,2,0)</f>
        <v/>
      </c>
      <c r="F1311" s="4">
        <f>SUMIFS('Dubai Stock'!I:I,'Dubai Stock'!H:H,Final_UAE!B:B)</f>
        <v/>
      </c>
      <c r="H1311" s="8" t="e">
        <v>#N/A</v>
      </c>
    </row>
    <row r="1312">
      <c r="A1312" s="4" t="n">
        <v>33834</v>
      </c>
      <c r="B1312" s="4" t="inlineStr">
        <is>
          <t>su100702-30s-000305-0702-50</t>
        </is>
      </c>
      <c r="C1312" s="4" t="inlineStr">
        <is>
          <t>W00031886A</t>
        </is>
      </c>
      <c r="D1312" s="6">
        <f>IF(F1312&gt;=5, F1312-5, IF(F1312&lt;5, 0, F1312))</f>
        <v/>
      </c>
      <c r="E1312">
        <f>VLOOKUP(B1312,[1]Namshi!$A:$B,2,0)</f>
        <v/>
      </c>
      <c r="F1312" s="4">
        <f>SUMIFS('Dubai Stock'!I:I,'Dubai Stock'!H:H,Final_UAE!B:B)</f>
        <v/>
      </c>
      <c r="H1312" s="8" t="e">
        <v>#N/A</v>
      </c>
    </row>
    <row r="1313">
      <c r="A1313" s="4" t="n">
        <v>33834</v>
      </c>
      <c r="B1313" s="4" t="inlineStr">
        <is>
          <t>clstdai-acu-dfvi-p30-sn0650</t>
        </is>
      </c>
      <c r="C1313" s="4" t="inlineStr">
        <is>
          <t>W00031886A</t>
        </is>
      </c>
      <c r="D1313" s="6">
        <f>IF(F1313&gt;=5, F1313-5, IF(F1313&lt;5, 0, F1313))</f>
        <v/>
      </c>
      <c r="E1313">
        <f>VLOOKUP(B1313,[1]Namshi!$A:$B,2,0)</f>
        <v/>
      </c>
      <c r="F1313" s="4">
        <f>SUMIFS('Dubai Stock'!I:I,'Dubai Stock'!H:H,Final_UAE!B:B)</f>
        <v/>
      </c>
      <c r="H1313" s="8" t="e">
        <v>#N/A</v>
      </c>
      <c r="I1313" s="8" t="n"/>
    </row>
    <row r="1314">
      <c r="A1314" s="4" t="n">
        <v>33834</v>
      </c>
      <c r="B1314" s="4" t="inlineStr">
        <is>
          <t>clstdai-lay-cont-p10-dazzle-black-sn0575</t>
        </is>
      </c>
      <c r="C1314" s="4" t="inlineStr">
        <is>
          <t>W00031886A</t>
        </is>
      </c>
      <c r="D1314" s="6">
        <f>IF(F1314&gt;=5, F1314-5, IF(F1314&lt;5, 0, F1314))</f>
        <v/>
      </c>
      <c r="E1314">
        <f>VLOOKUP(B1314,[1]Namshi!$A:$B,2,0)</f>
        <v/>
      </c>
      <c r="F1314" s="4">
        <f>SUMIFS('Dubai Stock'!I:I,'Dubai Stock'!H:H,Final_UAE!B:B)</f>
        <v/>
      </c>
      <c r="H1314" s="8" t="e">
        <v>#N/A</v>
      </c>
      <c r="I1314" s="8" t="n"/>
    </row>
    <row r="1315">
      <c r="A1315" s="4" t="n">
        <v>33834</v>
      </c>
      <c r="B1315" s="4" t="inlineStr">
        <is>
          <t>cost3mo-lay-2023-p02-sable-brown-sn0450</t>
        </is>
      </c>
      <c r="C1315" s="4" t="inlineStr">
        <is>
          <t>W00031886A</t>
        </is>
      </c>
      <c r="D1315" s="6">
        <f>IF(F1315&gt;=5, F1315-5, IF(F1315&lt;5, 0, F1315))</f>
        <v/>
      </c>
      <c r="E1315">
        <f>VLOOKUP(B1315,[1]Namshi!$A:$B,2,0)</f>
        <v/>
      </c>
      <c r="F1315" s="4">
        <f>SUMIFS('Dubai Stock'!I:I,'Dubai Stock'!H:H,Final_UAE!B:B)</f>
        <v/>
      </c>
      <c r="H1315" s="8" t="e">
        <v>#N/A</v>
      </c>
      <c r="I1315" s="8" t="n"/>
    </row>
    <row r="1316">
      <c r="A1316" s="4" t="n">
        <v>33834</v>
      </c>
      <c r="B1316" s="4" t="inlineStr">
        <is>
          <t>sc21306-bab-000502-1306-50</t>
        </is>
      </c>
      <c r="C1316" s="4" t="inlineStr">
        <is>
          <t>W00031886A</t>
        </is>
      </c>
      <c r="D1316" s="6">
        <f>IF(F1316&gt;=5, F1316-5, IF(F1316&lt;5, 0, F1316))</f>
        <v/>
      </c>
      <c r="E1316">
        <f>VLOOKUP(B1316,[1]Namshi!$A:$B,2,0)</f>
        <v/>
      </c>
      <c r="F1316" s="4">
        <f>SUMIFS('Dubai Stock'!I:I,'Dubai Stock'!H:H,Final_UAE!B:B)</f>
        <v/>
      </c>
      <c r="H1316" s="8" t="e">
        <v>#N/A</v>
      </c>
    </row>
    <row r="1317">
      <c r="A1317" s="4" t="n">
        <v>33834</v>
      </c>
      <c r="B1317" s="4" t="inlineStr">
        <is>
          <t>sc50904-bab-000526-0904-43</t>
        </is>
      </c>
      <c r="C1317" s="4" t="inlineStr">
        <is>
          <t>W00031886A</t>
        </is>
      </c>
      <c r="D1317" s="6">
        <f>IF(F1317&gt;=5, F1317-5, IF(F1317&lt;5, 0, F1317))</f>
        <v/>
      </c>
      <c r="E1317">
        <f>VLOOKUP(B1317,[1]Namshi!$A:$B,2,0)</f>
        <v/>
      </c>
      <c r="F1317" s="4">
        <f>SUMIFS('Dubai Stock'!I:I,'Dubai Stock'!H:H,Final_UAE!B:B)</f>
        <v/>
      </c>
      <c r="H1317" s="8" t="e">
        <v>#N/A</v>
      </c>
    </row>
    <row r="1318">
      <c r="A1318" s="4" t="n">
        <v>33834</v>
      </c>
      <c r="B1318" s="4" t="inlineStr">
        <is>
          <t>su51306-30s-000125-1306-48</t>
        </is>
      </c>
      <c r="C1318" s="4" t="inlineStr">
        <is>
          <t>W00031886A</t>
        </is>
      </c>
      <c r="D1318" s="6">
        <f>IF(F1318&gt;=5, F1318-5, IF(F1318&lt;5, 0, F1318))</f>
        <v/>
      </c>
      <c r="E1318">
        <f>VLOOKUP(B1318,[1]Namshi!$A:$B,2,0)</f>
        <v/>
      </c>
      <c r="F1318" s="4">
        <f>SUMIFS('Dubai Stock'!I:I,'Dubai Stock'!H:H,Final_UAE!B:B)</f>
        <v/>
      </c>
      <c r="H1318" s="8" t="e">
        <v>#N/A</v>
      </c>
    </row>
    <row r="1319">
      <c r="A1319" s="4" t="n">
        <v>33834</v>
      </c>
      <c r="B1319" s="4" t="inlineStr">
        <is>
          <t>cost3mo-lay-lens-p02-crystal-brown-sn0150</t>
        </is>
      </c>
      <c r="C1319" s="4" t="inlineStr">
        <is>
          <t>W00031886A</t>
        </is>
      </c>
      <c r="D1319" s="6">
        <f>IF(F1319&gt;=5, F1319-5, IF(F1319&lt;5, 0, F1319))</f>
        <v/>
      </c>
      <c r="E1319">
        <f>VLOOKUP(B1319,[1]Namshi!$A:$B,2,0)</f>
        <v/>
      </c>
      <c r="F1319" s="4">
        <f>SUMIFS('Dubai Stock'!I:I,'Dubai Stock'!H:H,Final_UAE!B:B)</f>
        <v/>
      </c>
      <c r="H1319" s="8" t="e">
        <v>#N/A</v>
      </c>
      <c r="I1319" s="8" t="n"/>
    </row>
    <row r="1320">
      <c r="A1320" s="4" t="n">
        <v>33834</v>
      </c>
      <c r="B1320" s="4" t="inlineStr">
        <is>
          <t>clstbiw-acu-oasy-p06-sn0400</t>
        </is>
      </c>
      <c r="C1320" s="4" t="inlineStr">
        <is>
          <t>W00031886A</t>
        </is>
      </c>
      <c r="D1320" s="6">
        <f>IF(F1320&gt;=5, F1320-5, IF(F1320&lt;5, 0, F1320))</f>
        <v/>
      </c>
      <c r="E1320">
        <f>VLOOKUP(B1320,[1]Namshi!$A:$B,2,0)</f>
        <v/>
      </c>
      <c r="F1320" s="4">
        <f>SUMIFS('Dubai Stock'!I:I,'Dubai Stock'!H:H,Final_UAE!B:B)</f>
        <v/>
      </c>
      <c r="H1320" s="8" t="e">
        <v>#N/A</v>
      </c>
      <c r="I1320" s="8" t="n"/>
    </row>
    <row r="1321">
      <c r="A1321" s="4" t="n">
        <v>33834</v>
      </c>
      <c r="B1321" s="4" t="inlineStr">
        <is>
          <t>clstdai-dai-tot1-p30-sp0100</t>
        </is>
      </c>
      <c r="C1321" s="4" t="inlineStr">
        <is>
          <t>W00031886A</t>
        </is>
      </c>
      <c r="D1321" s="6">
        <f>IF(F1321&gt;=5, F1321-5, IF(F1321&lt;5, 0, F1321))</f>
        <v/>
      </c>
      <c r="E1321">
        <f>VLOOKUP(B1321,[1]Namshi!$A:$B,2,0)</f>
        <v/>
      </c>
      <c r="F1321" s="4">
        <f>SUMIFS('Dubai Stock'!I:I,'Dubai Stock'!H:H,Final_UAE!B:B)</f>
        <v/>
      </c>
      <c r="H1321" s="8" t="e">
        <v>#N/A</v>
      </c>
      <c r="I1321" s="8" t="n"/>
    </row>
    <row r="1322">
      <c r="A1322" s="4" t="n">
        <v>33834</v>
      </c>
      <c r="B1322" s="4" t="inlineStr">
        <is>
          <t>clstmon-eve-prom-p06-sn0075</t>
        </is>
      </c>
      <c r="C1322" s="4" t="inlineStr">
        <is>
          <t>W00031886A</t>
        </is>
      </c>
      <c r="D1322" s="6">
        <f>IF(F1322&gt;=5, F1322-5, IF(F1322&lt;5, 0, F1322))</f>
        <v/>
      </c>
      <c r="E1322">
        <f>VLOOKUP(B1322,[1]Namshi!$A:$B,2,0)</f>
        <v/>
      </c>
      <c r="F1322" s="4">
        <f>SUMIFS('Dubai Stock'!I:I,'Dubai Stock'!H:H,Final_UAE!B:B)</f>
        <v/>
      </c>
      <c r="H1322" s="8" t="n">
        <v>212</v>
      </c>
      <c r="I1322" s="8" t="n">
        <v>111.3</v>
      </c>
    </row>
    <row r="1323">
      <c r="A1323" s="4" t="n">
        <v>33834</v>
      </c>
      <c r="B1323" s="4" t="inlineStr">
        <is>
          <t>clstdai-acu-oasy-p90-sp0400</t>
        </is>
      </c>
      <c r="C1323" s="4" t="inlineStr">
        <is>
          <t>W00031886A</t>
        </is>
      </c>
      <c r="D1323" s="6">
        <f>IF(F1323&gt;=5, F1323-5, IF(F1323&lt;5, 0, F1323))</f>
        <v/>
      </c>
      <c r="E1323">
        <f>VLOOKUP(B1323,[1]Namshi!$A:$B,2,0)</f>
        <v/>
      </c>
      <c r="F1323" s="4">
        <f>SUMIFS('Dubai Stock'!I:I,'Dubai Stock'!H:H,Final_UAE!B:B)</f>
        <v/>
      </c>
      <c r="H1323" s="8" t="e">
        <v>#N/A</v>
      </c>
      <c r="I1323" s="8" t="n"/>
    </row>
    <row r="1324">
      <c r="A1324" s="4" t="n">
        <v>33834</v>
      </c>
      <c r="B1324" s="4" t="inlineStr">
        <is>
          <t>sw52407-30s-000118-2407-56</t>
        </is>
      </c>
      <c r="C1324" s="4" t="inlineStr">
        <is>
          <t>W00031886A</t>
        </is>
      </c>
      <c r="D1324" s="6">
        <f>IF(F1324&gt;=5, F1324-5, IF(F1324&lt;5, 0, F1324))</f>
        <v/>
      </c>
      <c r="E1324">
        <f>VLOOKUP(B1324,[1]Namshi!$A:$B,2,0)</f>
        <v/>
      </c>
      <c r="F1324" s="4">
        <f>SUMIFS('Dubai Stock'!I:I,'Dubai Stock'!H:H,Final_UAE!B:B)</f>
        <v/>
      </c>
      <c r="H1324" s="8" t="e">
        <v>#N/A</v>
      </c>
    </row>
    <row r="1325">
      <c r="A1325" s="4" t="n">
        <v>33834</v>
      </c>
      <c r="B1325" s="4" t="inlineStr">
        <is>
          <t>fm20118-spc-000609-0118-48</t>
        </is>
      </c>
      <c r="C1325" s="4" t="inlineStr">
        <is>
          <t>W00031886A</t>
        </is>
      </c>
      <c r="D1325" s="6">
        <f>IF(F1325&gt;=5, F1325-5, IF(F1325&lt;5, 0, F1325))</f>
        <v/>
      </c>
      <c r="E1325">
        <f>VLOOKUP(B1325,[1]Namshi!$A:$B,2,0)</f>
        <v/>
      </c>
      <c r="F1325" s="4">
        <f>SUMIFS('Dubai Stock'!I:I,'Dubai Stock'!H:H,Final_UAE!B:B)</f>
        <v/>
      </c>
      <c r="H1325" s="8" t="e">
        <v>#N/A</v>
      </c>
      <c r="I1325" s="8" t="n"/>
    </row>
    <row r="1326">
      <c r="A1326" s="4" t="n">
        <v>33834</v>
      </c>
      <c r="B1326" s="4" t="inlineStr">
        <is>
          <t>clstdai-acu-dfna-p30-sn0700</t>
        </is>
      </c>
      <c r="C1326" s="4" t="inlineStr">
        <is>
          <t>W00031886A</t>
        </is>
      </c>
      <c r="D1326" s="6">
        <f>IF(F1326&gt;=5, F1326-5, IF(F1326&lt;5, 0, F1326))</f>
        <v/>
      </c>
      <c r="E1326">
        <f>VLOOKUP(B1326,[1]Namshi!$A:$B,2,0)</f>
        <v/>
      </c>
      <c r="F1326" s="4">
        <f>SUMIFS('Dubai Stock'!I:I,'Dubai Stock'!H:H,Final_UAE!B:B)</f>
        <v/>
      </c>
      <c r="H1326" s="8" t="e">
        <v>#N/A</v>
      </c>
      <c r="I1326" s="8" t="n"/>
    </row>
    <row r="1327">
      <c r="A1327" s="4" t="n">
        <v>33834</v>
      </c>
      <c r="B1327" s="4" t="inlineStr">
        <is>
          <t>su22906-30s-000229-2906-53</t>
        </is>
      </c>
      <c r="C1327" s="4" t="inlineStr">
        <is>
          <t>W00031886A</t>
        </is>
      </c>
      <c r="D1327" s="6">
        <f>IF(F1327&gt;=5, F1327-5, IF(F1327&lt;5, 0, F1327))</f>
        <v/>
      </c>
      <c r="E1327">
        <f>VLOOKUP(B1327,[1]Namshi!$A:$B,2,0)</f>
        <v/>
      </c>
      <c r="F1327" s="4">
        <f>SUMIFS('Dubai Stock'!I:I,'Dubai Stock'!H:H,Final_UAE!B:B)</f>
        <v/>
      </c>
      <c r="H1327" s="8" t="e">
        <v>#N/A</v>
      </c>
    </row>
    <row r="1328">
      <c r="A1328" s="4" t="n">
        <v>33834</v>
      </c>
      <c r="B1328" s="4" t="inlineStr">
        <is>
          <t>costdai-acu-dffr-p10-blue-sn0475</t>
        </is>
      </c>
      <c r="C1328" s="4" t="inlineStr">
        <is>
          <t>W00031886A</t>
        </is>
      </c>
      <c r="D1328" s="6">
        <f>IF(F1328&gt;=5, F1328-5, IF(F1328&lt;5, 0, F1328))</f>
        <v/>
      </c>
      <c r="E1328">
        <f>VLOOKUP(B1328,[1]Namshi!$A:$B,2,0)</f>
        <v/>
      </c>
      <c r="F1328" s="4">
        <f>SUMIFS('Dubai Stock'!I:I,'Dubai Stock'!H:H,Final_UAE!B:B)</f>
        <v/>
      </c>
      <c r="H1328" s="8" t="e">
        <v>#N/A</v>
      </c>
      <c r="I1328" s="8" t="n"/>
    </row>
    <row r="1329">
      <c r="A1329" s="4" t="n">
        <v>33834</v>
      </c>
      <c r="B1329" s="4" t="inlineStr">
        <is>
          <t>sw31306-bla-000207-1306-54</t>
        </is>
      </c>
      <c r="C1329" s="4" t="inlineStr">
        <is>
          <t>W00031886A</t>
        </is>
      </c>
      <c r="D1329" s="6">
        <f>IF(F1329&gt;=5, F1329-5, IF(F1329&lt;5, 0, F1329))</f>
        <v/>
      </c>
      <c r="E1329">
        <f>VLOOKUP(B1329,[1]Namshi!$A:$B,2,0)</f>
        <v/>
      </c>
      <c r="F1329" s="4">
        <f>SUMIFS('Dubai Stock'!I:I,'Dubai Stock'!H:H,Final_UAE!B:B)</f>
        <v/>
      </c>
      <c r="H1329" s="8" t="e">
        <v>#N/A</v>
      </c>
    </row>
    <row r="1330">
      <c r="A1330" s="4" t="n">
        <v>33834</v>
      </c>
      <c r="B1330" s="4" t="inlineStr">
        <is>
          <t>clstdai-lay-cont-p90-dazzle-black-sn0475</t>
        </is>
      </c>
      <c r="C1330" s="4" t="inlineStr">
        <is>
          <t>W00031886A</t>
        </is>
      </c>
      <c r="D1330" s="6">
        <f>IF(F1330&gt;=5, F1330-5, IF(F1330&lt;5, 0, F1330))</f>
        <v/>
      </c>
      <c r="E1330">
        <f>VLOOKUP(B1330,[1]Namshi!$A:$B,2,0)</f>
        <v/>
      </c>
      <c r="F1330" s="4">
        <f>SUMIFS('Dubai Stock'!I:I,'Dubai Stock'!H:H,Final_UAE!B:B)</f>
        <v/>
      </c>
      <c r="H1330" s="8" t="e">
        <v>#N/A</v>
      </c>
      <c r="I1330" s="8" t="n"/>
    </row>
    <row r="1331">
      <c r="A1331" s="4" t="n">
        <v>33834</v>
      </c>
      <c r="B1331" s="4" t="inlineStr">
        <is>
          <t>cost3mo-cel-natu-p01-hazelwood-sp0150</t>
        </is>
      </c>
      <c r="C1331" s="4" t="inlineStr">
        <is>
          <t>W00031886A</t>
        </is>
      </c>
      <c r="D1331" s="6">
        <f>IF(F1331&gt;=5, F1331-5, IF(F1331&lt;5, 0, F1331))</f>
        <v/>
      </c>
      <c r="E1331">
        <f>VLOOKUP(B1331,[1]Namshi!$A:$B,2,0)</f>
        <v/>
      </c>
      <c r="F1331" s="4">
        <f>SUMIFS('Dubai Stock'!I:I,'Dubai Stock'!H:H,Final_UAE!B:B)</f>
        <v/>
      </c>
      <c r="H1331" s="8" t="e">
        <v>#N/A</v>
      </c>
      <c r="I1331" s="8" t="n"/>
    </row>
    <row r="1332">
      <c r="A1332" s="4" t="n">
        <v>33834</v>
      </c>
      <c r="B1332" s="4" t="inlineStr">
        <is>
          <t>clstdai-btr-oned-p90-sn0125</t>
        </is>
      </c>
      <c r="C1332" s="4" t="inlineStr">
        <is>
          <t>W00031886A</t>
        </is>
      </c>
      <c r="D1332" s="6">
        <f>IF(F1332&gt;=5, F1332-5, IF(F1332&lt;5, 0, F1332))</f>
        <v/>
      </c>
      <c r="E1332">
        <f>VLOOKUP(B1332,[1]Namshi!$A:$B,2,0)</f>
        <v/>
      </c>
      <c r="F1332" s="4">
        <f>SUMIFS('Dubai Stock'!I:I,'Dubai Stock'!H:H,Final_UAE!B:B)</f>
        <v/>
      </c>
      <c r="H1332" s="8" t="e">
        <v>#N/A</v>
      </c>
      <c r="I1332" s="8" t="n"/>
    </row>
    <row r="1333">
      <c r="A1333" s="4" t="n">
        <v>33834</v>
      </c>
      <c r="B1333" s="4" t="inlineStr">
        <is>
          <t>clstdai-eve-elit-p90-sn0550</t>
        </is>
      </c>
      <c r="C1333" s="4" t="inlineStr">
        <is>
          <t>W00031886A</t>
        </is>
      </c>
      <c r="D1333" s="6">
        <f>IF(F1333&gt;=5, F1333-5, IF(F1333&lt;5, 0, F1333))</f>
        <v/>
      </c>
      <c r="E1333">
        <f>VLOOKUP(B1333,[1]Namshi!$A:$B,2,0)</f>
        <v/>
      </c>
      <c r="F1333" s="4">
        <f>SUMIFS('Dubai Stock'!I:I,'Dubai Stock'!H:H,Final_UAE!B:B)</f>
        <v/>
      </c>
      <c r="H1333" s="8" t="n">
        <v>729</v>
      </c>
      <c r="I1333" s="8" t="n">
        <v>357</v>
      </c>
    </row>
    <row r="1334">
      <c r="A1334" s="4" t="n">
        <v>33834</v>
      </c>
      <c r="B1334" s="4" t="inlineStr">
        <is>
          <t>clstdai-lay-cont-p10-dazzle-brown-sn0475</t>
        </is>
      </c>
      <c r="C1334" s="4" t="inlineStr">
        <is>
          <t>W00031886A</t>
        </is>
      </c>
      <c r="D1334" s="6">
        <f>IF(F1334&gt;=5, F1334-5, IF(F1334&lt;5, 0, F1334))</f>
        <v/>
      </c>
      <c r="E1334">
        <f>VLOOKUP(B1334,[1]Namshi!$A:$B,2,0)</f>
        <v/>
      </c>
      <c r="F1334" s="4">
        <f>SUMIFS('Dubai Stock'!I:I,'Dubai Stock'!H:H,Final_UAE!B:B)</f>
        <v/>
      </c>
      <c r="H1334" s="8" t="e">
        <v>#N/A</v>
      </c>
      <c r="I1334" s="8" t="n"/>
    </row>
    <row r="1335">
      <c r="A1335" s="4" t="n">
        <v>33834</v>
      </c>
      <c r="B1335" s="4" t="inlineStr">
        <is>
          <t>clstdai-lay-cont-p60-dazzle-black-sn0100</t>
        </is>
      </c>
      <c r="C1335" s="4" t="inlineStr">
        <is>
          <t>W00031886A</t>
        </is>
      </c>
      <c r="D1335" s="6">
        <f>IF(F1335&gt;=5, F1335-5, IF(F1335&lt;5, 0, F1335))</f>
        <v/>
      </c>
      <c r="E1335">
        <f>VLOOKUP(B1335,[1]Namshi!$A:$B,2,0)</f>
        <v/>
      </c>
      <c r="F1335" s="4">
        <f>SUMIFS('Dubai Stock'!I:I,'Dubai Stock'!H:H,Final_UAE!B:B)</f>
        <v/>
      </c>
      <c r="H1335" s="8" t="e">
        <v>#N/A</v>
      </c>
      <c r="I1335" s="8" t="n"/>
    </row>
    <row r="1336">
      <c r="A1336" s="4" t="n">
        <v>33834</v>
      </c>
      <c r="B1336" s="4" t="inlineStr">
        <is>
          <t>clstdai-acu-oasy-p30-sp0750</t>
        </is>
      </c>
      <c r="C1336" s="4" t="inlineStr">
        <is>
          <t>W00031886A</t>
        </is>
      </c>
      <c r="D1336" s="6">
        <f>IF(F1336&gt;=5, F1336-5, IF(F1336&lt;5, 0, F1336))</f>
        <v/>
      </c>
      <c r="E1336">
        <f>VLOOKUP(B1336,[1]Namshi!$A:$B,2,0)</f>
        <v/>
      </c>
      <c r="F1336" s="4">
        <f>SUMIFS('Dubai Stock'!I:I,'Dubai Stock'!H:H,Final_UAE!B:B)</f>
        <v/>
      </c>
      <c r="H1336" s="8" t="e">
        <v>#N/A</v>
      </c>
      <c r="I1336" s="8" t="n"/>
    </row>
    <row r="1337">
      <c r="A1337" s="4" t="n">
        <v>33834</v>
      </c>
      <c r="B1337" s="4" t="inlineStr">
        <is>
          <t>clstdai-dai-tot1-p90-sn0475</t>
        </is>
      </c>
      <c r="C1337" s="4" t="inlineStr">
        <is>
          <t>W00031886A</t>
        </is>
      </c>
      <c r="D1337" s="6">
        <f>IF(F1337&gt;=5, F1337-5, IF(F1337&lt;5, 0, F1337))</f>
        <v/>
      </c>
      <c r="E1337">
        <f>VLOOKUP(B1337,[1]Namshi!$A:$B,2,0)</f>
        <v/>
      </c>
      <c r="F1337" s="4">
        <f>SUMIFS('Dubai Stock'!I:I,'Dubai Stock'!H:H,Final_UAE!B:B)</f>
        <v/>
      </c>
      <c r="H1337" s="8" t="e">
        <v>#N/A</v>
      </c>
      <c r="I1337" s="8" t="n"/>
    </row>
    <row r="1338">
      <c r="A1338" s="4" t="n">
        <v>33834</v>
      </c>
      <c r="B1338" s="4" t="inlineStr">
        <is>
          <t>sw20102-bla-000106-1202-57</t>
        </is>
      </c>
      <c r="C1338" s="4" t="inlineStr">
        <is>
          <t>W00031886A</t>
        </is>
      </c>
      <c r="D1338" s="6">
        <f>IF(F1338&gt;=5, F1338-5, IF(F1338&lt;5, 0, F1338))</f>
        <v/>
      </c>
      <c r="E1338">
        <f>VLOOKUP(B1338,[1]Namshi!$A:$B,2,0)</f>
        <v/>
      </c>
      <c r="F1338" s="4">
        <f>SUMIFS('Dubai Stock'!I:I,'Dubai Stock'!H:H,Final_UAE!B:B)</f>
        <v/>
      </c>
      <c r="H1338" s="8" t="e">
        <v>#N/A</v>
      </c>
    </row>
    <row r="1339">
      <c r="A1339" s="4" t="n">
        <v>33834</v>
      </c>
      <c r="B1339" s="4" t="inlineStr">
        <is>
          <t>clstdai-acu-omax-p30-sn0150</t>
        </is>
      </c>
      <c r="C1339" s="4" t="inlineStr">
        <is>
          <t>W00031886A</t>
        </is>
      </c>
      <c r="D1339" s="6">
        <f>IF(F1339&gt;=5, F1339-5, IF(F1339&lt;5, 0, F1339))</f>
        <v/>
      </c>
      <c r="E1339">
        <f>VLOOKUP(B1339,[1]Namshi!$A:$B,2,0)</f>
        <v/>
      </c>
      <c r="F1339" s="4">
        <f>SUMIFS('Dubai Stock'!I:I,'Dubai Stock'!H:H,Final_UAE!B:B)</f>
        <v/>
      </c>
      <c r="H1339" s="8" t="e">
        <v>#N/A</v>
      </c>
      <c r="I1339" s="8" t="n"/>
    </row>
    <row r="1340">
      <c r="A1340" s="4" t="n">
        <v>33834</v>
      </c>
      <c r="B1340" s="4" t="inlineStr">
        <is>
          <t>clstbiw-acu-oasy-p18-sn0125</t>
        </is>
      </c>
      <c r="C1340" s="4" t="inlineStr">
        <is>
          <t>W00031886A</t>
        </is>
      </c>
      <c r="D1340" s="6">
        <f>IF(F1340&gt;=5, F1340-5, IF(F1340&lt;5, 0, F1340))</f>
        <v/>
      </c>
      <c r="E1340">
        <f>VLOOKUP(B1340,[1]Namshi!$A:$B,2,0)</f>
        <v/>
      </c>
      <c r="F1340" s="4">
        <f>SUMIFS('Dubai Stock'!I:I,'Dubai Stock'!H:H,Final_UAE!B:B)</f>
        <v/>
      </c>
      <c r="H1340" s="8" t="e">
        <v>#N/A</v>
      </c>
      <c r="I1340" s="8" t="n"/>
    </row>
    <row r="1341">
      <c r="A1341" s="4" t="n">
        <v>33834</v>
      </c>
      <c r="B1341" s="4" t="inlineStr">
        <is>
          <t>clstdai-acu-mois-p90-sn0600</t>
        </is>
      </c>
      <c r="C1341" s="4" t="inlineStr">
        <is>
          <t>W00031886A</t>
        </is>
      </c>
      <c r="D1341" s="6">
        <f>IF(F1341&gt;=5, F1341-5, IF(F1341&lt;5, 0, F1341))</f>
        <v/>
      </c>
      <c r="E1341">
        <f>VLOOKUP(B1341,[1]Namshi!$A:$B,2,0)</f>
        <v/>
      </c>
      <c r="F1341" s="4">
        <f>SUMIFS('Dubai Stock'!I:I,'Dubai Stock'!H:H,Final_UAE!B:B)</f>
        <v/>
      </c>
      <c r="H1341" s="8" t="e">
        <v>#N/A</v>
      </c>
      <c r="I1341" s="8" t="n"/>
    </row>
    <row r="1342">
      <c r="A1342" s="4" t="n">
        <v>33834</v>
      </c>
      <c r="B1342" s="4" t="inlineStr">
        <is>
          <t>fw32418-spc-000536-2400-53</t>
        </is>
      </c>
      <c r="C1342" s="4" t="inlineStr">
        <is>
          <t>W00031886A</t>
        </is>
      </c>
      <c r="D1342" s="6">
        <f>IF(F1342&gt;=5, F1342-5, IF(F1342&lt;5, 0, F1342))</f>
        <v/>
      </c>
      <c r="E1342">
        <f>VLOOKUP(B1342,[1]Namshi!$A:$B,2,0)</f>
        <v/>
      </c>
      <c r="F1342" s="4">
        <f>SUMIFS('Dubai Stock'!I:I,'Dubai Stock'!H:H,Final_UAE!B:B)</f>
        <v/>
      </c>
      <c r="H1342" s="8" t="e">
        <v>#N/A</v>
      </c>
      <c r="I1342" s="8" t="n"/>
    </row>
    <row r="1343">
      <c r="A1343" s="4" t="n">
        <v>33834</v>
      </c>
      <c r="B1343" s="4" t="inlineStr">
        <is>
          <t>clstdai-acu-mois-p30-sn0850</t>
        </is>
      </c>
      <c r="C1343" s="4" t="inlineStr">
        <is>
          <t>W00031886A</t>
        </is>
      </c>
      <c r="D1343" s="6">
        <f>IF(F1343&gt;=5, F1343-5, IF(F1343&lt;5, 0, F1343))</f>
        <v/>
      </c>
      <c r="E1343">
        <f>VLOOKUP(B1343,[1]Namshi!$A:$B,2,0)</f>
        <v/>
      </c>
      <c r="F1343" s="4">
        <f>SUMIFS('Dubai Stock'!I:I,'Dubai Stock'!H:H,Final_UAE!B:B)</f>
        <v/>
      </c>
      <c r="H1343" s="8" t="e">
        <v>#N/A</v>
      </c>
      <c r="I1343" s="8" t="n"/>
    </row>
    <row r="1344">
      <c r="A1344" s="4" t="n">
        <v>33834</v>
      </c>
      <c r="B1344" s="4" t="inlineStr">
        <is>
          <t>fw30618-spc-000825-0618-55</t>
        </is>
      </c>
      <c r="C1344" s="4" t="inlineStr">
        <is>
          <t>W00031886A</t>
        </is>
      </c>
      <c r="D1344" s="6">
        <f>IF(F1344&gt;=5, F1344-5, IF(F1344&lt;5, 0, F1344))</f>
        <v/>
      </c>
      <c r="E1344">
        <f>VLOOKUP(B1344,[1]Namshi!$A:$B,2,0)</f>
        <v/>
      </c>
      <c r="F1344" s="4">
        <f>SUMIFS('Dubai Stock'!I:I,'Dubai Stock'!H:H,Final_UAE!B:B)</f>
        <v/>
      </c>
      <c r="H1344" s="8" t="e">
        <v>#N/A</v>
      </c>
      <c r="I1344" s="8" t="n"/>
    </row>
    <row r="1345">
      <c r="A1345" s="4" t="n">
        <v>33834</v>
      </c>
      <c r="B1345" s="4" t="inlineStr">
        <is>
          <t>sm70406-30s-000247-0406-57</t>
        </is>
      </c>
      <c r="C1345" s="4" t="inlineStr">
        <is>
          <t>W00031886A</t>
        </is>
      </c>
      <c r="D1345" s="6">
        <f>IF(F1345&gt;=5, F1345-5, IF(F1345&lt;5, 0, F1345))</f>
        <v/>
      </c>
      <c r="E1345">
        <f>VLOOKUP(B1345,[1]Namshi!$A:$B,2,0)</f>
        <v/>
      </c>
      <c r="F1345" s="4">
        <f>SUMIFS('Dubai Stock'!I:I,'Dubai Stock'!H:H,Final_UAE!B:B)</f>
        <v/>
      </c>
      <c r="H1345" s="8" t="e">
        <v>#N/A</v>
      </c>
    </row>
    <row r="1346">
      <c r="A1346" s="4" t="n">
        <v>33834</v>
      </c>
      <c r="B1346" s="4" t="inlineStr">
        <is>
          <t>clstdai-acu-oasy-p30-sp0150</t>
        </is>
      </c>
      <c r="C1346" s="4" t="inlineStr">
        <is>
          <t>W00031886A</t>
        </is>
      </c>
      <c r="D1346" s="6">
        <f>IF(F1346&gt;=5, F1346-5, IF(F1346&lt;5, 0, F1346))</f>
        <v/>
      </c>
      <c r="E1346">
        <f>VLOOKUP(B1346,[1]Namshi!$A:$B,2,0)</f>
        <v/>
      </c>
      <c r="F1346" s="4">
        <f>SUMIFS('Dubai Stock'!I:I,'Dubai Stock'!H:H,Final_UAE!B:B)</f>
        <v/>
      </c>
      <c r="H1346" s="8" t="e">
        <v>#N/A</v>
      </c>
      <c r="I1346" s="8" t="n"/>
    </row>
    <row r="1347">
      <c r="A1347" s="4" t="n">
        <v>33834</v>
      </c>
      <c r="B1347" s="4" t="inlineStr">
        <is>
          <t>clstdai-dai-aqua-p30-sn0150</t>
        </is>
      </c>
      <c r="C1347" s="4" t="inlineStr">
        <is>
          <t>W00031886A</t>
        </is>
      </c>
      <c r="D1347" s="6">
        <f>IF(F1347&gt;=5, F1347-5, IF(F1347&lt;5, 0, F1347))</f>
        <v/>
      </c>
      <c r="E1347">
        <f>VLOOKUP(B1347,[1]Namshi!$A:$B,2,0)</f>
        <v/>
      </c>
      <c r="F1347" s="4">
        <f>SUMIFS('Dubai Stock'!I:I,'Dubai Stock'!H:H,Final_UAE!B:B)</f>
        <v/>
      </c>
      <c r="H1347" s="8" t="e">
        <v>#N/A</v>
      </c>
      <c r="I1347" s="8" t="n"/>
    </row>
    <row r="1348">
      <c r="A1348" s="4" t="n">
        <v>33834</v>
      </c>
      <c r="B1348" s="4" t="inlineStr">
        <is>
          <t>clstbiw-acu-0002-p06-sn0150</t>
        </is>
      </c>
      <c r="C1348" s="4" t="inlineStr">
        <is>
          <t>W00031886A</t>
        </is>
      </c>
      <c r="D1348" s="6">
        <f>IF(F1348&gt;=5, F1348-5, IF(F1348&lt;5, 0, F1348))</f>
        <v/>
      </c>
      <c r="E1348">
        <f>VLOOKUP(B1348,[1]Namshi!$A:$B,2,0)</f>
        <v/>
      </c>
      <c r="F1348" s="4">
        <f>SUMIFS('Dubai Stock'!I:I,'Dubai Stock'!H:H,Final_UAE!B:B)</f>
        <v/>
      </c>
      <c r="H1348" s="8" t="e">
        <v>#N/A</v>
      </c>
      <c r="I1348" s="8" t="n"/>
    </row>
    <row r="1349">
      <c r="A1349" s="4" t="n">
        <v>33834</v>
      </c>
      <c r="B1349" s="4" t="inlineStr">
        <is>
          <t>cost3mo-lay-lens-p02-forest-green-sn0175</t>
        </is>
      </c>
      <c r="C1349" s="4" t="inlineStr">
        <is>
          <t>W00031886A</t>
        </is>
      </c>
      <c r="D1349" s="6">
        <f>IF(F1349&gt;=5, F1349-5, IF(F1349&lt;5, 0, F1349))</f>
        <v/>
      </c>
      <c r="E1349">
        <f>VLOOKUP(B1349,[1]Namshi!$A:$B,2,0)</f>
        <v/>
      </c>
      <c r="F1349" s="4">
        <f>SUMIFS('Dubai Stock'!I:I,'Dubai Stock'!H:H,Final_UAE!B:B)</f>
        <v/>
      </c>
      <c r="H1349" s="8" t="e">
        <v>#N/A</v>
      </c>
      <c r="I1349" s="8" t="n"/>
    </row>
    <row r="1350">
      <c r="A1350" s="4" t="n">
        <v>33834</v>
      </c>
      <c r="B1350" s="4" t="inlineStr">
        <is>
          <t>clstdai-eve-elit-p30-sp0100</t>
        </is>
      </c>
      <c r="C1350" s="4" t="inlineStr">
        <is>
          <t>W00031886A</t>
        </is>
      </c>
      <c r="D1350" s="6">
        <f>IF(F1350&gt;=5, F1350-5, IF(F1350&lt;5, 0, F1350))</f>
        <v/>
      </c>
      <c r="E1350">
        <f>VLOOKUP(B1350,[1]Namshi!$A:$B,2,0)</f>
        <v/>
      </c>
      <c r="F1350" s="4">
        <f>SUMIFS('Dubai Stock'!I:I,'Dubai Stock'!H:H,Final_UAE!B:B)</f>
        <v/>
      </c>
      <c r="H1350" s="8" t="n">
        <v>261</v>
      </c>
      <c r="I1350" s="8" t="n">
        <v>146.3</v>
      </c>
    </row>
    <row r="1351">
      <c r="A1351" s="4" t="n">
        <v>33834</v>
      </c>
      <c r="B1351" s="4" t="inlineStr">
        <is>
          <t>su100202-30s-000501-0202-52</t>
        </is>
      </c>
      <c r="C1351" s="4" t="inlineStr">
        <is>
          <t>W00031886A</t>
        </is>
      </c>
      <c r="D1351" s="6">
        <f>IF(F1351&gt;=5, F1351-5, IF(F1351&lt;5, 0, F1351))</f>
        <v/>
      </c>
      <c r="E1351">
        <f>VLOOKUP(B1351,[1]Namshi!$A:$B,2,0)</f>
        <v/>
      </c>
      <c r="F1351" s="4">
        <f>SUMIFS('Dubai Stock'!I:I,'Dubai Stock'!H:H,Final_UAE!B:B)</f>
        <v/>
      </c>
      <c r="H1351" s="8" t="e">
        <v>#N/A</v>
      </c>
      <c r="I1351" s="8" t="n"/>
    </row>
    <row r="1352">
      <c r="A1352" s="4" t="n">
        <v>33834</v>
      </c>
      <c r="B1352" s="4" t="inlineStr">
        <is>
          <t>fw32318-spc-000863-2318-49</t>
        </is>
      </c>
      <c r="C1352" s="4" t="inlineStr">
        <is>
          <t>W00031886A</t>
        </is>
      </c>
      <c r="D1352" s="6">
        <f>IF(F1352&gt;=5, F1352-5, IF(F1352&lt;5, 0, F1352))</f>
        <v/>
      </c>
      <c r="E1352">
        <f>VLOOKUP(B1352,[1]Namshi!$A:$B,2,0)</f>
        <v/>
      </c>
      <c r="F1352" s="4">
        <f>SUMIFS('Dubai Stock'!I:I,'Dubai Stock'!H:H,Final_UAE!B:B)</f>
        <v/>
      </c>
      <c r="H1352" s="8" t="e">
        <v>#N/A</v>
      </c>
      <c r="I1352" s="8" t="n"/>
    </row>
    <row r="1353">
      <c r="A1353" s="4" t="n">
        <v>33834</v>
      </c>
      <c r="B1353" s="4" t="inlineStr">
        <is>
          <t>fw20518-mrw-mw69115221-48</t>
        </is>
      </c>
      <c r="C1353" s="4" t="inlineStr">
        <is>
          <t>W00031886A</t>
        </is>
      </c>
      <c r="D1353" s="6">
        <f>IF(F1353&gt;=5, F1353-5, IF(F1353&lt;5, 0, F1353))</f>
        <v/>
      </c>
      <c r="E1353">
        <f>VLOOKUP(B1353,[1]Namshi!$A:$B,2,0)</f>
        <v/>
      </c>
      <c r="F1353" s="4">
        <f>SUMIFS('Dubai Stock'!I:I,'Dubai Stock'!H:H,Final_UAE!B:B)</f>
        <v/>
      </c>
      <c r="H1353" s="8" t="e">
        <v>#N/A</v>
      </c>
      <c r="I1353" s="8" t="n"/>
    </row>
    <row r="1354">
      <c r="A1354" s="4" t="n">
        <v>33834</v>
      </c>
      <c r="B1354" s="4" t="inlineStr">
        <is>
          <t>su50107-bla-000103-0107-53</t>
        </is>
      </c>
      <c r="C1354" s="4" t="inlineStr">
        <is>
          <t>W00031886A</t>
        </is>
      </c>
      <c r="D1354" s="6">
        <f>IF(F1354&gt;=5, F1354-5, IF(F1354&lt;5, 0, F1354))</f>
        <v/>
      </c>
      <c r="E1354">
        <f>VLOOKUP(B1354,[1]Namshi!$A:$B,2,0)</f>
        <v/>
      </c>
      <c r="F1354" s="4">
        <f>SUMIFS('Dubai Stock'!I:I,'Dubai Stock'!H:H,Final_UAE!B:B)</f>
        <v/>
      </c>
      <c r="H1354" s="8" t="e">
        <v>#N/A</v>
      </c>
      <c r="I1354" s="8" t="n"/>
    </row>
    <row r="1355">
      <c r="A1355" s="4" t="n">
        <v>33834</v>
      </c>
      <c r="B1355" s="4" t="inlineStr">
        <is>
          <t>sc50207-bab-000504-2807-51</t>
        </is>
      </c>
      <c r="C1355" s="4" t="inlineStr">
        <is>
          <t>W00031886A</t>
        </is>
      </c>
      <c r="D1355" s="6">
        <f>IF(F1355&gt;=5, F1355-5, IF(F1355&lt;5, 0, F1355))</f>
        <v/>
      </c>
      <c r="E1355">
        <f>VLOOKUP(B1355,[1]Namshi!$A:$B,2,0)</f>
        <v/>
      </c>
      <c r="F1355" s="4">
        <f>SUMIFS('Dubai Stock'!I:I,'Dubai Stock'!H:H,Final_UAE!B:B)</f>
        <v/>
      </c>
      <c r="H1355" s="8" t="e">
        <v>#N/A</v>
      </c>
    </row>
    <row r="1356">
      <c r="A1356" s="4" t="n">
        <v>33834</v>
      </c>
      <c r="B1356" s="4" t="inlineStr">
        <is>
          <t>sm50404-30s-000211-0404-50</t>
        </is>
      </c>
      <c r="C1356" s="4" t="inlineStr">
        <is>
          <t>W00031886A</t>
        </is>
      </c>
      <c r="D1356" s="6">
        <f>IF(F1356&gt;=5, F1356-5, IF(F1356&lt;5, 0, F1356))</f>
        <v/>
      </c>
      <c r="E1356">
        <f>VLOOKUP(B1356,[1]Namshi!$A:$B,2,0)</f>
        <v/>
      </c>
      <c r="F1356" s="4">
        <f>SUMIFS('Dubai Stock'!I:I,'Dubai Stock'!H:H,Final_UAE!B:B)</f>
        <v/>
      </c>
      <c r="H1356" s="8" t="e">
        <v>#N/A</v>
      </c>
    </row>
    <row r="1357">
      <c r="A1357" s="4" t="n">
        <v>33834</v>
      </c>
      <c r="B1357" s="4" t="inlineStr">
        <is>
          <t>sw60604-bla-000264-0604-50</t>
        </is>
      </c>
      <c r="C1357" s="4" t="inlineStr">
        <is>
          <t>W00031886A</t>
        </is>
      </c>
      <c r="D1357" s="6">
        <f>IF(F1357&gt;=5, F1357-5, IF(F1357&lt;5, 0, F1357))</f>
        <v/>
      </c>
      <c r="E1357">
        <f>VLOOKUP(B1357,[1]Namshi!$A:$B,2,0)</f>
        <v/>
      </c>
      <c r="F1357" s="4">
        <f>SUMIFS('Dubai Stock'!I:I,'Dubai Stock'!H:H,Final_UAE!B:B)</f>
        <v/>
      </c>
      <c r="H1357" s="8" t="e">
        <v>#N/A</v>
      </c>
    </row>
    <row r="1358">
      <c r="A1358" s="4" t="n">
        <v>33834</v>
      </c>
      <c r="B1358" s="4" t="inlineStr">
        <is>
          <t>su100107-bla-000317-0107-52</t>
        </is>
      </c>
      <c r="C1358" s="4" t="inlineStr">
        <is>
          <t>W00031886A</t>
        </is>
      </c>
      <c r="D1358" s="6">
        <f>IF(F1358&gt;=5, F1358-5, IF(F1358&lt;5, 0, F1358))</f>
        <v/>
      </c>
      <c r="E1358">
        <f>VLOOKUP(B1358,[1]Namshi!$A:$B,2,0)</f>
        <v/>
      </c>
      <c r="F1358" s="4">
        <f>SUMIFS('Dubai Stock'!I:I,'Dubai Stock'!H:H,Final_UAE!B:B)</f>
        <v/>
      </c>
      <c r="H1358" s="8" t="e">
        <v>#N/A</v>
      </c>
    </row>
    <row r="1359">
      <c r="A1359" s="4" t="n">
        <v>33834</v>
      </c>
      <c r="B1359" s="4" t="inlineStr">
        <is>
          <t>su52610-30s-000494-2610p-51</t>
        </is>
      </c>
      <c r="C1359" s="4" t="inlineStr">
        <is>
          <t>W00031886A</t>
        </is>
      </c>
      <c r="D1359" s="6">
        <f>IF(F1359&gt;=5, F1359-5, IF(F1359&lt;5, 0, F1359))</f>
        <v/>
      </c>
      <c r="E1359">
        <f>VLOOKUP(B1359,[1]Namshi!$A:$B,2,0)</f>
        <v/>
      </c>
      <c r="F1359" s="4">
        <f>SUMIFS('Dubai Stock'!I:I,'Dubai Stock'!H:H,Final_UAE!B:B)</f>
        <v/>
      </c>
      <c r="H1359" s="8" t="e">
        <v>#N/A</v>
      </c>
      <c r="I1359" s="8" t="n"/>
    </row>
    <row r="1360">
      <c r="A1360" s="4" t="n">
        <v>33834</v>
      </c>
      <c r="B1360" s="4" t="inlineStr">
        <is>
          <t>cost3mo-lay-2023-p02-selene-green-sn0050</t>
        </is>
      </c>
      <c r="C1360" s="4" t="inlineStr">
        <is>
          <t>W00031886A</t>
        </is>
      </c>
      <c r="D1360" s="6">
        <f>IF(F1360&gt;=5, F1360-5, IF(F1360&lt;5, 0, F1360))</f>
        <v/>
      </c>
      <c r="E1360">
        <f>VLOOKUP(B1360,[1]Namshi!$A:$B,2,0)</f>
        <v/>
      </c>
      <c r="F1360" s="4">
        <f>SUMIFS('Dubai Stock'!I:I,'Dubai Stock'!H:H,Final_UAE!B:B)</f>
        <v/>
      </c>
      <c r="H1360" s="8" t="e">
        <v>#N/A</v>
      </c>
      <c r="I1360" s="8" t="n"/>
    </row>
    <row r="1361">
      <c r="A1361" s="4" t="n">
        <v>33834</v>
      </c>
      <c r="B1361" s="4" t="inlineStr">
        <is>
          <t>ru40218-spc-000850-0218-49-sp0150</t>
        </is>
      </c>
      <c r="C1361" s="4" t="inlineStr">
        <is>
          <t>W00031886A</t>
        </is>
      </c>
      <c r="D1361" s="6">
        <f>IF(F1361&gt;=5, F1361-5, IF(F1361&lt;5, 0, F1361))</f>
        <v/>
      </c>
      <c r="E1361">
        <f>VLOOKUP(B1361,[1]Namshi!$A:$B,2,0)</f>
        <v/>
      </c>
      <c r="F1361" s="4">
        <f>SUMIFS('Dubai Stock'!I:I,'Dubai Stock'!H:H,Final_UAE!B:B)</f>
        <v/>
      </c>
      <c r="H1361" s="8" t="e">
        <v>#N/A</v>
      </c>
      <c r="I1361" s="8" t="n"/>
    </row>
    <row r="1362">
      <c r="A1362" s="4" t="n">
        <v>33834</v>
      </c>
      <c r="B1362" s="4" t="inlineStr">
        <is>
          <t>su60107-30s-000437-0107-53</t>
        </is>
      </c>
      <c r="C1362" s="4" t="inlineStr">
        <is>
          <t>W00031886A</t>
        </is>
      </c>
      <c r="D1362" s="6">
        <f>IF(F1362&gt;=5, F1362-5, IF(F1362&lt;5, 0, F1362))</f>
        <v/>
      </c>
      <c r="E1362">
        <f>VLOOKUP(B1362,[1]Namshi!$A:$B,2,0)</f>
        <v/>
      </c>
      <c r="F1362" s="4">
        <f>SUMIFS('Dubai Stock'!I:I,'Dubai Stock'!H:H,Final_UAE!B:B)</f>
        <v/>
      </c>
      <c r="H1362" s="8" t="e">
        <v>#N/A</v>
      </c>
    </row>
    <row r="1363">
      <c r="A1363" s="4" t="n">
        <v>33834</v>
      </c>
      <c r="B1363" s="4" t="inlineStr">
        <is>
          <t>sw42907-bla-000245-2901-51</t>
        </is>
      </c>
      <c r="C1363" s="4" t="inlineStr">
        <is>
          <t>W00031886A</t>
        </is>
      </c>
      <c r="D1363" s="6">
        <f>IF(F1363&gt;=5, F1363-5, IF(F1363&lt;5, 0, F1363))</f>
        <v/>
      </c>
      <c r="E1363">
        <f>VLOOKUP(B1363,[1]Namshi!$A:$B,2,0)</f>
        <v/>
      </c>
      <c r="F1363" s="4">
        <f>SUMIFS('Dubai Stock'!I:I,'Dubai Stock'!H:H,Final_UAE!B:B)</f>
        <v/>
      </c>
      <c r="H1363" s="8" t="e">
        <v>#N/A</v>
      </c>
    </row>
    <row r="1364">
      <c r="A1364" s="4" t="n">
        <v>33834</v>
      </c>
      <c r="B1364" s="4" t="inlineStr">
        <is>
          <t>costmon-ama-2024-p02-matcha-sn0175</t>
        </is>
      </c>
      <c r="C1364" s="4" t="inlineStr">
        <is>
          <t>W00031886A</t>
        </is>
      </c>
      <c r="D1364" s="6">
        <f>IF(F1364&gt;=5, F1364-5, IF(F1364&lt;5, 0, F1364))</f>
        <v/>
      </c>
      <c r="E1364">
        <f>VLOOKUP(B1364,[1]Namshi!$A:$B,2,0)</f>
        <v/>
      </c>
      <c r="F1364" s="4">
        <f>SUMIFS('Dubai Stock'!I:I,'Dubai Stock'!H:H,Final_UAE!B:B)</f>
        <v/>
      </c>
      <c r="H1364" s="8" t="e">
        <v>#N/A</v>
      </c>
      <c r="I1364" s="8" t="n"/>
    </row>
    <row r="1365">
      <c r="A1365" s="4" t="n">
        <v>33834</v>
      </c>
      <c r="B1365" s="4" t="inlineStr">
        <is>
          <t>clstdai-lay-cont-p30-dazzle-brown-sn0125</t>
        </is>
      </c>
      <c r="C1365" s="4" t="inlineStr">
        <is>
          <t>W00031886A</t>
        </is>
      </c>
      <c r="D1365" s="6">
        <f>IF(F1365&gt;=5, F1365-5, IF(F1365&lt;5, 0, F1365))</f>
        <v/>
      </c>
      <c r="E1365">
        <f>VLOOKUP(B1365,[1]Namshi!$A:$B,2,0)</f>
        <v/>
      </c>
      <c r="F1365" s="4">
        <f>SUMIFS('Dubai Stock'!I:I,'Dubai Stock'!H:H,Final_UAE!B:B)</f>
        <v/>
      </c>
      <c r="H1365" s="8" t="e">
        <v>#N/A</v>
      </c>
      <c r="I1365" s="8" t="n"/>
    </row>
    <row r="1366">
      <c r="A1366" s="4" t="n">
        <v>33834</v>
      </c>
      <c r="B1366" s="4" t="inlineStr">
        <is>
          <t>costmon-ama-2020-p02-pure-hazel-sn0500</t>
        </is>
      </c>
      <c r="C1366" s="4" t="inlineStr">
        <is>
          <t>W00031886A</t>
        </is>
      </c>
      <c r="D1366" s="6">
        <f>IF(F1366&gt;=5, F1366-5, IF(F1366&lt;5, 0, F1366))</f>
        <v/>
      </c>
      <c r="E1366">
        <f>VLOOKUP(B1366,[1]Namshi!$A:$B,2,0)</f>
        <v/>
      </c>
      <c r="F1366" s="4">
        <f>SUMIFS('Dubai Stock'!I:I,'Dubai Stock'!H:H,Final_UAE!B:B)</f>
        <v/>
      </c>
      <c r="H1366" s="8" t="e">
        <v>#N/A</v>
      </c>
      <c r="I1366" s="8" t="n"/>
    </row>
    <row r="1367">
      <c r="A1367" s="4" t="n">
        <v>33834</v>
      </c>
      <c r="B1367" s="4" t="inlineStr">
        <is>
          <t>sc52007-bab-000505-2006-43</t>
        </is>
      </c>
      <c r="C1367" s="4" t="inlineStr">
        <is>
          <t>W00031886A</t>
        </is>
      </c>
      <c r="D1367" s="6">
        <f>IF(F1367&gt;=5, F1367-5, IF(F1367&lt;5, 0, F1367))</f>
        <v/>
      </c>
      <c r="E1367">
        <f>VLOOKUP(B1367,[1]Namshi!$A:$B,2,0)</f>
        <v/>
      </c>
      <c r="F1367" s="4">
        <f>SUMIFS('Dubai Stock'!I:I,'Dubai Stock'!H:H,Final_UAE!B:B)</f>
        <v/>
      </c>
      <c r="H1367" s="8" t="e">
        <v>#N/A</v>
      </c>
    </row>
    <row r="1368">
      <c r="A1368" s="4" t="n">
        <v>33834</v>
      </c>
      <c r="B1368" s="4" t="inlineStr">
        <is>
          <t>clstdai-acu-oasy-p30-sn0500</t>
        </is>
      </c>
      <c r="C1368" s="4" t="inlineStr">
        <is>
          <t>W00031886A</t>
        </is>
      </c>
      <c r="D1368" s="6">
        <f>IF(F1368&gt;=5, F1368-5, IF(F1368&lt;5, 0, F1368))</f>
        <v/>
      </c>
      <c r="E1368">
        <f>VLOOKUP(B1368,[1]Namshi!$A:$B,2,0)</f>
        <v/>
      </c>
      <c r="F1368" s="4">
        <f>SUMIFS('Dubai Stock'!I:I,'Dubai Stock'!H:H,Final_UAE!B:B)</f>
        <v/>
      </c>
      <c r="H1368" s="8" t="e">
        <v>#N/A</v>
      </c>
      <c r="I1368" s="8" t="n"/>
    </row>
    <row r="1369">
      <c r="A1369" s="4" t="n">
        <v>33834</v>
      </c>
      <c r="B1369" s="4" t="inlineStr">
        <is>
          <t>sw100501-bla-000266-2901-55</t>
        </is>
      </c>
      <c r="C1369" s="4" t="inlineStr">
        <is>
          <t>W00031886A</t>
        </is>
      </c>
      <c r="D1369" s="6">
        <f>IF(F1369&gt;=5, F1369-5, IF(F1369&lt;5, 0, F1369))</f>
        <v/>
      </c>
      <c r="E1369">
        <f>VLOOKUP(B1369,[1]Namshi!$A:$B,2,0)</f>
        <v/>
      </c>
      <c r="F1369" s="4">
        <f>SUMIFS('Dubai Stock'!I:I,'Dubai Stock'!H:H,Final_UAE!B:B)</f>
        <v/>
      </c>
      <c r="H1369" s="8" t="e">
        <v>#N/A</v>
      </c>
    </row>
    <row r="1370">
      <c r="A1370" s="4" t="n">
        <v>33834</v>
      </c>
      <c r="B1370" s="4" t="inlineStr">
        <is>
          <t>cost3mo-lay-2021-p02-stardust-gray-sn0550</t>
        </is>
      </c>
      <c r="C1370" s="4" t="inlineStr">
        <is>
          <t>W00031886A</t>
        </is>
      </c>
      <c r="D1370" s="6">
        <f>IF(F1370&gt;=5, F1370-5, IF(F1370&lt;5, 0, F1370))</f>
        <v/>
      </c>
      <c r="E1370">
        <f>VLOOKUP(B1370,[1]Namshi!$A:$B,2,0)</f>
        <v/>
      </c>
      <c r="F1370" s="4">
        <f>SUMIFS('Dubai Stock'!I:I,'Dubai Stock'!H:H,Final_UAE!B:B)</f>
        <v/>
      </c>
      <c r="H1370" s="8" t="e">
        <v>#N/A</v>
      </c>
      <c r="I1370" s="8" t="n"/>
    </row>
    <row r="1371">
      <c r="A1371" s="4" t="n">
        <v>33834</v>
      </c>
      <c r="B1371" s="4" t="inlineStr">
        <is>
          <t>sc20107-bab-000508-0107d-43</t>
        </is>
      </c>
      <c r="C1371" s="4" t="inlineStr">
        <is>
          <t>W00031886A</t>
        </is>
      </c>
      <c r="D1371" s="6">
        <f>IF(F1371&gt;=5, F1371-5, IF(F1371&lt;5, 0, F1371))</f>
        <v/>
      </c>
      <c r="E1371">
        <f>VLOOKUP(B1371,[1]Namshi!$A:$B,2,0)</f>
        <v/>
      </c>
      <c r="F1371" s="4">
        <f>SUMIFS('Dubai Stock'!I:I,'Dubai Stock'!H:H,Final_UAE!B:B)</f>
        <v/>
      </c>
      <c r="H1371" s="8" t="e">
        <v>#N/A</v>
      </c>
    </row>
    <row r="1372">
      <c r="A1372" s="4" t="n">
        <v>33834</v>
      </c>
      <c r="B1372" s="4" t="inlineStr">
        <is>
          <t>costdai-ama-dail-p10-sugar-sn0750</t>
        </is>
      </c>
      <c r="C1372" s="4" t="inlineStr">
        <is>
          <t>W00031886A</t>
        </is>
      </c>
      <c r="D1372" s="6">
        <f>IF(F1372&gt;=5, F1372-5, IF(F1372&lt;5, 0, F1372))</f>
        <v/>
      </c>
      <c r="E1372">
        <f>VLOOKUP(B1372,[1]Namshi!$A:$B,2,0)</f>
        <v/>
      </c>
      <c r="F1372" s="4">
        <f>SUMIFS('Dubai Stock'!I:I,'Dubai Stock'!H:H,Final_UAE!B:B)</f>
        <v/>
      </c>
      <c r="H1372" s="8" t="e">
        <v>#N/A</v>
      </c>
      <c r="I1372" s="8" t="n"/>
    </row>
    <row r="1373">
      <c r="A1373" s="4" t="n">
        <v>33834</v>
      </c>
      <c r="B1373" s="4" t="inlineStr">
        <is>
          <t>clstmon-ava-avai-p06-sn1000</t>
        </is>
      </c>
      <c r="C1373" s="4" t="inlineStr">
        <is>
          <t>W00031886A</t>
        </is>
      </c>
      <c r="D1373" s="6">
        <f>IF(F1373&gt;=5, F1373-5, IF(F1373&lt;5, 0, F1373))</f>
        <v/>
      </c>
      <c r="E1373">
        <f>VLOOKUP(B1373,[1]Namshi!$A:$B,2,0)</f>
        <v/>
      </c>
      <c r="F1373" s="4">
        <f>SUMIFS('Dubai Stock'!I:I,'Dubai Stock'!H:H,Final_UAE!B:B)</f>
        <v/>
      </c>
      <c r="H1373" s="8" t="e">
        <v>#N/A</v>
      </c>
      <c r="I1373" s="8" t="n"/>
    </row>
    <row r="1374">
      <c r="A1374" s="4" t="n">
        <v>33834</v>
      </c>
      <c r="B1374" s="4" t="inlineStr">
        <is>
          <t>cost3mo-lay-lens-p02-chocolate-brown-sn0600</t>
        </is>
      </c>
      <c r="C1374" s="4" t="inlineStr">
        <is>
          <t>W00031886A</t>
        </is>
      </c>
      <c r="D1374" s="6">
        <f>IF(F1374&gt;=5, F1374-5, IF(F1374&lt;5, 0, F1374))</f>
        <v/>
      </c>
      <c r="E1374">
        <f>VLOOKUP(B1374,[1]Namshi!$A:$B,2,0)</f>
        <v/>
      </c>
      <c r="F1374" s="4">
        <f>SUMIFS('Dubai Stock'!I:I,'Dubai Stock'!H:H,Final_UAE!B:B)</f>
        <v/>
      </c>
      <c r="H1374" s="8" t="e">
        <v>#N/A</v>
      </c>
      <c r="I1374" s="8" t="n"/>
    </row>
    <row r="1375">
      <c r="A1375" s="4" t="n">
        <v>33834</v>
      </c>
      <c r="B1375" s="4" t="inlineStr">
        <is>
          <t>clstdai-eve-elit-p90-sp0050</t>
        </is>
      </c>
      <c r="C1375" s="4" t="inlineStr">
        <is>
          <t>W00031886A</t>
        </is>
      </c>
      <c r="D1375" s="6">
        <f>IF(F1375&gt;=5, F1375-5, IF(F1375&lt;5, 0, F1375))</f>
        <v/>
      </c>
      <c r="E1375">
        <f>VLOOKUP(B1375,[1]Namshi!$A:$B,2,0)</f>
        <v/>
      </c>
      <c r="F1375" s="4">
        <f>SUMIFS('Dubai Stock'!I:I,'Dubai Stock'!H:H,Final_UAE!B:B)</f>
        <v/>
      </c>
      <c r="H1375" s="8" t="n">
        <v>729</v>
      </c>
      <c r="I1375" s="8" t="n">
        <v>357</v>
      </c>
    </row>
    <row r="1376">
      <c r="A1376" s="4" t="n">
        <v>33834</v>
      </c>
      <c r="B1376" s="4" t="inlineStr">
        <is>
          <t>costdai-acu-dffr-p10-honey-sn0325</t>
        </is>
      </c>
      <c r="C1376" s="4" t="inlineStr">
        <is>
          <t>W00031886A</t>
        </is>
      </c>
      <c r="D1376" s="6">
        <f>IF(F1376&gt;=5, F1376-5, IF(F1376&lt;5, 0, F1376))</f>
        <v/>
      </c>
      <c r="E1376">
        <f>VLOOKUP(B1376,[1]Namshi!$A:$B,2,0)</f>
        <v/>
      </c>
      <c r="F1376" s="4">
        <f>SUMIFS('Dubai Stock'!I:I,'Dubai Stock'!H:H,Final_UAE!B:B)</f>
        <v/>
      </c>
      <c r="H1376" s="8" t="e">
        <v>#N/A</v>
      </c>
      <c r="I1376" s="8" t="n"/>
    </row>
    <row r="1377">
      <c r="A1377" s="4" t="n">
        <v>33834</v>
      </c>
      <c r="B1377" s="4" t="inlineStr">
        <is>
          <t>cost3mo-lay-lens-p02-cloudy-gray-sn0125</t>
        </is>
      </c>
      <c r="C1377" s="4" t="inlineStr">
        <is>
          <t>W00031886A</t>
        </is>
      </c>
      <c r="D1377" s="6">
        <f>IF(F1377&gt;=5, F1377-5, IF(F1377&lt;5, 0, F1377))</f>
        <v/>
      </c>
      <c r="E1377">
        <f>VLOOKUP(B1377,[1]Namshi!$A:$B,2,0)</f>
        <v/>
      </c>
      <c r="F1377" s="4">
        <f>SUMIFS('Dubai Stock'!I:I,'Dubai Stock'!H:H,Final_UAE!B:B)</f>
        <v/>
      </c>
      <c r="H1377" s="8" t="e">
        <v>#N/A</v>
      </c>
      <c r="I1377" s="8" t="n"/>
    </row>
    <row r="1378">
      <c r="A1378" s="4" t="n">
        <v>33834</v>
      </c>
      <c r="B1378" s="4" t="inlineStr">
        <is>
          <t>cost3mo-lay-2021-p02-skye-blue-sn0125</t>
        </is>
      </c>
      <c r="C1378" s="4" t="inlineStr">
        <is>
          <t>W00031886A</t>
        </is>
      </c>
      <c r="D1378" s="6">
        <f>IF(F1378&gt;=5, F1378-5, IF(F1378&lt;5, 0, F1378))</f>
        <v/>
      </c>
      <c r="E1378">
        <f>VLOOKUP(B1378,[1]Namshi!$A:$B,2,0)</f>
        <v/>
      </c>
      <c r="F1378" s="4">
        <f>SUMIFS('Dubai Stock'!I:I,'Dubai Stock'!H:H,Final_UAE!B:B)</f>
        <v/>
      </c>
      <c r="H1378" s="8" t="e">
        <v>#N/A</v>
      </c>
      <c r="I1378" s="8" t="n"/>
    </row>
    <row r="1379">
      <c r="A1379" s="4" t="n">
        <v>33834</v>
      </c>
      <c r="B1379" s="4" t="inlineStr">
        <is>
          <t>costdai-acu-dffr-p30-grayzel-sn0550</t>
        </is>
      </c>
      <c r="C1379" s="4" t="inlineStr">
        <is>
          <t>W00031886A</t>
        </is>
      </c>
      <c r="D1379" s="6">
        <f>IF(F1379&gt;=5, F1379-5, IF(F1379&lt;5, 0, F1379))</f>
        <v/>
      </c>
      <c r="E1379">
        <f>VLOOKUP(B1379,[1]Namshi!$A:$B,2,0)</f>
        <v/>
      </c>
      <c r="F1379" s="4">
        <f>SUMIFS('Dubai Stock'!I:I,'Dubai Stock'!H:H,Final_UAE!B:B)</f>
        <v/>
      </c>
      <c r="H1379" s="8" t="e">
        <v>#N/A</v>
      </c>
      <c r="I1379" s="8" t="n"/>
    </row>
    <row r="1380">
      <c r="A1380" s="4" t="n">
        <v>33834</v>
      </c>
      <c r="B1380" s="4" t="inlineStr">
        <is>
          <t>su22704-30s-000206-2704p-52</t>
        </is>
      </c>
      <c r="C1380" s="4" t="inlineStr">
        <is>
          <t>W00031886A</t>
        </is>
      </c>
      <c r="D1380" s="6">
        <f>IF(F1380&gt;=5, F1380-5, IF(F1380&lt;5, 0, F1380))</f>
        <v/>
      </c>
      <c r="E1380">
        <f>VLOOKUP(B1380,[1]Namshi!$A:$B,2,0)</f>
        <v/>
      </c>
      <c r="F1380" s="4">
        <f>SUMIFS('Dubai Stock'!I:I,'Dubai Stock'!H:H,Final_UAE!B:B)</f>
        <v/>
      </c>
      <c r="H1380" s="8" t="e">
        <v>#N/A</v>
      </c>
    </row>
    <row r="1381">
      <c r="A1381" s="4" t="n">
        <v>33834</v>
      </c>
      <c r="B1381" s="4" t="inlineStr">
        <is>
          <t>clstdai-acu-dfvi-p60-sn0425</t>
        </is>
      </c>
      <c r="C1381" s="4" t="inlineStr">
        <is>
          <t>W00031886A</t>
        </is>
      </c>
      <c r="D1381" s="6">
        <f>IF(F1381&gt;=5, F1381-5, IF(F1381&lt;5, 0, F1381))</f>
        <v/>
      </c>
      <c r="E1381">
        <f>VLOOKUP(B1381,[1]Namshi!$A:$B,2,0)</f>
        <v/>
      </c>
      <c r="F1381" s="4">
        <f>SUMIFS('Dubai Stock'!I:I,'Dubai Stock'!H:H,Final_UAE!B:B)</f>
        <v/>
      </c>
      <c r="H1381" s="8" t="e">
        <v>#N/A</v>
      </c>
      <c r="I1381" s="8" t="n"/>
    </row>
    <row r="1382">
      <c r="A1382" s="4" t="n">
        <v>33834</v>
      </c>
      <c r="B1382" s="4" t="inlineStr">
        <is>
          <t>clstdai-sof-sdai-p30-sn0300</t>
        </is>
      </c>
      <c r="C1382" s="4" t="inlineStr">
        <is>
          <t>W00031886A</t>
        </is>
      </c>
      <c r="D1382" s="6">
        <f>IF(F1382&gt;=5, F1382-5, IF(F1382&lt;5, 0, F1382))</f>
        <v/>
      </c>
      <c r="E1382">
        <f>VLOOKUP(B1382,[1]Namshi!$A:$B,2,0)</f>
        <v/>
      </c>
      <c r="F1382" s="4">
        <f>SUMIFS('Dubai Stock'!I:I,'Dubai Stock'!H:H,Final_UAE!B:B)</f>
        <v/>
      </c>
      <c r="H1382" s="8" t="e">
        <v>#N/A</v>
      </c>
      <c r="I1382" s="8" t="n"/>
    </row>
    <row r="1383">
      <c r="A1383" s="4" t="n">
        <v>33834</v>
      </c>
      <c r="B1383" s="4" t="inlineStr">
        <is>
          <t>fm51218-spc-000520-1200-51</t>
        </is>
      </c>
      <c r="C1383" s="4" t="inlineStr">
        <is>
          <t>W00031886A</t>
        </is>
      </c>
      <c r="D1383" s="6">
        <f>IF(F1383&gt;=5, F1383-5, IF(F1383&lt;5, 0, F1383))</f>
        <v/>
      </c>
      <c r="E1383">
        <f>VLOOKUP(B1383,[1]Namshi!$A:$B,2,0)</f>
        <v/>
      </c>
      <c r="F1383" s="4">
        <f>SUMIFS('Dubai Stock'!I:I,'Dubai Stock'!H:H,Final_UAE!B:B)</f>
        <v/>
      </c>
      <c r="H1383" s="8" t="e">
        <v>#N/A</v>
      </c>
      <c r="I1383" s="8" t="n"/>
    </row>
    <row r="1384">
      <c r="A1384" s="4" t="n">
        <v>33834</v>
      </c>
      <c r="B1384" s="4" t="inlineStr">
        <is>
          <t>clstdai-acu-dfna-p90-sn0125</t>
        </is>
      </c>
      <c r="C1384" s="4" t="inlineStr">
        <is>
          <t>W00031886A</t>
        </is>
      </c>
      <c r="D1384" s="6">
        <f>IF(F1384&gt;=5, F1384-5, IF(F1384&lt;5, 0, F1384))</f>
        <v/>
      </c>
      <c r="E1384">
        <f>VLOOKUP(B1384,[1]Namshi!$A:$B,2,0)</f>
        <v/>
      </c>
      <c r="F1384" s="4">
        <f>SUMIFS('Dubai Stock'!I:I,'Dubai Stock'!H:H,Final_UAE!B:B)</f>
        <v/>
      </c>
      <c r="H1384" s="8" t="e">
        <v>#N/A</v>
      </c>
      <c r="I1384" s="8" t="n"/>
    </row>
    <row r="1385">
      <c r="A1385" s="4" t="n">
        <v>33834</v>
      </c>
      <c r="B1385" s="4" t="inlineStr">
        <is>
          <t>costdai-acu-dffr-p10-green-sn0475</t>
        </is>
      </c>
      <c r="C1385" s="4" t="inlineStr">
        <is>
          <t>W00031886A</t>
        </is>
      </c>
      <c r="D1385" s="6">
        <f>IF(F1385&gt;=5, F1385-5, IF(F1385&lt;5, 0, F1385))</f>
        <v/>
      </c>
      <c r="E1385">
        <f>VLOOKUP(B1385,[1]Namshi!$A:$B,2,0)</f>
        <v/>
      </c>
      <c r="F1385" s="4">
        <f>SUMIFS('Dubai Stock'!I:I,'Dubai Stock'!H:H,Final_UAE!B:B)</f>
        <v/>
      </c>
      <c r="H1385" s="8" t="e">
        <v>#N/A</v>
      </c>
      <c r="I1385" s="8" t="n"/>
    </row>
    <row r="1386">
      <c r="A1386" s="4" t="n">
        <v>33834</v>
      </c>
      <c r="B1386" s="4" t="inlineStr">
        <is>
          <t>clstdai-lay-cont-p30-dazzle-black-sn0575</t>
        </is>
      </c>
      <c r="C1386" s="4" t="inlineStr">
        <is>
          <t>W00031886A</t>
        </is>
      </c>
      <c r="D1386" s="6">
        <f>IF(F1386&gt;=5, F1386-5, IF(F1386&lt;5, 0, F1386))</f>
        <v/>
      </c>
      <c r="E1386">
        <f>VLOOKUP(B1386,[1]Namshi!$A:$B,2,0)</f>
        <v/>
      </c>
      <c r="F1386" s="4">
        <f>SUMIFS('Dubai Stock'!I:I,'Dubai Stock'!H:H,Final_UAE!B:B)</f>
        <v/>
      </c>
      <c r="H1386" s="8" t="e">
        <v>#N/A</v>
      </c>
      <c r="I1386" s="8" t="n"/>
    </row>
    <row r="1387">
      <c r="A1387" s="4" t="n">
        <v>33834</v>
      </c>
      <c r="B1387" s="4" t="inlineStr">
        <is>
          <t>costdai-acu-dffr-p30-grayzel-sn0750</t>
        </is>
      </c>
      <c r="C1387" s="4" t="inlineStr">
        <is>
          <t>W00031886A</t>
        </is>
      </c>
      <c r="D1387" s="6">
        <f>IF(F1387&gt;=5, F1387-5, IF(F1387&lt;5, 0, F1387))</f>
        <v/>
      </c>
      <c r="E1387">
        <f>VLOOKUP(B1387,[1]Namshi!$A:$B,2,0)</f>
        <v/>
      </c>
      <c r="F1387" s="4">
        <f>SUMIFS('Dubai Stock'!I:I,'Dubai Stock'!H:H,Final_UAE!B:B)</f>
        <v/>
      </c>
      <c r="H1387" s="8" t="e">
        <v>#N/A</v>
      </c>
      <c r="I1387" s="8" t="n"/>
    </row>
    <row r="1388">
      <c r="A1388" s="4" t="n">
        <v>33834</v>
      </c>
      <c r="B1388" s="4" t="inlineStr">
        <is>
          <t>clstdai-eve-elit-p90-sp0025</t>
        </is>
      </c>
      <c r="C1388" s="4" t="inlineStr">
        <is>
          <t>W00031886A</t>
        </is>
      </c>
      <c r="D1388" s="6">
        <f>IF(F1388&gt;=5, F1388-5, IF(F1388&lt;5, 0, F1388))</f>
        <v/>
      </c>
      <c r="E1388">
        <f>VLOOKUP(B1388,[1]Namshi!$A:$B,2,0)</f>
        <v/>
      </c>
      <c r="F1388" s="4">
        <f>SUMIFS('Dubai Stock'!I:I,'Dubai Stock'!H:H,Final_UAE!B:B)</f>
        <v/>
      </c>
      <c r="H1388" s="8" t="n">
        <v>729</v>
      </c>
      <c r="I1388" s="8" t="n">
        <v>357</v>
      </c>
    </row>
    <row r="1389">
      <c r="A1389" s="4" t="n">
        <v>33834</v>
      </c>
      <c r="B1389" s="4" t="inlineStr">
        <is>
          <t>clstdai-lay-cont-p60-dazzle-brown-sn0425</t>
        </is>
      </c>
      <c r="C1389" s="4" t="inlineStr">
        <is>
          <t>W00031886A</t>
        </is>
      </c>
      <c r="D1389" s="6">
        <f>IF(F1389&gt;=5, F1389-5, IF(F1389&lt;5, 0, F1389))</f>
        <v/>
      </c>
      <c r="E1389">
        <f>VLOOKUP(B1389,[1]Namshi!$A:$B,2,0)</f>
        <v/>
      </c>
      <c r="F1389" s="4">
        <f>SUMIFS('Dubai Stock'!I:I,'Dubai Stock'!H:H,Final_UAE!B:B)</f>
        <v/>
      </c>
      <c r="H1389" s="8" t="e">
        <v>#N/A</v>
      </c>
      <c r="I1389" s="8" t="n"/>
    </row>
    <row r="1390">
      <c r="A1390" s="4" t="n">
        <v>33834</v>
      </c>
      <c r="B1390" s="4" t="inlineStr">
        <is>
          <t>clstdai-eve-elit-p90-sn0500</t>
        </is>
      </c>
      <c r="C1390" s="4" t="inlineStr">
        <is>
          <t>W00031886A</t>
        </is>
      </c>
      <c r="D1390" s="6">
        <f>IF(F1390&gt;=5, F1390-5, IF(F1390&lt;5, 0, F1390))</f>
        <v/>
      </c>
      <c r="E1390">
        <f>VLOOKUP(B1390,[1]Namshi!$A:$B,2,0)</f>
        <v/>
      </c>
      <c r="F1390" s="4">
        <f>SUMIFS('Dubai Stock'!I:I,'Dubai Stock'!H:H,Final_UAE!B:B)</f>
        <v/>
      </c>
      <c r="H1390" s="8" t="n">
        <v>729</v>
      </c>
      <c r="I1390" s="8" t="n">
        <v>357</v>
      </c>
    </row>
    <row r="1391">
      <c r="A1391" s="4" t="n">
        <v>33834</v>
      </c>
      <c r="B1391" s="4" t="inlineStr">
        <is>
          <t>cost3mo-lay-2020-p02-hazel-brown-sn0300</t>
        </is>
      </c>
      <c r="C1391" s="4" t="inlineStr">
        <is>
          <t>W00031886A</t>
        </is>
      </c>
      <c r="D1391" s="6">
        <f>IF(F1391&gt;=5, F1391-5, IF(F1391&lt;5, 0, F1391))</f>
        <v/>
      </c>
      <c r="E1391">
        <f>VLOOKUP(B1391,[1]Namshi!$A:$B,2,0)</f>
        <v/>
      </c>
      <c r="F1391" s="4">
        <f>SUMIFS('Dubai Stock'!I:I,'Dubai Stock'!H:H,Final_UAE!B:B)</f>
        <v/>
      </c>
      <c r="H1391" s="8" t="e">
        <v>#N/A</v>
      </c>
      <c r="I1391" s="8" t="n"/>
    </row>
    <row r="1392">
      <c r="A1392" s="4" t="n">
        <v>33834</v>
      </c>
      <c r="B1392" s="4" t="inlineStr">
        <is>
          <t>clstdai-acu-mois-p90-sn0275</t>
        </is>
      </c>
      <c r="C1392" s="4" t="inlineStr">
        <is>
          <t>W00031886A</t>
        </is>
      </c>
      <c r="D1392" s="6">
        <f>IF(F1392&gt;=5, F1392-5, IF(F1392&lt;5, 0, F1392))</f>
        <v/>
      </c>
      <c r="E1392">
        <f>VLOOKUP(B1392,[1]Namshi!$A:$B,2,0)</f>
        <v/>
      </c>
      <c r="F1392" s="4">
        <f>SUMIFS('Dubai Stock'!I:I,'Dubai Stock'!H:H,Final_UAE!B:B)</f>
        <v/>
      </c>
      <c r="H1392" s="8" t="e">
        <v>#N/A</v>
      </c>
      <c r="I1392" s="8" t="n"/>
    </row>
    <row r="1393">
      <c r="A1393" s="4" t="n">
        <v>33834</v>
      </c>
      <c r="B1393" s="4" t="inlineStr">
        <is>
          <t>clstdai-dai-aqua-p90-sp0525</t>
        </is>
      </c>
      <c r="C1393" s="4" t="inlineStr">
        <is>
          <t>W00031886A</t>
        </is>
      </c>
      <c r="D1393" s="6">
        <f>IF(F1393&gt;=5, F1393-5, IF(F1393&lt;5, 0, F1393))</f>
        <v/>
      </c>
      <c r="E1393">
        <f>VLOOKUP(B1393,[1]Namshi!$A:$B,2,0)</f>
        <v/>
      </c>
      <c r="F1393" s="4">
        <f>SUMIFS('Dubai Stock'!I:I,'Dubai Stock'!H:H,Final_UAE!B:B)</f>
        <v/>
      </c>
      <c r="H1393" s="8" t="e">
        <v>#N/A</v>
      </c>
      <c r="I1393" s="8" t="n"/>
    </row>
    <row r="1394">
      <c r="A1394" s="4" t="n">
        <v>33834</v>
      </c>
      <c r="B1394" s="4" t="inlineStr">
        <is>
          <t>clstdai-acu-oasy-p30-sn0700</t>
        </is>
      </c>
      <c r="C1394" s="4" t="inlineStr">
        <is>
          <t>W00031886A</t>
        </is>
      </c>
      <c r="D1394" s="6">
        <f>IF(F1394&gt;=5, F1394-5, IF(F1394&lt;5, 0, F1394))</f>
        <v/>
      </c>
      <c r="E1394">
        <f>VLOOKUP(B1394,[1]Namshi!$A:$B,2,0)</f>
        <v/>
      </c>
      <c r="F1394" s="4">
        <f>SUMIFS('Dubai Stock'!I:I,'Dubai Stock'!H:H,Final_UAE!B:B)</f>
        <v/>
      </c>
      <c r="H1394" s="8" t="e">
        <v>#N/A</v>
      </c>
      <c r="I1394" s="8" t="n"/>
    </row>
    <row r="1395">
      <c r="A1395" s="4" t="n">
        <v>33834</v>
      </c>
      <c r="B1395" s="4" t="inlineStr">
        <is>
          <t>costmon-ama-2022-p02-tan-sn0375</t>
        </is>
      </c>
      <c r="C1395" s="4" t="inlineStr">
        <is>
          <t>W00031886A</t>
        </is>
      </c>
      <c r="D1395" s="6">
        <f>IF(F1395&gt;=5, F1395-5, IF(F1395&lt;5, 0, F1395))</f>
        <v/>
      </c>
      <c r="E1395">
        <f>VLOOKUP(B1395,[1]Namshi!$A:$B,2,0)</f>
        <v/>
      </c>
      <c r="F1395" s="4">
        <f>SUMIFS('Dubai Stock'!I:I,'Dubai Stock'!H:H,Final_UAE!B:B)</f>
        <v/>
      </c>
      <c r="H1395" s="8" t="e">
        <v>#N/A</v>
      </c>
      <c r="I1395" s="8" t="n"/>
    </row>
    <row r="1396">
      <c r="A1396" s="4" t="n">
        <v>33834</v>
      </c>
      <c r="B1396" s="4" t="inlineStr">
        <is>
          <t>sm50506-30s-000241-2906-52</t>
        </is>
      </c>
      <c r="C1396" s="4" t="inlineStr">
        <is>
          <t>W00031886A</t>
        </is>
      </c>
      <c r="D1396" s="6">
        <f>IF(F1396&gt;=5, F1396-5, IF(F1396&lt;5, 0, F1396))</f>
        <v/>
      </c>
      <c r="E1396">
        <f>VLOOKUP(B1396,[1]Namshi!$A:$B,2,0)</f>
        <v/>
      </c>
      <c r="F1396" s="4">
        <f>SUMIFS('Dubai Stock'!I:I,'Dubai Stock'!H:H,Final_UAE!B:B)</f>
        <v/>
      </c>
      <c r="H1396" s="8" t="e">
        <v>#N/A</v>
      </c>
    </row>
    <row r="1397">
      <c r="A1397" s="4" t="n">
        <v>33834</v>
      </c>
      <c r="B1397" s="4" t="inlineStr">
        <is>
          <t>costmon-ama-lens-p02-crocodile-green-sn0575</t>
        </is>
      </c>
      <c r="C1397" s="4" t="inlineStr">
        <is>
          <t>W00031886A</t>
        </is>
      </c>
      <c r="D1397" s="6">
        <f>IF(F1397&gt;=5, F1397-5, IF(F1397&lt;5, 0, F1397))</f>
        <v/>
      </c>
      <c r="E1397">
        <f>VLOOKUP(B1397,[1]Namshi!$A:$B,2,0)</f>
        <v/>
      </c>
      <c r="F1397" s="4">
        <f>SUMIFS('Dubai Stock'!I:I,'Dubai Stock'!H:H,Final_UAE!B:B)</f>
        <v/>
      </c>
      <c r="H1397" s="8" t="e">
        <v>#N/A</v>
      </c>
      <c r="I1397" s="8" t="n"/>
    </row>
    <row r="1398">
      <c r="A1398" s="4" t="n">
        <v>33834</v>
      </c>
      <c r="B1398" s="4" t="inlineStr">
        <is>
          <t>clstdai-dai-aqua-p90-sp0500</t>
        </is>
      </c>
      <c r="C1398" s="4" t="inlineStr">
        <is>
          <t>W00031886A</t>
        </is>
      </c>
      <c r="D1398" s="6">
        <f>IF(F1398&gt;=5, F1398-5, IF(F1398&lt;5, 0, F1398))</f>
        <v/>
      </c>
      <c r="E1398">
        <f>VLOOKUP(B1398,[1]Namshi!$A:$B,2,0)</f>
        <v/>
      </c>
      <c r="F1398" s="4">
        <f>SUMIFS('Dubai Stock'!I:I,'Dubai Stock'!H:H,Final_UAE!B:B)</f>
        <v/>
      </c>
      <c r="H1398" s="8" t="e">
        <v>#N/A</v>
      </c>
      <c r="I1398" s="8" t="n"/>
    </row>
    <row r="1399">
      <c r="A1399" s="4" t="n">
        <v>33834</v>
      </c>
      <c r="B1399" s="4" t="inlineStr">
        <is>
          <t>cost3mo-cel-natu-p01-forest-green-sp0100</t>
        </is>
      </c>
      <c r="C1399" s="4" t="inlineStr">
        <is>
          <t>W00031886A</t>
        </is>
      </c>
      <c r="D1399" s="6">
        <f>IF(F1399&gt;=5, F1399-5, IF(F1399&lt;5, 0, F1399))</f>
        <v/>
      </c>
      <c r="E1399">
        <f>VLOOKUP(B1399,[1]Namshi!$A:$B,2,0)</f>
        <v/>
      </c>
      <c r="F1399" s="4">
        <f>SUMIFS('Dubai Stock'!I:I,'Dubai Stock'!H:H,Final_UAE!B:B)</f>
        <v/>
      </c>
      <c r="H1399" s="8" t="e">
        <v>#N/A</v>
      </c>
      <c r="I1399" s="8" t="n"/>
    </row>
    <row r="1400">
      <c r="A1400" s="4" t="n">
        <v>33834</v>
      </c>
      <c r="B1400" s="4" t="inlineStr">
        <is>
          <t>su12906-30s-000203-2906-58</t>
        </is>
      </c>
      <c r="C1400" s="4" t="inlineStr">
        <is>
          <t>W00031886A</t>
        </is>
      </c>
      <c r="D1400" s="6">
        <f>IF(F1400&gt;=5, F1400-5, IF(F1400&lt;5, 0, F1400))</f>
        <v/>
      </c>
      <c r="E1400">
        <f>VLOOKUP(B1400,[1]Namshi!$A:$B,2,0)</f>
        <v/>
      </c>
      <c r="F1400" s="4">
        <f>SUMIFS('Dubai Stock'!I:I,'Dubai Stock'!H:H,Final_UAE!B:B)</f>
        <v/>
      </c>
      <c r="H1400" s="8" t="e">
        <v>#N/A</v>
      </c>
    </row>
    <row r="1401">
      <c r="A1401" s="4" t="n">
        <v>33834</v>
      </c>
      <c r="B1401" s="4" t="inlineStr">
        <is>
          <t>clstdai-dai-aqua-p90-sp0100</t>
        </is>
      </c>
      <c r="C1401" s="4" t="inlineStr">
        <is>
          <t>W00031886A</t>
        </is>
      </c>
      <c r="D1401" s="6">
        <f>IF(F1401&gt;=5, F1401-5, IF(F1401&lt;5, 0, F1401))</f>
        <v/>
      </c>
      <c r="E1401">
        <f>VLOOKUP(B1401,[1]Namshi!$A:$B,2,0)</f>
        <v/>
      </c>
      <c r="F1401" s="4">
        <f>SUMIFS('Dubai Stock'!I:I,'Dubai Stock'!H:H,Final_UAE!B:B)</f>
        <v/>
      </c>
      <c r="H1401" s="8" t="e">
        <v>#N/A</v>
      </c>
      <c r="I1401" s="8" t="n"/>
    </row>
    <row r="1402">
      <c r="A1402" s="4" t="n">
        <v>33834</v>
      </c>
      <c r="B1402" s="4" t="inlineStr">
        <is>
          <t>costmon-ama-2020-p02-charcoal-gray-sn0700</t>
        </is>
      </c>
      <c r="C1402" s="4" t="inlineStr">
        <is>
          <t>W00031886A</t>
        </is>
      </c>
      <c r="D1402" s="6">
        <f>IF(F1402&gt;=5, F1402-5, IF(F1402&lt;5, 0, F1402))</f>
        <v/>
      </c>
      <c r="E1402">
        <f>VLOOKUP(B1402,[1]Namshi!$A:$B,2,0)</f>
        <v/>
      </c>
      <c r="F1402" s="4">
        <f>SUMIFS('Dubai Stock'!I:I,'Dubai Stock'!H:H,Final_UAE!B:B)</f>
        <v/>
      </c>
      <c r="H1402" s="8" t="e">
        <v>#N/A</v>
      </c>
      <c r="I1402" s="8" t="n"/>
    </row>
    <row r="1403">
      <c r="A1403" s="4" t="n">
        <v>33834</v>
      </c>
      <c r="B1403" s="4" t="inlineStr">
        <is>
          <t>sw21304-bla-000224-1304-51</t>
        </is>
      </c>
      <c r="C1403" s="4" t="inlineStr">
        <is>
          <t>W00031886A</t>
        </is>
      </c>
      <c r="D1403" s="6">
        <f>IF(F1403&gt;=5, F1403-5, IF(F1403&lt;5, 0, F1403))</f>
        <v/>
      </c>
      <c r="E1403">
        <f>VLOOKUP(B1403,[1]Namshi!$A:$B,2,0)</f>
        <v/>
      </c>
      <c r="F1403" s="4">
        <f>SUMIFS('Dubai Stock'!I:I,'Dubai Stock'!H:H,Final_UAE!B:B)</f>
        <v/>
      </c>
      <c r="H1403" s="8" t="e">
        <v>#N/A</v>
      </c>
    </row>
    <row r="1404">
      <c r="A1404" s="4" t="n">
        <v>33834</v>
      </c>
      <c r="B1404" s="4" t="inlineStr">
        <is>
          <t>clstdai-acu-oasy-p60-sn0075</t>
        </is>
      </c>
      <c r="C1404" s="4" t="inlineStr">
        <is>
          <t>W00031886A</t>
        </is>
      </c>
      <c r="D1404" s="6">
        <f>IF(F1404&gt;=5, F1404-5, IF(F1404&lt;5, 0, F1404))</f>
        <v/>
      </c>
      <c r="E1404">
        <f>VLOOKUP(B1404,[1]Namshi!$A:$B,2,0)</f>
        <v/>
      </c>
      <c r="F1404" s="4">
        <f>SUMIFS('Dubai Stock'!I:I,'Dubai Stock'!H:H,Final_UAE!B:B)</f>
        <v/>
      </c>
      <c r="H1404" s="8" t="e">
        <v>#N/A</v>
      </c>
      <c r="I1404" s="8" t="n"/>
    </row>
    <row r="1405">
      <c r="A1405" s="4" t="n">
        <v>33834</v>
      </c>
      <c r="B1405" s="4" t="inlineStr">
        <is>
          <t>clstdai-btr-oned-p30-sn0225</t>
        </is>
      </c>
      <c r="C1405" s="4" t="inlineStr">
        <is>
          <t>W00031886A</t>
        </is>
      </c>
      <c r="D1405" s="6">
        <f>IF(F1405&gt;=5, F1405-5, IF(F1405&lt;5, 0, F1405))</f>
        <v/>
      </c>
      <c r="E1405">
        <f>VLOOKUP(B1405,[1]Namshi!$A:$B,2,0)</f>
        <v/>
      </c>
      <c r="F1405" s="4">
        <f>SUMIFS('Dubai Stock'!I:I,'Dubai Stock'!H:H,Final_UAE!B:B)</f>
        <v/>
      </c>
      <c r="H1405" s="8" t="e">
        <v>#N/A</v>
      </c>
      <c r="I1405" s="8" t="n"/>
    </row>
    <row r="1406">
      <c r="A1406" s="4" t="n">
        <v>33834</v>
      </c>
      <c r="B1406" s="4" t="inlineStr">
        <is>
          <t>clstdai-lay-cont-p10-dazzle-black-sn0650</t>
        </is>
      </c>
      <c r="C1406" s="4" t="inlineStr">
        <is>
          <t>W00031886A</t>
        </is>
      </c>
      <c r="D1406" s="6">
        <f>IF(F1406&gt;=5, F1406-5, IF(F1406&lt;5, 0, F1406))</f>
        <v/>
      </c>
      <c r="E1406">
        <f>VLOOKUP(B1406,[1]Namshi!$A:$B,2,0)</f>
        <v/>
      </c>
      <c r="F1406" s="4">
        <f>SUMIFS('Dubai Stock'!I:I,'Dubai Stock'!H:H,Final_UAE!B:B)</f>
        <v/>
      </c>
      <c r="H1406" s="8" t="e">
        <v>#N/A</v>
      </c>
      <c r="I1406" s="8" t="n"/>
    </row>
    <row r="1407">
      <c r="A1407" s="4" t="n">
        <v>33834</v>
      </c>
      <c r="B1407" s="4" t="inlineStr">
        <is>
          <t>sm100404-30s-000447-0404-53</t>
        </is>
      </c>
      <c r="C1407" s="4" t="inlineStr">
        <is>
          <t>W00031886A</t>
        </is>
      </c>
      <c r="D1407" s="6">
        <f>IF(F1407&gt;=5, F1407-5, IF(F1407&lt;5, 0, F1407))</f>
        <v/>
      </c>
      <c r="E1407">
        <f>VLOOKUP(B1407,[1]Namshi!$A:$B,2,0)</f>
        <v/>
      </c>
      <c r="F1407" s="4">
        <f>SUMIFS('Dubai Stock'!I:I,'Dubai Stock'!H:H,Final_UAE!B:B)</f>
        <v/>
      </c>
      <c r="H1407" s="8" t="e">
        <v>#N/A</v>
      </c>
    </row>
    <row r="1408">
      <c r="A1408" s="4" t="n">
        <v>33834</v>
      </c>
      <c r="B1408" s="4" t="inlineStr">
        <is>
          <t>sw40107-bla-000246-0107-58</t>
        </is>
      </c>
      <c r="C1408" s="4" t="inlineStr">
        <is>
          <t>W00031886A</t>
        </is>
      </c>
      <c r="D1408" s="6">
        <f>IF(F1408&gt;=5, F1408-5, IF(F1408&lt;5, 0, F1408))</f>
        <v/>
      </c>
      <c r="E1408">
        <f>VLOOKUP(B1408,[1]Namshi!$A:$B,2,0)</f>
        <v/>
      </c>
      <c r="F1408" s="4">
        <f>SUMIFS('Dubai Stock'!I:I,'Dubai Stock'!H:H,Final_UAE!B:B)</f>
        <v/>
      </c>
      <c r="H1408" s="8" t="e">
        <v>#N/A</v>
      </c>
    </row>
    <row r="1409">
      <c r="A1409" s="4" t="n">
        <v>33834</v>
      </c>
      <c r="B1409" s="4" t="inlineStr">
        <is>
          <t>cost3mo-lay-2020-p02-hazel-brown-sn0225</t>
        </is>
      </c>
      <c r="C1409" s="4" t="inlineStr">
        <is>
          <t>W00031886A</t>
        </is>
      </c>
      <c r="D1409" s="6">
        <f>IF(F1409&gt;=5, F1409-5, IF(F1409&lt;5, 0, F1409))</f>
        <v/>
      </c>
      <c r="E1409">
        <f>VLOOKUP(B1409,[1]Namshi!$A:$B,2,0)</f>
        <v/>
      </c>
      <c r="F1409" s="4">
        <f>SUMIFS('Dubai Stock'!I:I,'Dubai Stock'!H:H,Final_UAE!B:B)</f>
        <v/>
      </c>
      <c r="H1409" s="8" t="e">
        <v>#N/A</v>
      </c>
      <c r="I1409" s="8" t="n"/>
    </row>
    <row r="1410">
      <c r="A1410" s="4" t="n">
        <v>33834</v>
      </c>
      <c r="B1410" s="4" t="inlineStr">
        <is>
          <t>cost3mo-lay-lens-p02-platinum-gray-sn0600</t>
        </is>
      </c>
      <c r="C1410" s="4" t="inlineStr">
        <is>
          <t>W00031886A</t>
        </is>
      </c>
      <c r="D1410" s="6">
        <f>IF(F1410&gt;=5, F1410-5, IF(F1410&lt;5, 0, F1410))</f>
        <v/>
      </c>
      <c r="E1410">
        <f>VLOOKUP(B1410,[1]Namshi!$A:$B,2,0)</f>
        <v/>
      </c>
      <c r="F1410" s="4">
        <f>SUMIFS('Dubai Stock'!I:I,'Dubai Stock'!H:H,Final_UAE!B:B)</f>
        <v/>
      </c>
      <c r="H1410" s="8" t="e">
        <v>#N/A</v>
      </c>
      <c r="I1410" s="8" t="n"/>
    </row>
    <row r="1411">
      <c r="A1411" s="4" t="n">
        <v>33834</v>
      </c>
      <c r="B1411" s="4" t="inlineStr">
        <is>
          <t>clstdai-acu-omax-p90-sn0150</t>
        </is>
      </c>
      <c r="C1411" s="4" t="inlineStr">
        <is>
          <t>W00031886A</t>
        </is>
      </c>
      <c r="D1411" s="6">
        <f>IF(F1411&gt;=5, F1411-5, IF(F1411&lt;5, 0, F1411))</f>
        <v/>
      </c>
      <c r="E1411">
        <f>VLOOKUP(B1411,[1]Namshi!$A:$B,2,0)</f>
        <v/>
      </c>
      <c r="F1411" s="4">
        <f>SUMIFS('Dubai Stock'!I:I,'Dubai Stock'!H:H,Final_UAE!B:B)</f>
        <v/>
      </c>
      <c r="H1411" s="8" t="e">
        <v>#N/A</v>
      </c>
      <c r="I1411" s="8" t="n"/>
    </row>
    <row r="1412">
      <c r="A1412" s="4" t="n">
        <v>33834</v>
      </c>
      <c r="B1412" s="4" t="inlineStr">
        <is>
          <t>costdai-acu-dffr-p30-green-sn0850</t>
        </is>
      </c>
      <c r="C1412" s="4" t="inlineStr">
        <is>
          <t>W00031886A</t>
        </is>
      </c>
      <c r="D1412" s="6">
        <f>IF(F1412&gt;=5, F1412-5, IF(F1412&lt;5, 0, F1412))</f>
        <v/>
      </c>
      <c r="E1412">
        <f>VLOOKUP(B1412,[1]Namshi!$A:$B,2,0)</f>
        <v/>
      </c>
      <c r="F1412" s="4">
        <f>SUMIFS('Dubai Stock'!I:I,'Dubai Stock'!H:H,Final_UAE!B:B)</f>
        <v/>
      </c>
      <c r="H1412" s="8" t="e">
        <v>#N/A</v>
      </c>
      <c r="I1412" s="8" t="n"/>
    </row>
    <row r="1413">
      <c r="A1413" s="4" t="n">
        <v>33834</v>
      </c>
      <c r="B1413" s="4" t="inlineStr">
        <is>
          <t>clstdai-lay-cont-p10-dazzle-black-sn0275</t>
        </is>
      </c>
      <c r="C1413" s="4" t="inlineStr">
        <is>
          <t>W00031886A</t>
        </is>
      </c>
      <c r="D1413" s="6">
        <f>IF(F1413&gt;=5, F1413-5, IF(F1413&lt;5, 0, F1413))</f>
        <v/>
      </c>
      <c r="E1413">
        <f>VLOOKUP(B1413,[1]Namshi!$A:$B,2,0)</f>
        <v/>
      </c>
      <c r="F1413" s="4">
        <f>SUMIFS('Dubai Stock'!I:I,'Dubai Stock'!H:H,Final_UAE!B:B)</f>
        <v/>
      </c>
      <c r="H1413" s="8" t="e">
        <v>#N/A</v>
      </c>
      <c r="I1413" s="8" t="n"/>
    </row>
    <row r="1414">
      <c r="A1414" s="4" t="n">
        <v>33834</v>
      </c>
      <c r="B1414" s="4" t="inlineStr">
        <is>
          <t>su20101-30s-000232-0101-63</t>
        </is>
      </c>
      <c r="C1414" s="4" t="inlineStr">
        <is>
          <t>W00031886A</t>
        </is>
      </c>
      <c r="D1414" s="6">
        <f>IF(F1414&gt;=5, F1414-5, IF(F1414&lt;5, 0, F1414))</f>
        <v/>
      </c>
      <c r="E1414">
        <f>VLOOKUP(B1414,[1]Namshi!$A:$B,2,0)</f>
        <v/>
      </c>
      <c r="F1414" s="4">
        <f>SUMIFS('Dubai Stock'!I:I,'Dubai Stock'!H:H,Final_UAE!B:B)</f>
        <v/>
      </c>
      <c r="H1414" s="8" t="e">
        <v>#N/A</v>
      </c>
    </row>
    <row r="1415">
      <c r="A1415" s="4" t="n">
        <v>33834</v>
      </c>
      <c r="B1415" s="4" t="inlineStr">
        <is>
          <t>sw62304-30s-000492-2304-53</t>
        </is>
      </c>
      <c r="C1415" s="4" t="inlineStr">
        <is>
          <t>W00031886A</t>
        </is>
      </c>
      <c r="D1415" s="6">
        <f>IF(F1415&gt;=5, F1415-5, IF(F1415&lt;5, 0, F1415))</f>
        <v/>
      </c>
      <c r="E1415">
        <f>VLOOKUP(B1415,[1]Namshi!$A:$B,2,0)</f>
        <v/>
      </c>
      <c r="F1415" s="4">
        <f>SUMIFS('Dubai Stock'!I:I,'Dubai Stock'!H:H,Final_UAE!B:B)</f>
        <v/>
      </c>
      <c r="H1415" s="8" t="e">
        <v>#N/A</v>
      </c>
      <c r="I1415" s="8" t="n"/>
    </row>
    <row r="1416">
      <c r="A1416" s="4" t="n">
        <v>33834</v>
      </c>
      <c r="B1416" s="4" t="inlineStr">
        <is>
          <t>clstdai-btr-oned-p90-sn0650</t>
        </is>
      </c>
      <c r="C1416" s="4" t="inlineStr">
        <is>
          <t>W00031886A</t>
        </is>
      </c>
      <c r="D1416" s="6">
        <f>IF(F1416&gt;=5, F1416-5, IF(F1416&lt;5, 0, F1416))</f>
        <v/>
      </c>
      <c r="E1416">
        <f>VLOOKUP(B1416,[1]Namshi!$A:$B,2,0)</f>
        <v/>
      </c>
      <c r="F1416" s="4">
        <f>SUMIFS('Dubai Stock'!I:I,'Dubai Stock'!H:H,Final_UAE!B:B)</f>
        <v/>
      </c>
      <c r="H1416" s="8" t="e">
        <v>#N/A</v>
      </c>
      <c r="I1416" s="8" t="n"/>
    </row>
    <row r="1417">
      <c r="A1417" s="4" t="n">
        <v>33834</v>
      </c>
      <c r="B1417" s="4" t="inlineStr">
        <is>
          <t>costmon-ama-2023-p02-chai-sn0200</t>
        </is>
      </c>
      <c r="C1417" s="4" t="inlineStr">
        <is>
          <t>W00031886A</t>
        </is>
      </c>
      <c r="D1417" s="6">
        <f>IF(F1417&gt;=5, F1417-5, IF(F1417&lt;5, 0, F1417))</f>
        <v/>
      </c>
      <c r="E1417">
        <f>VLOOKUP(B1417,[1]Namshi!$A:$B,2,0)</f>
        <v/>
      </c>
      <c r="F1417" s="4">
        <f>SUMIFS('Dubai Stock'!I:I,'Dubai Stock'!H:H,Final_UAE!B:B)</f>
        <v/>
      </c>
      <c r="H1417" s="8" t="e">
        <v>#N/A</v>
      </c>
      <c r="I1417" s="8" t="n"/>
    </row>
    <row r="1418">
      <c r="A1418" s="4" t="n">
        <v>33834</v>
      </c>
      <c r="B1418" s="4" t="inlineStr">
        <is>
          <t>clstdai-lay-cont-p90-dazzle-brown-sn0350</t>
        </is>
      </c>
      <c r="C1418" s="4" t="inlineStr">
        <is>
          <t>W00031886A</t>
        </is>
      </c>
      <c r="D1418" s="6">
        <f>IF(F1418&gt;=5, F1418-5, IF(F1418&lt;5, 0, F1418))</f>
        <v/>
      </c>
      <c r="E1418">
        <f>VLOOKUP(B1418,[1]Namshi!$A:$B,2,0)</f>
        <v/>
      </c>
      <c r="F1418" s="4">
        <f>SUMIFS('Dubai Stock'!I:I,'Dubai Stock'!H:H,Final_UAE!B:B)</f>
        <v/>
      </c>
      <c r="H1418" s="8" t="e">
        <v>#N/A</v>
      </c>
      <c r="I1418" s="8" t="n"/>
    </row>
    <row r="1419">
      <c r="A1419" s="4" t="n">
        <v>33834</v>
      </c>
      <c r="B1419" s="4" t="inlineStr">
        <is>
          <t>clstdai-acu-dfna-p30-sn0600</t>
        </is>
      </c>
      <c r="C1419" s="4" t="inlineStr">
        <is>
          <t>W00031886A</t>
        </is>
      </c>
      <c r="D1419" s="6">
        <f>IF(F1419&gt;=5, F1419-5, IF(F1419&lt;5, 0, F1419))</f>
        <v/>
      </c>
      <c r="E1419">
        <f>VLOOKUP(B1419,[1]Namshi!$A:$B,2,0)</f>
        <v/>
      </c>
      <c r="F1419" s="4">
        <f>SUMIFS('Dubai Stock'!I:I,'Dubai Stock'!H:H,Final_UAE!B:B)</f>
        <v/>
      </c>
      <c r="H1419" s="8" t="e">
        <v>#N/A</v>
      </c>
      <c r="I1419" s="8" t="n"/>
    </row>
    <row r="1420">
      <c r="A1420" s="4" t="n">
        <v>33834</v>
      </c>
      <c r="B1420" s="4" t="inlineStr">
        <is>
          <t>clstdai-acu-mois-p30-sn0800</t>
        </is>
      </c>
      <c r="C1420" s="4" t="inlineStr">
        <is>
          <t>W00031886A</t>
        </is>
      </c>
      <c r="D1420" s="6">
        <f>IF(F1420&gt;=5, F1420-5, IF(F1420&lt;5, 0, F1420))</f>
        <v/>
      </c>
      <c r="E1420">
        <f>VLOOKUP(B1420,[1]Namshi!$A:$B,2,0)</f>
        <v/>
      </c>
      <c r="F1420" s="4">
        <f>SUMIFS('Dubai Stock'!I:I,'Dubai Stock'!H:H,Final_UAE!B:B)</f>
        <v/>
      </c>
      <c r="H1420" s="8" t="e">
        <v>#N/A</v>
      </c>
      <c r="I1420" s="8" t="n"/>
    </row>
    <row r="1421">
      <c r="A1421" s="4" t="n">
        <v>33834</v>
      </c>
      <c r="B1421" s="4" t="inlineStr">
        <is>
          <t>costdai-ama-dail-p10-sugar-sn0375</t>
        </is>
      </c>
      <c r="C1421" s="4" t="inlineStr">
        <is>
          <t>W00031886A</t>
        </is>
      </c>
      <c r="D1421" s="6">
        <f>IF(F1421&gt;=5, F1421-5, IF(F1421&lt;5, 0, F1421))</f>
        <v/>
      </c>
      <c r="E1421">
        <f>VLOOKUP(B1421,[1]Namshi!$A:$B,2,0)</f>
        <v/>
      </c>
      <c r="F1421" s="4">
        <f>SUMIFS('Dubai Stock'!I:I,'Dubai Stock'!H:H,Final_UAE!B:B)</f>
        <v/>
      </c>
      <c r="H1421" s="8" t="e">
        <v>#N/A</v>
      </c>
      <c r="I1421" s="8" t="n"/>
    </row>
    <row r="1422">
      <c r="A1422" s="4" t="n">
        <v>33834</v>
      </c>
      <c r="B1422" s="4" t="inlineStr">
        <is>
          <t>costdai-ama-dail-p10-moon-stone-sn0125</t>
        </is>
      </c>
      <c r="C1422" s="4" t="inlineStr">
        <is>
          <t>W00031886A</t>
        </is>
      </c>
      <c r="D1422" s="6">
        <f>IF(F1422&gt;=5, F1422-5, IF(F1422&lt;5, 0, F1422))</f>
        <v/>
      </c>
      <c r="E1422">
        <f>VLOOKUP(B1422,[1]Namshi!$A:$B,2,0)</f>
        <v/>
      </c>
      <c r="F1422" s="4">
        <f>SUMIFS('Dubai Stock'!I:I,'Dubai Stock'!H:H,Final_UAE!B:B)</f>
        <v/>
      </c>
      <c r="H1422" s="8" t="e">
        <v>#N/A</v>
      </c>
      <c r="I1422" s="8" t="n"/>
    </row>
    <row r="1423">
      <c r="A1423" s="4" t="n">
        <v>33834</v>
      </c>
      <c r="B1423" s="4" t="inlineStr">
        <is>
          <t>clstdai-acu-oasy-p30-sp0125</t>
        </is>
      </c>
      <c r="C1423" s="4" t="inlineStr">
        <is>
          <t>W00031886A</t>
        </is>
      </c>
      <c r="D1423" s="6">
        <f>IF(F1423&gt;=5, F1423-5, IF(F1423&lt;5, 0, F1423))</f>
        <v/>
      </c>
      <c r="E1423">
        <f>VLOOKUP(B1423,[1]Namshi!$A:$B,2,0)</f>
        <v/>
      </c>
      <c r="F1423" s="4">
        <f>SUMIFS('Dubai Stock'!I:I,'Dubai Stock'!H:H,Final_UAE!B:B)</f>
        <v/>
      </c>
      <c r="H1423" s="8" t="e">
        <v>#N/A</v>
      </c>
      <c r="I1423" s="8" t="n"/>
    </row>
    <row r="1424">
      <c r="A1424" s="4" t="n">
        <v>33834</v>
      </c>
      <c r="B1424" s="4" t="inlineStr">
        <is>
          <t>clstdai-acu-dfna-p30-sn0150</t>
        </is>
      </c>
      <c r="C1424" s="4" t="inlineStr">
        <is>
          <t>W00031886A</t>
        </is>
      </c>
      <c r="D1424" s="6">
        <f>IF(F1424&gt;=5, F1424-5, IF(F1424&lt;5, 0, F1424))</f>
        <v/>
      </c>
      <c r="E1424">
        <f>VLOOKUP(B1424,[1]Namshi!$A:$B,2,0)</f>
        <v/>
      </c>
      <c r="F1424" s="4">
        <f>SUMIFS('Dubai Stock'!I:I,'Dubai Stock'!H:H,Final_UAE!B:B)</f>
        <v/>
      </c>
      <c r="H1424" s="8" t="e">
        <v>#N/A</v>
      </c>
      <c r="I1424" s="8" t="n"/>
    </row>
    <row r="1425">
      <c r="A1425" s="4" t="n">
        <v>33834</v>
      </c>
      <c r="B1425" s="4" t="inlineStr">
        <is>
          <t>costdai-acu-dffr-p30-grayzel-sn0450</t>
        </is>
      </c>
      <c r="C1425" s="4" t="inlineStr">
        <is>
          <t>W00031886A</t>
        </is>
      </c>
      <c r="D1425" s="6">
        <f>IF(F1425&gt;=5, F1425-5, IF(F1425&lt;5, 0, F1425))</f>
        <v/>
      </c>
      <c r="E1425">
        <f>VLOOKUP(B1425,[1]Namshi!$A:$B,2,0)</f>
        <v/>
      </c>
      <c r="F1425" s="4">
        <f>SUMIFS('Dubai Stock'!I:I,'Dubai Stock'!H:H,Final_UAE!B:B)</f>
        <v/>
      </c>
      <c r="H1425" s="8" t="e">
        <v>#N/A</v>
      </c>
      <c r="I1425" s="8" t="n"/>
    </row>
    <row r="1426">
      <c r="A1426" s="4" t="n">
        <v>33834</v>
      </c>
      <c r="B1426" s="4" t="inlineStr">
        <is>
          <t>clstdai-sof-sdai-p90-sn0075</t>
        </is>
      </c>
      <c r="C1426" s="4" t="inlineStr">
        <is>
          <t>W00031886A</t>
        </is>
      </c>
      <c r="D1426" s="6">
        <f>IF(F1426&gt;=5, F1426-5, IF(F1426&lt;5, 0, F1426))</f>
        <v/>
      </c>
      <c r="E1426">
        <f>VLOOKUP(B1426,[1]Namshi!$A:$B,2,0)</f>
        <v/>
      </c>
      <c r="F1426" s="4">
        <f>SUMIFS('Dubai Stock'!I:I,'Dubai Stock'!H:H,Final_UAE!B:B)</f>
        <v/>
      </c>
      <c r="H1426" s="8" t="e">
        <v>#N/A</v>
      </c>
      <c r="I1426" s="8" t="n"/>
    </row>
    <row r="1427">
      <c r="A1427" s="4" t="n">
        <v>33834</v>
      </c>
      <c r="B1427" s="4" t="inlineStr">
        <is>
          <t>clstdai-dai-tot1-p30-sn0200</t>
        </is>
      </c>
      <c r="C1427" s="4" t="inlineStr">
        <is>
          <t>W00031886A</t>
        </is>
      </c>
      <c r="D1427" s="6">
        <f>IF(F1427&gt;=5, F1427-5, IF(F1427&lt;5, 0, F1427))</f>
        <v/>
      </c>
      <c r="E1427">
        <f>VLOOKUP(B1427,[1]Namshi!$A:$B,2,0)</f>
        <v/>
      </c>
      <c r="F1427" s="4">
        <f>SUMIFS('Dubai Stock'!I:I,'Dubai Stock'!H:H,Final_UAE!B:B)</f>
        <v/>
      </c>
      <c r="H1427" s="8" t="e">
        <v>#N/A</v>
      </c>
      <c r="I1427" s="8" t="n"/>
    </row>
    <row r="1428">
      <c r="A1428" s="4" t="n">
        <v>33834</v>
      </c>
      <c r="B1428" s="4" t="inlineStr">
        <is>
          <t>cost3mo-lay-2020-p02-ash-gray-sn0075</t>
        </is>
      </c>
      <c r="C1428" s="4" t="inlineStr">
        <is>
          <t>W00031886A</t>
        </is>
      </c>
      <c r="D1428" s="6">
        <f>IF(F1428&gt;=5, F1428-5, IF(F1428&lt;5, 0, F1428))</f>
        <v/>
      </c>
      <c r="E1428">
        <f>VLOOKUP(B1428,[1]Namshi!$A:$B,2,0)</f>
        <v/>
      </c>
      <c r="F1428" s="4">
        <f>SUMIFS('Dubai Stock'!I:I,'Dubai Stock'!H:H,Final_UAE!B:B)</f>
        <v/>
      </c>
      <c r="H1428" s="8" t="e">
        <v>#N/A</v>
      </c>
      <c r="I1428" s="8" t="n"/>
    </row>
    <row r="1429">
      <c r="A1429" s="4" t="n">
        <v>33834</v>
      </c>
      <c r="B1429" s="4" t="inlineStr">
        <is>
          <t>costdai-acu-dffr-p30-green-sn0200</t>
        </is>
      </c>
      <c r="C1429" s="4" t="inlineStr">
        <is>
          <t>W00031886A</t>
        </is>
      </c>
      <c r="D1429" s="6">
        <f>IF(F1429&gt;=5, F1429-5, IF(F1429&lt;5, 0, F1429))</f>
        <v/>
      </c>
      <c r="E1429">
        <f>VLOOKUP(B1429,[1]Namshi!$A:$B,2,0)</f>
        <v/>
      </c>
      <c r="F1429" s="4">
        <f>SUMIFS('Dubai Stock'!I:I,'Dubai Stock'!H:H,Final_UAE!B:B)</f>
        <v/>
      </c>
      <c r="H1429" s="8" t="e">
        <v>#N/A</v>
      </c>
      <c r="I1429" s="8" t="n"/>
    </row>
    <row r="1430">
      <c r="A1430" s="4" t="n">
        <v>33834</v>
      </c>
      <c r="B1430" s="4" t="inlineStr">
        <is>
          <t>clstdai-lay-cont-p10-dazzle-brown-sn0650</t>
        </is>
      </c>
      <c r="C1430" s="4" t="inlineStr">
        <is>
          <t>W00031886A</t>
        </is>
      </c>
      <c r="D1430" s="6">
        <f>IF(F1430&gt;=5, F1430-5, IF(F1430&lt;5, 0, F1430))</f>
        <v/>
      </c>
      <c r="E1430">
        <f>VLOOKUP(B1430,[1]Namshi!$A:$B,2,0)</f>
        <v/>
      </c>
      <c r="F1430" s="4">
        <f>SUMIFS('Dubai Stock'!I:I,'Dubai Stock'!H:H,Final_UAE!B:B)</f>
        <v/>
      </c>
      <c r="H1430" s="8" t="e">
        <v>#N/A</v>
      </c>
      <c r="I1430" s="8" t="n"/>
    </row>
    <row r="1431">
      <c r="A1431" s="4" t="n">
        <v>33834</v>
      </c>
      <c r="B1431" s="4" t="inlineStr">
        <is>
          <t>clstdai-acu-mois-p120-sn0550</t>
        </is>
      </c>
      <c r="C1431" s="4" t="inlineStr">
        <is>
          <t>W00031886A</t>
        </is>
      </c>
      <c r="D1431" s="6">
        <f>IF(F1431&gt;=5, F1431-5, IF(F1431&lt;5, 0, F1431))</f>
        <v/>
      </c>
      <c r="E1431">
        <f>VLOOKUP(B1431,[1]Namshi!$A:$B,2,0)</f>
        <v/>
      </c>
      <c r="F1431" s="4">
        <f>SUMIFS('Dubai Stock'!I:I,'Dubai Stock'!H:H,Final_UAE!B:B)</f>
        <v/>
      </c>
      <c r="H1431" s="8" t="e">
        <v>#N/A</v>
      </c>
      <c r="I1431" s="8" t="n"/>
    </row>
    <row r="1432">
      <c r="A1432" s="4" t="n">
        <v>33834</v>
      </c>
      <c r="B1432" s="4" t="inlineStr">
        <is>
          <t>clstdai-dai-aqua-p30-sn0350</t>
        </is>
      </c>
      <c r="C1432" s="4" t="inlineStr">
        <is>
          <t>W00031886A</t>
        </is>
      </c>
      <c r="D1432" s="6">
        <f>IF(F1432&gt;=5, F1432-5, IF(F1432&lt;5, 0, F1432))</f>
        <v/>
      </c>
      <c r="E1432">
        <f>VLOOKUP(B1432,[1]Namshi!$A:$B,2,0)</f>
        <v/>
      </c>
      <c r="F1432" s="4">
        <f>SUMIFS('Dubai Stock'!I:I,'Dubai Stock'!H:H,Final_UAE!B:B)</f>
        <v/>
      </c>
      <c r="H1432" s="8" t="e">
        <v>#N/A</v>
      </c>
      <c r="I1432" s="8" t="n"/>
    </row>
    <row r="1433">
      <c r="A1433" s="4" t="n">
        <v>33834</v>
      </c>
      <c r="B1433" s="4" t="inlineStr">
        <is>
          <t>clstdai-acu-oasy-p60-sn0275</t>
        </is>
      </c>
      <c r="C1433" s="4" t="inlineStr">
        <is>
          <t>W00031886A</t>
        </is>
      </c>
      <c r="D1433" s="6">
        <f>IF(F1433&gt;=5, F1433-5, IF(F1433&lt;5, 0, F1433))</f>
        <v/>
      </c>
      <c r="E1433">
        <f>VLOOKUP(B1433,[1]Namshi!$A:$B,2,0)</f>
        <v/>
      </c>
      <c r="F1433" s="4">
        <f>SUMIFS('Dubai Stock'!I:I,'Dubai Stock'!H:H,Final_UAE!B:B)</f>
        <v/>
      </c>
      <c r="H1433" s="8" t="e">
        <v>#N/A</v>
      </c>
      <c r="I1433" s="8" t="n"/>
    </row>
    <row r="1434">
      <c r="A1434" s="4" t="n">
        <v>33834</v>
      </c>
      <c r="B1434" s="4" t="inlineStr">
        <is>
          <t>clstdai-acu-mois-p90-sn0750</t>
        </is>
      </c>
      <c r="C1434" s="4" t="inlineStr">
        <is>
          <t>W00031886A</t>
        </is>
      </c>
      <c r="D1434" s="6">
        <f>IF(F1434&gt;=5, F1434-5, IF(F1434&lt;5, 0, F1434))</f>
        <v/>
      </c>
      <c r="E1434">
        <f>VLOOKUP(B1434,[1]Namshi!$A:$B,2,0)</f>
        <v/>
      </c>
      <c r="F1434" s="4">
        <f>SUMIFS('Dubai Stock'!I:I,'Dubai Stock'!H:H,Final_UAE!B:B)</f>
        <v/>
      </c>
      <c r="H1434" s="8" t="e">
        <v>#N/A</v>
      </c>
      <c r="I1434" s="8" t="n"/>
    </row>
    <row r="1435">
      <c r="A1435" s="4" t="n">
        <v>33834</v>
      </c>
      <c r="B1435" s="4" t="inlineStr">
        <is>
          <t>cost3mo-lay-lens-p02-crystal-brown-sn0250</t>
        </is>
      </c>
      <c r="C1435" s="4" t="inlineStr">
        <is>
          <t>W00031886A</t>
        </is>
      </c>
      <c r="D1435" s="6">
        <f>IF(F1435&gt;=5, F1435-5, IF(F1435&lt;5, 0, F1435))</f>
        <v/>
      </c>
      <c r="E1435">
        <f>VLOOKUP(B1435,[1]Namshi!$A:$B,2,0)</f>
        <v/>
      </c>
      <c r="F1435" s="4">
        <f>SUMIFS('Dubai Stock'!I:I,'Dubai Stock'!H:H,Final_UAE!B:B)</f>
        <v/>
      </c>
      <c r="H1435" s="8" t="e">
        <v>#N/A</v>
      </c>
      <c r="I1435" s="8" t="n"/>
    </row>
    <row r="1436">
      <c r="A1436" s="4" t="n">
        <v>33834</v>
      </c>
      <c r="B1436" s="4" t="inlineStr">
        <is>
          <t>clstmon-eve-prom-p06-sn0650</t>
        </is>
      </c>
      <c r="C1436" s="4" t="inlineStr">
        <is>
          <t>W00031886A</t>
        </is>
      </c>
      <c r="D1436" s="6">
        <f>IF(F1436&gt;=5, F1436-5, IF(F1436&lt;5, 0, F1436))</f>
        <v/>
      </c>
      <c r="E1436">
        <f>VLOOKUP(B1436,[1]Namshi!$A:$B,2,0)</f>
        <v/>
      </c>
      <c r="F1436" s="4">
        <f>SUMIFS('Dubai Stock'!I:I,'Dubai Stock'!H:H,Final_UAE!B:B)</f>
        <v/>
      </c>
      <c r="H1436" s="8" t="n">
        <v>212</v>
      </c>
      <c r="I1436" s="8" t="n">
        <v>111.3</v>
      </c>
    </row>
    <row r="1437">
      <c r="A1437" s="4" t="n">
        <v>33834</v>
      </c>
      <c r="B1437" s="4" t="inlineStr">
        <is>
          <t>costdai-acu-dffr-p30-hazel-sn0100</t>
        </is>
      </c>
      <c r="C1437" s="4" t="inlineStr">
        <is>
          <t>W00031886A</t>
        </is>
      </c>
      <c r="D1437" s="6">
        <f>IF(F1437&gt;=5, F1437-5, IF(F1437&lt;5, 0, F1437))</f>
        <v/>
      </c>
      <c r="E1437">
        <f>VLOOKUP(B1437,[1]Namshi!$A:$B,2,0)</f>
        <v/>
      </c>
      <c r="F1437" s="4">
        <f>SUMIFS('Dubai Stock'!I:I,'Dubai Stock'!H:H,Final_UAE!B:B)</f>
        <v/>
      </c>
      <c r="H1437" s="8" t="e">
        <v>#N/A</v>
      </c>
      <c r="I1437" s="8" t="n"/>
    </row>
    <row r="1438">
      <c r="A1438" s="4" t="n">
        <v>33834</v>
      </c>
      <c r="B1438" s="4" t="inlineStr">
        <is>
          <t>fm20418-spc-000563-0400-49</t>
        </is>
      </c>
      <c r="C1438" s="4" t="inlineStr">
        <is>
          <t>W00031886A</t>
        </is>
      </c>
      <c r="D1438" s="6">
        <f>IF(F1438&gt;=5, F1438-5, IF(F1438&lt;5, 0, F1438))</f>
        <v/>
      </c>
      <c r="E1438">
        <f>VLOOKUP(B1438,[1]Namshi!$A:$B,2,0)</f>
        <v/>
      </c>
      <c r="F1438" s="4">
        <f>SUMIFS('Dubai Stock'!I:I,'Dubai Stock'!H:H,Final_UAE!B:B)</f>
        <v/>
      </c>
      <c r="H1438" s="8" t="e">
        <v>#N/A</v>
      </c>
      <c r="I1438" s="8" t="n"/>
    </row>
    <row r="1439">
      <c r="A1439" s="4" t="n">
        <v>33834</v>
      </c>
      <c r="B1439" s="4" t="inlineStr">
        <is>
          <t>costdai-ama-dail-p10-shadow-sn0150</t>
        </is>
      </c>
      <c r="C1439" s="4" t="inlineStr">
        <is>
          <t>W00031886A</t>
        </is>
      </c>
      <c r="D1439" s="6">
        <f>IF(F1439&gt;=5, F1439-5, IF(F1439&lt;5, 0, F1439))</f>
        <v/>
      </c>
      <c r="E1439">
        <f>VLOOKUP(B1439,[1]Namshi!$A:$B,2,0)</f>
        <v/>
      </c>
      <c r="F1439" s="4">
        <f>SUMIFS('Dubai Stock'!I:I,'Dubai Stock'!H:H,Final_UAE!B:B)</f>
        <v/>
      </c>
      <c r="H1439" s="8" t="e">
        <v>#N/A</v>
      </c>
      <c r="I1439" s="8" t="n"/>
    </row>
    <row r="1440">
      <c r="A1440" s="4" t="n">
        <v>33834</v>
      </c>
      <c r="B1440" s="4" t="inlineStr">
        <is>
          <t>clstdai-bme-1day-p30-sn0700</t>
        </is>
      </c>
      <c r="C1440" s="4" t="inlineStr">
        <is>
          <t>W00031886A</t>
        </is>
      </c>
      <c r="D1440" s="6">
        <f>IF(F1440&gt;=5, F1440-5, IF(F1440&lt;5, 0, F1440))</f>
        <v/>
      </c>
      <c r="E1440">
        <f>VLOOKUP(B1440,[1]Namshi!$A:$B,2,0)</f>
        <v/>
      </c>
      <c r="F1440" s="4">
        <f>SUMIFS('Dubai Stock'!I:I,'Dubai Stock'!H:H,Final_UAE!B:B)</f>
        <v/>
      </c>
      <c r="H1440" s="8" t="e">
        <v>#N/A</v>
      </c>
      <c r="I1440" s="8" t="n"/>
    </row>
    <row r="1441">
      <c r="A1441" s="4" t="n">
        <v>33834</v>
      </c>
      <c r="B1441" s="4" t="inlineStr">
        <is>
          <t>fw70718-spc-000748-0718-54</t>
        </is>
      </c>
      <c r="C1441" s="4" t="inlineStr">
        <is>
          <t>W00031886A</t>
        </is>
      </c>
      <c r="D1441" s="6">
        <f>IF(F1441&gt;=5, F1441-5, IF(F1441&lt;5, 0, F1441))</f>
        <v/>
      </c>
      <c r="E1441">
        <f>VLOOKUP(B1441,[1]Namshi!$A:$B,2,0)</f>
        <v/>
      </c>
      <c r="F1441" s="4">
        <f>SUMIFS('Dubai Stock'!I:I,'Dubai Stock'!H:H,Final_UAE!B:B)</f>
        <v/>
      </c>
      <c r="H1441" s="8" t="e">
        <v>#N/A</v>
      </c>
      <c r="I1441" s="8" t="n"/>
    </row>
    <row r="1442">
      <c r="A1442" s="4" t="n">
        <v>33834</v>
      </c>
      <c r="B1442" s="4" t="inlineStr">
        <is>
          <t>clstdai-eve-pure-p90-sn0375</t>
        </is>
      </c>
      <c r="C1442" s="4" t="inlineStr">
        <is>
          <t>W00031886A</t>
        </is>
      </c>
      <c r="D1442" s="6">
        <f>IF(F1442&gt;=5, F1442-5, IF(F1442&lt;5, 0, F1442))</f>
        <v/>
      </c>
      <c r="E1442">
        <f>VLOOKUP(B1442,[1]Namshi!$A:$B,2,0)</f>
        <v/>
      </c>
      <c r="F1442" s="4">
        <f>SUMIFS('Dubai Stock'!I:I,'Dubai Stock'!H:H,Final_UAE!B:B)</f>
        <v/>
      </c>
      <c r="H1442" s="8" t="n">
        <v>529</v>
      </c>
      <c r="I1442" s="8" t="n">
        <v>259</v>
      </c>
    </row>
    <row r="1443">
      <c r="A1443" s="4" t="n">
        <v>33834</v>
      </c>
      <c r="B1443" s="4" t="inlineStr">
        <is>
          <t>clstbiw-acu-0002-p12-sn0400</t>
        </is>
      </c>
      <c r="C1443" s="4" t="inlineStr">
        <is>
          <t>W00031886A</t>
        </is>
      </c>
      <c r="D1443" s="6">
        <f>IF(F1443&gt;=5, F1443-5, IF(F1443&lt;5, 0, F1443))</f>
        <v/>
      </c>
      <c r="E1443">
        <f>VLOOKUP(B1443,[1]Namshi!$A:$B,2,0)</f>
        <v/>
      </c>
      <c r="F1443" s="4">
        <f>SUMIFS('Dubai Stock'!I:I,'Dubai Stock'!H:H,Final_UAE!B:B)</f>
        <v/>
      </c>
      <c r="H1443" s="8" t="e">
        <v>#N/A</v>
      </c>
      <c r="I1443" s="8" t="n"/>
    </row>
    <row r="1444">
      <c r="A1444" s="4" t="n">
        <v>33834</v>
      </c>
      <c r="B1444" s="4" t="inlineStr">
        <is>
          <t>cost3mo-lay-2021-p02-skye-blue-sn0225</t>
        </is>
      </c>
      <c r="C1444" s="4" t="inlineStr">
        <is>
          <t>W00031886A</t>
        </is>
      </c>
      <c r="D1444" s="6">
        <f>IF(F1444&gt;=5, F1444-5, IF(F1444&lt;5, 0, F1444))</f>
        <v/>
      </c>
      <c r="E1444">
        <f>VLOOKUP(B1444,[1]Namshi!$A:$B,2,0)</f>
        <v/>
      </c>
      <c r="F1444" s="4">
        <f>SUMIFS('Dubai Stock'!I:I,'Dubai Stock'!H:H,Final_UAE!B:B)</f>
        <v/>
      </c>
      <c r="H1444" s="8" t="e">
        <v>#N/A</v>
      </c>
      <c r="I1444" s="8" t="n"/>
    </row>
    <row r="1445">
      <c r="A1445" s="4" t="n">
        <v>33834</v>
      </c>
      <c r="B1445" s="4" t="inlineStr">
        <is>
          <t>sw40107-bla-000341-0107-55</t>
        </is>
      </c>
      <c r="C1445" s="4" t="inlineStr">
        <is>
          <t>W00031886A</t>
        </is>
      </c>
      <c r="D1445" s="6">
        <f>IF(F1445&gt;=5, F1445-5, IF(F1445&lt;5, 0, F1445))</f>
        <v/>
      </c>
      <c r="E1445">
        <f>VLOOKUP(B1445,[1]Namshi!$A:$B,2,0)</f>
        <v/>
      </c>
      <c r="F1445" s="4">
        <f>SUMIFS('Dubai Stock'!I:I,'Dubai Stock'!H:H,Final_UAE!B:B)</f>
        <v/>
      </c>
      <c r="H1445" s="8" t="e">
        <v>#N/A</v>
      </c>
    </row>
    <row r="1446">
      <c r="A1446" s="4" t="n">
        <v>33834</v>
      </c>
      <c r="B1446" s="4" t="inlineStr">
        <is>
          <t>sacchan-30s-chain108-blk-inu-black</t>
        </is>
      </c>
      <c r="C1446" s="4" t="inlineStr">
        <is>
          <t>W00031886A</t>
        </is>
      </c>
      <c r="D1446" s="6">
        <f>IF(F1446&gt;=5, F1446-5, IF(F1446&lt;5, 0, F1446))</f>
        <v/>
      </c>
      <c r="E1446">
        <f>VLOOKUP(B1446,[1]Namshi!$A:$B,2,0)</f>
        <v/>
      </c>
      <c r="F1446" s="4">
        <f>SUMIFS('Dubai Stock'!I:I,'Dubai Stock'!H:H,Final_UAE!B:B)</f>
        <v/>
      </c>
      <c r="H1446" s="8" t="e">
        <v>#N/A</v>
      </c>
      <c r="I1446" s="8" t="n"/>
    </row>
    <row r="1447">
      <c r="A1447" s="4" t="n">
        <v>33834</v>
      </c>
      <c r="B1447" s="4" t="inlineStr">
        <is>
          <t>sw100104-30s-000497-0104-53</t>
        </is>
      </c>
      <c r="C1447" s="4" t="inlineStr">
        <is>
          <t>W00031886A</t>
        </is>
      </c>
      <c r="D1447" s="6">
        <f>IF(F1447&gt;=5, F1447-5, IF(F1447&lt;5, 0, F1447))</f>
        <v/>
      </c>
      <c r="E1447">
        <f>VLOOKUP(B1447,[1]Namshi!$A:$B,2,0)</f>
        <v/>
      </c>
      <c r="F1447" s="4">
        <f>SUMIFS('Dubai Stock'!I:I,'Dubai Stock'!H:H,Final_UAE!B:B)</f>
        <v/>
      </c>
      <c r="H1447" s="8" t="e">
        <v>#N/A</v>
      </c>
      <c r="I1447" s="8" t="n"/>
    </row>
    <row r="1448">
      <c r="A1448" s="4" t="n">
        <v>33834</v>
      </c>
      <c r="B1448" s="4" t="inlineStr">
        <is>
          <t>sw50107-bla-000306-0107-52</t>
        </is>
      </c>
      <c r="C1448" s="4" t="inlineStr">
        <is>
          <t>W00031886A</t>
        </is>
      </c>
      <c r="D1448" s="6">
        <f>IF(F1448&gt;=5, F1448-5, IF(F1448&lt;5, 0, F1448))</f>
        <v/>
      </c>
      <c r="E1448">
        <f>VLOOKUP(B1448,[1]Namshi!$A:$B,2,0)</f>
        <v/>
      </c>
      <c r="F1448" s="4">
        <f>SUMIFS('Dubai Stock'!I:I,'Dubai Stock'!H:H,Final_UAE!B:B)</f>
        <v/>
      </c>
      <c r="H1448" s="8" t="e">
        <v>#N/A</v>
      </c>
    </row>
    <row r="1449">
      <c r="A1449" s="4" t="n">
        <v>33834</v>
      </c>
      <c r="B1449" s="4" t="inlineStr">
        <is>
          <t>clstdai-eve-elit-p90-sn0450</t>
        </is>
      </c>
      <c r="C1449" s="4" t="inlineStr">
        <is>
          <t>W00031886A</t>
        </is>
      </c>
      <c r="D1449" s="6">
        <f>IF(F1449&gt;=5, F1449-5, IF(F1449&lt;5, 0, F1449))</f>
        <v/>
      </c>
      <c r="E1449">
        <f>VLOOKUP(B1449,[1]Namshi!$A:$B,2,0)</f>
        <v/>
      </c>
      <c r="F1449" s="4">
        <f>SUMIFS('Dubai Stock'!I:I,'Dubai Stock'!H:H,Final_UAE!B:B)</f>
        <v/>
      </c>
      <c r="H1449" s="8" t="n">
        <v>729</v>
      </c>
      <c r="I1449" s="8" t="n">
        <v>357</v>
      </c>
    </row>
    <row r="1450">
      <c r="A1450" s="4" t="n">
        <v>33834</v>
      </c>
      <c r="B1450" s="4" t="inlineStr">
        <is>
          <t>costdai-ama-dail-p10-shadow-sn0475</t>
        </is>
      </c>
      <c r="C1450" s="4" t="inlineStr">
        <is>
          <t>W00031886A</t>
        </is>
      </c>
      <c r="D1450" s="6">
        <f>IF(F1450&gt;=5, F1450-5, IF(F1450&lt;5, 0, F1450))</f>
        <v/>
      </c>
      <c r="E1450">
        <f>VLOOKUP(B1450,[1]Namshi!$A:$B,2,0)</f>
        <v/>
      </c>
      <c r="F1450" s="4">
        <f>SUMIFS('Dubai Stock'!I:I,'Dubai Stock'!H:H,Final_UAE!B:B)</f>
        <v/>
      </c>
      <c r="H1450" s="8" t="e">
        <v>#N/A</v>
      </c>
      <c r="I1450" s="8" t="n"/>
    </row>
    <row r="1451">
      <c r="A1451" s="4" t="n">
        <v>33834</v>
      </c>
      <c r="B1451" s="4" t="inlineStr">
        <is>
          <t>clstdai-dai-tot1-p30-sn0850</t>
        </is>
      </c>
      <c r="C1451" s="4" t="inlineStr">
        <is>
          <t>W00031886A</t>
        </is>
      </c>
      <c r="D1451" s="6">
        <f>IF(F1451&gt;=5, F1451-5, IF(F1451&lt;5, 0, F1451))</f>
        <v/>
      </c>
      <c r="E1451">
        <f>VLOOKUP(B1451,[1]Namshi!$A:$B,2,0)</f>
        <v/>
      </c>
      <c r="F1451" s="4">
        <f>SUMIFS('Dubai Stock'!I:I,'Dubai Stock'!H:H,Final_UAE!B:B)</f>
        <v/>
      </c>
      <c r="H1451" s="8" t="e">
        <v>#N/A</v>
      </c>
      <c r="I1451" s="8" t="n"/>
    </row>
    <row r="1452">
      <c r="A1452" s="4" t="n">
        <v>33834</v>
      </c>
      <c r="B1452" s="4" t="inlineStr">
        <is>
          <t>fw42418-spc-000699-2418-51</t>
        </is>
      </c>
      <c r="C1452" s="4" t="inlineStr">
        <is>
          <t>W00031886A</t>
        </is>
      </c>
      <c r="D1452" s="6">
        <f>IF(F1452&gt;=5, F1452-5, IF(F1452&lt;5, 0, F1452))</f>
        <v/>
      </c>
      <c r="E1452">
        <f>VLOOKUP(B1452,[1]Namshi!$A:$B,2,0)</f>
        <v/>
      </c>
      <c r="F1452" s="4">
        <f>SUMIFS('Dubai Stock'!I:I,'Dubai Stock'!H:H,Final_UAE!B:B)</f>
        <v/>
      </c>
      <c r="H1452" s="8" t="e">
        <v>#N/A</v>
      </c>
      <c r="I1452" s="8" t="n"/>
    </row>
    <row r="1453">
      <c r="A1453" s="4" t="n">
        <v>33834</v>
      </c>
      <c r="B1453" s="4" t="inlineStr">
        <is>
          <t>clstdai-lay-cont-p60-dazzle-black-sn0575</t>
        </is>
      </c>
      <c r="C1453" s="4" t="inlineStr">
        <is>
          <t>W00031886A</t>
        </is>
      </c>
      <c r="D1453" s="6">
        <f>IF(F1453&gt;=5, F1453-5, IF(F1453&lt;5, 0, F1453))</f>
        <v/>
      </c>
      <c r="E1453">
        <f>VLOOKUP(B1453,[1]Namshi!$A:$B,2,0)</f>
        <v/>
      </c>
      <c r="F1453" s="4">
        <f>SUMIFS('Dubai Stock'!I:I,'Dubai Stock'!H:H,Final_UAE!B:B)</f>
        <v/>
      </c>
      <c r="H1453" s="8" t="e">
        <v>#N/A</v>
      </c>
      <c r="I1453" s="8" t="n"/>
    </row>
    <row r="1454">
      <c r="A1454" s="4" t="n">
        <v>33834</v>
      </c>
      <c r="B1454" s="4" t="inlineStr">
        <is>
          <t>clstdai-acu-dfna-p30-sn0300</t>
        </is>
      </c>
      <c r="C1454" s="4" t="inlineStr">
        <is>
          <t>W00031886A</t>
        </is>
      </c>
      <c r="D1454" s="6">
        <f>IF(F1454&gt;=5, F1454-5, IF(F1454&lt;5, 0, F1454))</f>
        <v/>
      </c>
      <c r="E1454">
        <f>VLOOKUP(B1454,[1]Namshi!$A:$B,2,0)</f>
        <v/>
      </c>
      <c r="F1454" s="4">
        <f>SUMIFS('Dubai Stock'!I:I,'Dubai Stock'!H:H,Final_UAE!B:B)</f>
        <v/>
      </c>
      <c r="H1454" s="8" t="e">
        <v>#N/A</v>
      </c>
      <c r="I1454" s="8" t="n"/>
    </row>
    <row r="1455">
      <c r="A1455" s="4" t="n">
        <v>33834</v>
      </c>
      <c r="B1455" s="4" t="inlineStr">
        <is>
          <t>fu72418-spc-000832-2418-50</t>
        </is>
      </c>
      <c r="C1455" s="4" t="inlineStr">
        <is>
          <t>W00031886A</t>
        </is>
      </c>
      <c r="D1455" s="6">
        <f>IF(F1455&gt;=5, F1455-5, IF(F1455&lt;5, 0, F1455))</f>
        <v/>
      </c>
      <c r="E1455">
        <f>VLOOKUP(B1455,[1]Namshi!$A:$B,2,0)</f>
        <v/>
      </c>
      <c r="F1455" s="4">
        <f>SUMIFS('Dubai Stock'!I:I,'Dubai Stock'!H:H,Final_UAE!B:B)</f>
        <v/>
      </c>
      <c r="H1455" s="8" t="e">
        <v>#N/A</v>
      </c>
      <c r="I1455" s="8" t="n"/>
    </row>
    <row r="1456">
      <c r="A1456" s="4" t="n">
        <v>33834</v>
      </c>
      <c r="B1456" s="4" t="inlineStr">
        <is>
          <t>clstmon-ava-avai-p06-sn0225</t>
        </is>
      </c>
      <c r="C1456" s="4" t="inlineStr">
        <is>
          <t>W00031886A</t>
        </is>
      </c>
      <c r="D1456" s="6">
        <f>IF(F1456&gt;=5, F1456-5, IF(F1456&lt;5, 0, F1456))</f>
        <v/>
      </c>
      <c r="E1456">
        <f>VLOOKUP(B1456,[1]Namshi!$A:$B,2,0)</f>
        <v/>
      </c>
      <c r="F1456" s="4">
        <f>SUMIFS('Dubai Stock'!I:I,'Dubai Stock'!H:H,Final_UAE!B:B)</f>
        <v/>
      </c>
      <c r="H1456" s="8" t="e">
        <v>#N/A</v>
      </c>
      <c r="I1456" s="8" t="n"/>
    </row>
    <row r="1457">
      <c r="A1457" s="4" t="n">
        <v>33834</v>
      </c>
      <c r="B1457" s="4" t="inlineStr">
        <is>
          <t>clstdai-acu-oasy-p90-sn0175</t>
        </is>
      </c>
      <c r="C1457" s="4" t="inlineStr">
        <is>
          <t>W00031886A</t>
        </is>
      </c>
      <c r="D1457" s="6">
        <f>IF(F1457&gt;=5, F1457-5, IF(F1457&lt;5, 0, F1457))</f>
        <v/>
      </c>
      <c r="E1457">
        <f>VLOOKUP(B1457,[1]Namshi!$A:$B,2,0)</f>
        <v/>
      </c>
      <c r="F1457" s="4">
        <f>SUMIFS('Dubai Stock'!I:I,'Dubai Stock'!H:H,Final_UAE!B:B)</f>
        <v/>
      </c>
      <c r="H1457" s="8" t="e">
        <v>#N/A</v>
      </c>
      <c r="I1457" s="8" t="n"/>
    </row>
    <row r="1458">
      <c r="A1458" s="4" t="n">
        <v>33834</v>
      </c>
      <c r="B1458" s="4" t="inlineStr">
        <is>
          <t>clstdai-acu-oasy-p120-sn0075</t>
        </is>
      </c>
      <c r="C1458" s="4" t="inlineStr">
        <is>
          <t>W00031886A</t>
        </is>
      </c>
      <c r="D1458" s="6">
        <f>IF(F1458&gt;=5, F1458-5, IF(F1458&lt;5, 0, F1458))</f>
        <v/>
      </c>
      <c r="E1458">
        <f>VLOOKUP(B1458,[1]Namshi!$A:$B,2,0)</f>
        <v/>
      </c>
      <c r="F1458" s="4">
        <f>SUMIFS('Dubai Stock'!I:I,'Dubai Stock'!H:H,Final_UAE!B:B)</f>
        <v/>
      </c>
      <c r="H1458" s="8" t="e">
        <v>#N/A</v>
      </c>
      <c r="I1458" s="8" t="n"/>
    </row>
    <row r="1459">
      <c r="A1459" s="4" t="n">
        <v>33834</v>
      </c>
      <c r="B1459" s="4" t="inlineStr">
        <is>
          <t>clstdai-acu-mois-p120-sn0750</t>
        </is>
      </c>
      <c r="C1459" s="4" t="inlineStr">
        <is>
          <t>W00031886A</t>
        </is>
      </c>
      <c r="D1459" s="6">
        <f>IF(F1459&gt;=5, F1459-5, IF(F1459&lt;5, 0, F1459))</f>
        <v/>
      </c>
      <c r="E1459">
        <f>VLOOKUP(B1459,[1]Namshi!$A:$B,2,0)</f>
        <v/>
      </c>
      <c r="F1459" s="4">
        <f>SUMIFS('Dubai Stock'!I:I,'Dubai Stock'!H:H,Final_UAE!B:B)</f>
        <v/>
      </c>
      <c r="H1459" s="8" t="e">
        <v>#N/A</v>
      </c>
      <c r="I1459" s="8" t="n"/>
    </row>
    <row r="1460">
      <c r="A1460" s="4" t="n">
        <v>33834</v>
      </c>
      <c r="B1460" s="4" t="inlineStr">
        <is>
          <t>clstdai-lay-cont-p90-dazzle-black-sn0425</t>
        </is>
      </c>
      <c r="C1460" s="4" t="inlineStr">
        <is>
          <t>W00031886A</t>
        </is>
      </c>
      <c r="D1460" s="6">
        <f>IF(F1460&gt;=5, F1460-5, IF(F1460&lt;5, 0, F1460))</f>
        <v/>
      </c>
      <c r="E1460">
        <f>VLOOKUP(B1460,[1]Namshi!$A:$B,2,0)</f>
        <v/>
      </c>
      <c r="F1460" s="4">
        <f>SUMIFS('Dubai Stock'!I:I,'Dubai Stock'!H:H,Final_UAE!B:B)</f>
        <v/>
      </c>
      <c r="H1460" s="8" t="e">
        <v>#N/A</v>
      </c>
      <c r="I1460" s="8" t="n"/>
    </row>
    <row r="1461">
      <c r="A1461" s="4" t="n">
        <v>33834</v>
      </c>
      <c r="B1461" s="4" t="inlineStr">
        <is>
          <t>costmon-ama-2022-p02-dream-sn0900</t>
        </is>
      </c>
      <c r="C1461" s="4" t="inlineStr">
        <is>
          <t>W00031886A</t>
        </is>
      </c>
      <c r="D1461" s="6">
        <f>IF(F1461&gt;=5, F1461-5, IF(F1461&lt;5, 0, F1461))</f>
        <v/>
      </c>
      <c r="E1461">
        <f>VLOOKUP(B1461,[1]Namshi!$A:$B,2,0)</f>
        <v/>
      </c>
      <c r="F1461" s="4">
        <f>SUMIFS('Dubai Stock'!I:I,'Dubai Stock'!H:H,Final_UAE!B:B)</f>
        <v/>
      </c>
      <c r="H1461" s="8" t="e">
        <v>#N/A</v>
      </c>
      <c r="I1461" s="8" t="n"/>
    </row>
    <row r="1462">
      <c r="A1462" s="4" t="n">
        <v>33834</v>
      </c>
      <c r="B1462" s="4" t="inlineStr">
        <is>
          <t>clstbiw-acu-0002-p12-sn0475</t>
        </is>
      </c>
      <c r="C1462" s="4" t="inlineStr">
        <is>
          <t>W00031886A</t>
        </is>
      </c>
      <c r="D1462" s="6">
        <f>IF(F1462&gt;=5, F1462-5, IF(F1462&lt;5, 0, F1462))</f>
        <v/>
      </c>
      <c r="E1462">
        <f>VLOOKUP(B1462,[1]Namshi!$A:$B,2,0)</f>
        <v/>
      </c>
      <c r="F1462" s="4">
        <f>SUMIFS('Dubai Stock'!I:I,'Dubai Stock'!H:H,Final_UAE!B:B)</f>
        <v/>
      </c>
      <c r="H1462" s="8" t="e">
        <v>#N/A</v>
      </c>
      <c r="I1462" s="8" t="n"/>
    </row>
    <row r="1463">
      <c r="A1463" s="4" t="n">
        <v>33834</v>
      </c>
      <c r="B1463" s="4" t="inlineStr">
        <is>
          <t>clstdai-acu-dfrb-p30-sn0750</t>
        </is>
      </c>
      <c r="C1463" s="4" t="inlineStr">
        <is>
          <t>W00031886A</t>
        </is>
      </c>
      <c r="D1463" s="6">
        <f>IF(F1463&gt;=5, F1463-5, IF(F1463&lt;5, 0, F1463))</f>
        <v/>
      </c>
      <c r="E1463">
        <f>VLOOKUP(B1463,[1]Namshi!$A:$B,2,0)</f>
        <v/>
      </c>
      <c r="F1463" s="4">
        <f>SUMIFS('Dubai Stock'!I:I,'Dubai Stock'!H:H,Final_UAE!B:B)</f>
        <v/>
      </c>
      <c r="H1463" s="8" t="e">
        <v>#N/A</v>
      </c>
      <c r="I1463" s="8" t="n"/>
    </row>
    <row r="1464">
      <c r="A1464" s="4" t="n">
        <v>33834</v>
      </c>
      <c r="B1464" s="4" t="inlineStr">
        <is>
          <t>sw50107-bla-000226-0107-57</t>
        </is>
      </c>
      <c r="C1464" s="4" t="inlineStr">
        <is>
          <t>W00031886A</t>
        </is>
      </c>
      <c r="D1464" s="6">
        <f>IF(F1464&gt;=5, F1464-5, IF(F1464&lt;5, 0, F1464))</f>
        <v/>
      </c>
      <c r="E1464">
        <f>VLOOKUP(B1464,[1]Namshi!$A:$B,2,0)</f>
        <v/>
      </c>
      <c r="F1464" s="4">
        <f>SUMIFS('Dubai Stock'!I:I,'Dubai Stock'!H:H,Final_UAE!B:B)</f>
        <v/>
      </c>
      <c r="H1464" s="8" t="e">
        <v>#N/A</v>
      </c>
    </row>
    <row r="1465">
      <c r="A1465" s="4" t="n">
        <v>33834</v>
      </c>
      <c r="B1465" s="4" t="inlineStr">
        <is>
          <t>cltodai-acu-mois-p30-sn0225-cn0075-a010</t>
        </is>
      </c>
      <c r="C1465" s="4" t="inlineStr">
        <is>
          <t>W00031886A</t>
        </is>
      </c>
      <c r="D1465" s="6">
        <f>IF(F1465&gt;=5, F1465-5, IF(F1465&lt;5, 0, F1465))</f>
        <v/>
      </c>
      <c r="E1465">
        <f>VLOOKUP(B1465,[1]Namshi!$A:$B,2,0)</f>
        <v/>
      </c>
      <c r="F1465" s="4">
        <f>SUMIFS('Dubai Stock'!I:I,'Dubai Stock'!H:H,Final_UAE!B:B)</f>
        <v/>
      </c>
      <c r="H1465" s="8" t="e">
        <v>#N/A</v>
      </c>
      <c r="I1465" s="8" t="n"/>
    </row>
    <row r="1466">
      <c r="A1466" s="4" t="n">
        <v>33834</v>
      </c>
      <c r="B1466" s="4" t="inlineStr">
        <is>
          <t>su61202-bla-000326-1202-55</t>
        </is>
      </c>
      <c r="C1466" s="4" t="inlineStr">
        <is>
          <t>W00031886A</t>
        </is>
      </c>
      <c r="D1466" s="6">
        <f>IF(F1466&gt;=5, F1466-5, IF(F1466&lt;5, 0, F1466))</f>
        <v/>
      </c>
      <c r="E1466">
        <f>VLOOKUP(B1466,[1]Namshi!$A:$B,2,0)</f>
        <v/>
      </c>
      <c r="F1466" s="4">
        <f>SUMIFS('Dubai Stock'!I:I,'Dubai Stock'!H:H,Final_UAE!B:B)</f>
        <v/>
      </c>
      <c r="H1466" s="8" t="e">
        <v>#N/A</v>
      </c>
    </row>
    <row r="1467">
      <c r="A1467" s="4" t="n">
        <v>33834</v>
      </c>
      <c r="B1467" s="4" t="inlineStr">
        <is>
          <t>costdai-ama-dail-p10-amber-sn0600</t>
        </is>
      </c>
      <c r="C1467" s="4" t="inlineStr">
        <is>
          <t>W00031886A</t>
        </is>
      </c>
      <c r="D1467" s="6">
        <f>IF(F1467&gt;=5, F1467-5, IF(F1467&lt;5, 0, F1467))</f>
        <v/>
      </c>
      <c r="E1467">
        <f>VLOOKUP(B1467,[1]Namshi!$A:$B,2,0)</f>
        <v/>
      </c>
      <c r="F1467" s="4">
        <f>SUMIFS('Dubai Stock'!I:I,'Dubai Stock'!H:H,Final_UAE!B:B)</f>
        <v/>
      </c>
      <c r="H1467" s="8" t="e">
        <v>#N/A</v>
      </c>
      <c r="I1467" s="8" t="n"/>
    </row>
    <row r="1468">
      <c r="A1468" s="4" t="n">
        <v>33834</v>
      </c>
      <c r="B1468" s="4" t="inlineStr">
        <is>
          <t>clstbiw-acu-cle-p06-sn0050</t>
        </is>
      </c>
      <c r="C1468" s="4" t="inlineStr">
        <is>
          <t>W00031886A</t>
        </is>
      </c>
      <c r="D1468" s="6">
        <f>IF(F1468&gt;=5, F1468-5, IF(F1468&lt;5, 0, F1468))</f>
        <v/>
      </c>
      <c r="E1468">
        <f>VLOOKUP(B1468,[1]Namshi!$A:$B,2,0)</f>
        <v/>
      </c>
      <c r="F1468" s="4">
        <f>SUMIFS('Dubai Stock'!I:I,'Dubai Stock'!H:H,Final_UAE!B:B)</f>
        <v/>
      </c>
      <c r="H1468" s="8" t="e">
        <v>#N/A</v>
      </c>
      <c r="I1468" s="8" t="n"/>
    </row>
    <row r="1469">
      <c r="A1469" s="4" t="n">
        <v>33834</v>
      </c>
      <c r="B1469" s="4" t="inlineStr">
        <is>
          <t>clstdai-dai-tot1-p90-sn1000</t>
        </is>
      </c>
      <c r="C1469" s="4" t="inlineStr">
        <is>
          <t>W00031886A</t>
        </is>
      </c>
      <c r="D1469" s="6">
        <f>IF(F1469&gt;=5, F1469-5, IF(F1469&lt;5, 0, F1469))</f>
        <v/>
      </c>
      <c r="E1469">
        <f>VLOOKUP(B1469,[1]Namshi!$A:$B,2,0)</f>
        <v/>
      </c>
      <c r="F1469" s="4">
        <f>SUMIFS('Dubai Stock'!I:I,'Dubai Stock'!H:H,Final_UAE!B:B)</f>
        <v/>
      </c>
      <c r="H1469" s="8" t="e">
        <v>#N/A</v>
      </c>
      <c r="I1469" s="8" t="n"/>
    </row>
    <row r="1470">
      <c r="A1470" s="4" t="n">
        <v>33834</v>
      </c>
      <c r="B1470" s="4" t="inlineStr">
        <is>
          <t>sw30107-30s-000294-0101-52</t>
        </is>
      </c>
      <c r="C1470" s="4" t="inlineStr">
        <is>
          <t>W00031886A</t>
        </is>
      </c>
      <c r="D1470" s="6">
        <f>IF(F1470&gt;=5, F1470-5, IF(F1470&lt;5, 0, F1470))</f>
        <v/>
      </c>
      <c r="E1470">
        <f>VLOOKUP(B1470,[1]Namshi!$A:$B,2,0)</f>
        <v/>
      </c>
      <c r="F1470" s="4">
        <f>SUMIFS('Dubai Stock'!I:I,'Dubai Stock'!H:H,Final_UAE!B:B)</f>
        <v/>
      </c>
      <c r="H1470" s="8" t="e">
        <v>#N/A</v>
      </c>
    </row>
    <row r="1471">
      <c r="A1471" s="4" t="n">
        <v>33834</v>
      </c>
      <c r="B1471" s="4" t="inlineStr">
        <is>
          <t>clstdai-bme-1day-p90-sn0550</t>
        </is>
      </c>
      <c r="C1471" s="4" t="inlineStr">
        <is>
          <t>W00031886A</t>
        </is>
      </c>
      <c r="D1471" s="6">
        <f>IF(F1471&gt;=5, F1471-5, IF(F1471&lt;5, 0, F1471))</f>
        <v/>
      </c>
      <c r="E1471">
        <f>VLOOKUP(B1471,[1]Namshi!$A:$B,2,0)</f>
        <v/>
      </c>
      <c r="F1471" s="4">
        <f>SUMIFS('Dubai Stock'!I:I,'Dubai Stock'!H:H,Final_UAE!B:B)</f>
        <v/>
      </c>
      <c r="H1471" s="8" t="e">
        <v>#N/A</v>
      </c>
      <c r="I1471" s="8" t="n"/>
    </row>
    <row r="1472">
      <c r="A1472" s="4" t="n">
        <v>33834</v>
      </c>
      <c r="B1472" s="4" t="inlineStr">
        <is>
          <t>clstdai-acu-mois-p90-sn0700</t>
        </is>
      </c>
      <c r="C1472" s="4" t="inlineStr">
        <is>
          <t>W00031886A</t>
        </is>
      </c>
      <c r="D1472" s="6">
        <f>IF(F1472&gt;=5, F1472-5, IF(F1472&lt;5, 0, F1472))</f>
        <v/>
      </c>
      <c r="E1472">
        <f>VLOOKUP(B1472,[1]Namshi!$A:$B,2,0)</f>
        <v/>
      </c>
      <c r="F1472" s="4">
        <f>SUMIFS('Dubai Stock'!I:I,'Dubai Stock'!H:H,Final_UAE!B:B)</f>
        <v/>
      </c>
      <c r="H1472" s="8" t="e">
        <v>#N/A</v>
      </c>
      <c r="I1472" s="8" t="n"/>
    </row>
    <row r="1473">
      <c r="A1473" s="4" t="n">
        <v>33834</v>
      </c>
      <c r="B1473" s="4" t="inlineStr">
        <is>
          <t>sw32904-bla-000218-2904-57</t>
        </is>
      </c>
      <c r="C1473" s="4" t="inlineStr">
        <is>
          <t>W00031886A</t>
        </is>
      </c>
      <c r="D1473" s="6">
        <f>IF(F1473&gt;=5, F1473-5, IF(F1473&lt;5, 0, F1473))</f>
        <v/>
      </c>
      <c r="E1473">
        <f>VLOOKUP(B1473,[1]Namshi!$A:$B,2,0)</f>
        <v/>
      </c>
      <c r="F1473" s="4">
        <f>SUMIFS('Dubai Stock'!I:I,'Dubai Stock'!H:H,Final_UAE!B:B)</f>
        <v/>
      </c>
      <c r="H1473" s="8" t="e">
        <v>#N/A</v>
      </c>
    </row>
    <row r="1474">
      <c r="A1474" s="4" t="n">
        <v>33834</v>
      </c>
      <c r="B1474" s="4" t="inlineStr">
        <is>
          <t>cost3mo-lay-lens-p02-chocolate-brown-sn0325</t>
        </is>
      </c>
      <c r="C1474" s="4" t="inlineStr">
        <is>
          <t>W00031886A</t>
        </is>
      </c>
      <c r="D1474" s="6">
        <f>IF(F1474&gt;=5, F1474-5, IF(F1474&lt;5, 0, F1474))</f>
        <v/>
      </c>
      <c r="E1474">
        <f>VLOOKUP(B1474,[1]Namshi!$A:$B,2,0)</f>
        <v/>
      </c>
      <c r="F1474" s="4">
        <f>SUMIFS('Dubai Stock'!I:I,'Dubai Stock'!H:H,Final_UAE!B:B)</f>
        <v/>
      </c>
      <c r="H1474" s="8" t="e">
        <v>#N/A</v>
      </c>
      <c r="I1474" s="8" t="n"/>
    </row>
    <row r="1475">
      <c r="A1475" s="4" t="n">
        <v>33834</v>
      </c>
      <c r="B1475" s="4" t="inlineStr">
        <is>
          <t>fw22318-spc-000861-2318-49</t>
        </is>
      </c>
      <c r="C1475" s="4" t="inlineStr">
        <is>
          <t>W00031886A</t>
        </is>
      </c>
      <c r="D1475" s="6">
        <f>IF(F1475&gt;=5, F1475-5, IF(F1475&lt;5, 0, F1475))</f>
        <v/>
      </c>
      <c r="E1475">
        <f>VLOOKUP(B1475,[1]Namshi!$A:$B,2,0)</f>
        <v/>
      </c>
      <c r="F1475" s="4">
        <f>SUMIFS('Dubai Stock'!I:I,'Dubai Stock'!H:H,Final_UAE!B:B)</f>
        <v/>
      </c>
      <c r="H1475" s="8" t="e">
        <v>#N/A</v>
      </c>
      <c r="I1475" s="8" t="n"/>
    </row>
    <row r="1476">
      <c r="A1476" s="4" t="n">
        <v>33834</v>
      </c>
      <c r="B1476" s="4" t="inlineStr">
        <is>
          <t>cost3mo-lay-lens-p02-cloudy-gray-sn0100</t>
        </is>
      </c>
      <c r="C1476" s="4" t="inlineStr">
        <is>
          <t>W00031886A</t>
        </is>
      </c>
      <c r="D1476" s="6">
        <f>IF(F1476&gt;=5, F1476-5, IF(F1476&lt;5, 0, F1476))</f>
        <v/>
      </c>
      <c r="E1476">
        <f>VLOOKUP(B1476,[1]Namshi!$A:$B,2,0)</f>
        <v/>
      </c>
      <c r="F1476" s="4">
        <f>SUMIFS('Dubai Stock'!I:I,'Dubai Stock'!H:H,Final_UAE!B:B)</f>
        <v/>
      </c>
      <c r="H1476" s="8" t="e">
        <v>#N/A</v>
      </c>
      <c r="I1476" s="8" t="n"/>
    </row>
    <row r="1477">
      <c r="A1477" s="4" t="n">
        <v>33834</v>
      </c>
      <c r="B1477" s="4" t="inlineStr">
        <is>
          <t>cost3mo-lay-lens-p02-platinum-gray-sn0475</t>
        </is>
      </c>
      <c r="C1477" s="4" t="inlineStr">
        <is>
          <t>W00031886A</t>
        </is>
      </c>
      <c r="D1477" s="6">
        <f>IF(F1477&gt;=5, F1477-5, IF(F1477&lt;5, 0, F1477))</f>
        <v/>
      </c>
      <c r="E1477">
        <f>VLOOKUP(B1477,[1]Namshi!$A:$B,2,0)</f>
        <v/>
      </c>
      <c r="F1477" s="4">
        <f>SUMIFS('Dubai Stock'!I:I,'Dubai Stock'!H:H,Final_UAE!B:B)</f>
        <v/>
      </c>
      <c r="H1477" s="8" t="e">
        <v>#N/A</v>
      </c>
      <c r="I1477" s="8" t="n"/>
    </row>
    <row r="1478">
      <c r="A1478" s="4" t="n">
        <v>33834</v>
      </c>
      <c r="B1478" s="4" t="inlineStr">
        <is>
          <t>clstdai-acu-mois-p30-sp0575</t>
        </is>
      </c>
      <c r="C1478" s="4" t="inlineStr">
        <is>
          <t>W00031886A</t>
        </is>
      </c>
      <c r="D1478" s="6">
        <f>IF(F1478&gt;=5, F1478-5, IF(F1478&lt;5, 0, F1478))</f>
        <v/>
      </c>
      <c r="E1478">
        <f>VLOOKUP(B1478,[1]Namshi!$A:$B,2,0)</f>
        <v/>
      </c>
      <c r="F1478" s="4">
        <f>SUMIFS('Dubai Stock'!I:I,'Dubai Stock'!H:H,Final_UAE!B:B)</f>
        <v/>
      </c>
      <c r="H1478" s="8" t="e">
        <v>#N/A</v>
      </c>
      <c r="I1478" s="8" t="n"/>
    </row>
    <row r="1479">
      <c r="A1479" s="4" t="n">
        <v>33834</v>
      </c>
      <c r="B1479" s="4" t="inlineStr">
        <is>
          <t>clstdai-acu-oasy-p60-sn0150</t>
        </is>
      </c>
      <c r="C1479" s="4" t="inlineStr">
        <is>
          <t>W00031886A</t>
        </is>
      </c>
      <c r="D1479" s="6">
        <f>IF(F1479&gt;=5, F1479-5, IF(F1479&lt;5, 0, F1479))</f>
        <v/>
      </c>
      <c r="E1479">
        <f>VLOOKUP(B1479,[1]Namshi!$A:$B,2,0)</f>
        <v/>
      </c>
      <c r="F1479" s="4">
        <f>SUMIFS('Dubai Stock'!I:I,'Dubai Stock'!H:H,Final_UAE!B:B)</f>
        <v/>
      </c>
      <c r="H1479" s="8" t="e">
        <v>#N/A</v>
      </c>
      <c r="I1479" s="8" t="n"/>
    </row>
    <row r="1480">
      <c r="A1480" s="4" t="n">
        <v>33834</v>
      </c>
      <c r="B1480" s="4" t="inlineStr">
        <is>
          <t>costmon-ama-2022-p02-tiger-eyes-sn0300</t>
        </is>
      </c>
      <c r="C1480" s="4" t="inlineStr">
        <is>
          <t>W00031886A</t>
        </is>
      </c>
      <c r="D1480" s="6">
        <f>IF(F1480&gt;=5, F1480-5, IF(F1480&lt;5, 0, F1480))</f>
        <v/>
      </c>
      <c r="E1480">
        <f>VLOOKUP(B1480,[1]Namshi!$A:$B,2,0)</f>
        <v/>
      </c>
      <c r="F1480" s="4">
        <f>SUMIFS('Dubai Stock'!I:I,'Dubai Stock'!H:H,Final_UAE!B:B)</f>
        <v/>
      </c>
      <c r="H1480" s="8" t="e">
        <v>#N/A</v>
      </c>
      <c r="I1480" s="8" t="n"/>
    </row>
    <row r="1481">
      <c r="A1481" s="4" t="n">
        <v>33834</v>
      </c>
      <c r="B1481" s="4" t="inlineStr">
        <is>
          <t>clstdai-acu-oasy-p120-sn0175</t>
        </is>
      </c>
      <c r="C1481" s="4" t="inlineStr">
        <is>
          <t>W00031886A</t>
        </is>
      </c>
      <c r="D1481" s="6">
        <f>IF(F1481&gt;=5, F1481-5, IF(F1481&lt;5, 0, F1481))</f>
        <v/>
      </c>
      <c r="E1481">
        <f>VLOOKUP(B1481,[1]Namshi!$A:$B,2,0)</f>
        <v/>
      </c>
      <c r="F1481" s="4">
        <f>SUMIFS('Dubai Stock'!I:I,'Dubai Stock'!H:H,Final_UAE!B:B)</f>
        <v/>
      </c>
      <c r="H1481" s="8" t="e">
        <v>#N/A</v>
      </c>
      <c r="I1481" s="8" t="n"/>
    </row>
    <row r="1482">
      <c r="A1482" s="4" t="n">
        <v>33834</v>
      </c>
      <c r="B1482" s="4" t="inlineStr">
        <is>
          <t>costdai-acu-dffr-p30-hazel-sn0125</t>
        </is>
      </c>
      <c r="C1482" s="4" t="inlineStr">
        <is>
          <t>W00031886A</t>
        </is>
      </c>
      <c r="D1482" s="6">
        <f>IF(F1482&gt;=5, F1482-5, IF(F1482&lt;5, 0, F1482))</f>
        <v/>
      </c>
      <c r="E1482">
        <f>VLOOKUP(B1482,[1]Namshi!$A:$B,2,0)</f>
        <v/>
      </c>
      <c r="F1482" s="4">
        <f>SUMIFS('Dubai Stock'!I:I,'Dubai Stock'!H:H,Final_UAE!B:B)</f>
        <v/>
      </c>
      <c r="H1482" s="8" t="e">
        <v>#N/A</v>
      </c>
      <c r="I1482" s="8" t="n"/>
    </row>
    <row r="1483">
      <c r="A1483" s="4" t="n">
        <v>33834</v>
      </c>
      <c r="B1483" s="4" t="inlineStr">
        <is>
          <t>clstdai-dai-tot1-p90-sp0275</t>
        </is>
      </c>
      <c r="C1483" s="4" t="inlineStr">
        <is>
          <t>W00031886A</t>
        </is>
      </c>
      <c r="D1483" s="6">
        <f>IF(F1483&gt;=5, F1483-5, IF(F1483&lt;5, 0, F1483))</f>
        <v/>
      </c>
      <c r="E1483">
        <f>VLOOKUP(B1483,[1]Namshi!$A:$B,2,0)</f>
        <v/>
      </c>
      <c r="F1483" s="4">
        <f>SUMIFS('Dubai Stock'!I:I,'Dubai Stock'!H:H,Final_UAE!B:B)</f>
        <v/>
      </c>
      <c r="H1483" s="8" t="e">
        <v>#N/A</v>
      </c>
      <c r="I1483" s="8" t="n"/>
    </row>
    <row r="1484">
      <c r="A1484" s="4" t="n">
        <v>33834</v>
      </c>
      <c r="B1484" s="4" t="inlineStr">
        <is>
          <t>clstdai-sof-sdai-p90-sn0175</t>
        </is>
      </c>
      <c r="C1484" s="4" t="inlineStr">
        <is>
          <t>W00031886A</t>
        </is>
      </c>
      <c r="D1484" s="6">
        <f>IF(F1484&gt;=5, F1484-5, IF(F1484&lt;5, 0, F1484))</f>
        <v/>
      </c>
      <c r="E1484">
        <f>VLOOKUP(B1484,[1]Namshi!$A:$B,2,0)</f>
        <v/>
      </c>
      <c r="F1484" s="4">
        <f>SUMIFS('Dubai Stock'!I:I,'Dubai Stock'!H:H,Final_UAE!B:B)</f>
        <v/>
      </c>
      <c r="H1484" s="8" t="e">
        <v>#N/A</v>
      </c>
      <c r="I1484" s="8" t="n"/>
    </row>
    <row r="1485">
      <c r="A1485" s="4" t="n">
        <v>33834</v>
      </c>
      <c r="B1485" s="4" t="inlineStr">
        <is>
          <t>clstdai-dai-tot1-p30-sn0400</t>
        </is>
      </c>
      <c r="C1485" s="4" t="inlineStr">
        <is>
          <t>W00031886A</t>
        </is>
      </c>
      <c r="D1485" s="6">
        <f>IF(F1485&gt;=5, F1485-5, IF(F1485&lt;5, 0, F1485))</f>
        <v/>
      </c>
      <c r="E1485">
        <f>VLOOKUP(B1485,[1]Namshi!$A:$B,2,0)</f>
        <v/>
      </c>
      <c r="F1485" s="4">
        <f>SUMIFS('Dubai Stock'!I:I,'Dubai Stock'!H:H,Final_UAE!B:B)</f>
        <v/>
      </c>
      <c r="H1485" s="8" t="e">
        <v>#N/A</v>
      </c>
      <c r="I1485" s="8" t="n"/>
    </row>
    <row r="1486">
      <c r="A1486" s="4" t="n">
        <v>33834</v>
      </c>
      <c r="B1486" s="4" t="inlineStr">
        <is>
          <t>clstdai-cla-iris-p30-jazz-black-sn0550</t>
        </is>
      </c>
      <c r="C1486" s="4" t="inlineStr">
        <is>
          <t>W00031886A</t>
        </is>
      </c>
      <c r="D1486" s="6">
        <f>IF(F1486&gt;=5, F1486-5, IF(F1486&lt;5, 0, F1486))</f>
        <v/>
      </c>
      <c r="E1486">
        <f>VLOOKUP(B1486,[1]Namshi!$A:$B,2,0)</f>
        <v/>
      </c>
      <c r="F1486" s="4">
        <f>SUMIFS('Dubai Stock'!I:I,'Dubai Stock'!H:H,Final_UAE!B:B)</f>
        <v/>
      </c>
      <c r="H1486" s="8" t="e">
        <v>#N/A</v>
      </c>
      <c r="I1486" s="8" t="n"/>
    </row>
    <row r="1487">
      <c r="A1487" s="4" t="n">
        <v>33834</v>
      </c>
      <c r="B1487" s="4" t="inlineStr">
        <is>
          <t>clstmon-sof-sl59-p06-sn0475</t>
        </is>
      </c>
      <c r="C1487" s="4" t="inlineStr">
        <is>
          <t>W00031886A</t>
        </is>
      </c>
      <c r="D1487" s="6">
        <f>IF(F1487&gt;=5, F1487-5, IF(F1487&lt;5, 0, F1487))</f>
        <v/>
      </c>
      <c r="E1487">
        <f>VLOOKUP(B1487,[1]Namshi!$A:$B,2,0)</f>
        <v/>
      </c>
      <c r="F1487" s="4">
        <f>SUMIFS('Dubai Stock'!I:I,'Dubai Stock'!H:H,Final_UAE!B:B)</f>
        <v/>
      </c>
      <c r="H1487" s="8" t="e">
        <v>#N/A</v>
      </c>
      <c r="I1487" s="8" t="n"/>
    </row>
    <row r="1488">
      <c r="A1488" s="4" t="n">
        <v>33834</v>
      </c>
      <c r="B1488" s="4" t="inlineStr">
        <is>
          <t>cost3mo-cel-natu-p01-desert-grey-sp0200</t>
        </is>
      </c>
      <c r="C1488" s="4" t="inlineStr">
        <is>
          <t>W00031886A</t>
        </is>
      </c>
      <c r="D1488" s="6">
        <f>IF(F1488&gt;=5, F1488-5, IF(F1488&lt;5, 0, F1488))</f>
        <v/>
      </c>
      <c r="E1488">
        <f>VLOOKUP(B1488,[1]Namshi!$A:$B,2,0)</f>
        <v/>
      </c>
      <c r="F1488" s="4">
        <f>SUMIFS('Dubai Stock'!I:I,'Dubai Stock'!H:H,Final_UAE!B:B)</f>
        <v/>
      </c>
      <c r="H1488" s="8" t="e">
        <v>#N/A</v>
      </c>
      <c r="I1488" s="8" t="n"/>
    </row>
    <row r="1489">
      <c r="A1489" s="4" t="n">
        <v>33834</v>
      </c>
      <c r="B1489" s="4" t="inlineStr">
        <is>
          <t>clstdai-acu-omax-p90-sn0600</t>
        </is>
      </c>
      <c r="C1489" s="4" t="inlineStr">
        <is>
          <t>W00031886A</t>
        </is>
      </c>
      <c r="D1489" s="6">
        <f>IF(F1489&gt;=5, F1489-5, IF(F1489&lt;5, 0, F1489))</f>
        <v/>
      </c>
      <c r="E1489">
        <f>VLOOKUP(B1489,[1]Namshi!$A:$B,2,0)</f>
        <v/>
      </c>
      <c r="F1489" s="4">
        <f>SUMIFS('Dubai Stock'!I:I,'Dubai Stock'!H:H,Final_UAE!B:B)</f>
        <v/>
      </c>
      <c r="H1489" s="8" t="e">
        <v>#N/A</v>
      </c>
      <c r="I1489" s="8" t="n"/>
    </row>
    <row r="1490">
      <c r="A1490" s="4" t="n">
        <v>33834</v>
      </c>
      <c r="B1490" s="4" t="inlineStr">
        <is>
          <t>cost3mo-lay-2021-p02-skye-blue-sn0400</t>
        </is>
      </c>
      <c r="C1490" s="4" t="inlineStr">
        <is>
          <t>W00031886A</t>
        </is>
      </c>
      <c r="D1490" s="6">
        <f>IF(F1490&gt;=5, F1490-5, IF(F1490&lt;5, 0, F1490))</f>
        <v/>
      </c>
      <c r="E1490">
        <f>VLOOKUP(B1490,[1]Namshi!$A:$B,2,0)</f>
        <v/>
      </c>
      <c r="F1490" s="4">
        <f>SUMIFS('Dubai Stock'!I:I,'Dubai Stock'!H:H,Final_UAE!B:B)</f>
        <v/>
      </c>
      <c r="H1490" s="8" t="e">
        <v>#N/A</v>
      </c>
      <c r="I1490" s="8" t="n"/>
    </row>
    <row r="1491">
      <c r="A1491" s="4" t="n">
        <v>33834</v>
      </c>
      <c r="B1491" s="4" t="inlineStr">
        <is>
          <t>cost3mo-lay-2023-p02-selene-green-sn0600</t>
        </is>
      </c>
      <c r="C1491" s="4" t="inlineStr">
        <is>
          <t>W00031886A</t>
        </is>
      </c>
      <c r="D1491" s="6">
        <f>IF(F1491&gt;=5, F1491-5, IF(F1491&lt;5, 0, F1491))</f>
        <v/>
      </c>
      <c r="E1491">
        <f>VLOOKUP(B1491,[1]Namshi!$A:$B,2,0)</f>
        <v/>
      </c>
      <c r="F1491" s="4">
        <f>SUMIFS('Dubai Stock'!I:I,'Dubai Stock'!H:H,Final_UAE!B:B)</f>
        <v/>
      </c>
      <c r="H1491" s="8" t="e">
        <v>#N/A</v>
      </c>
      <c r="I1491" s="8" t="n"/>
    </row>
    <row r="1492">
      <c r="A1492" s="4" t="n">
        <v>33834</v>
      </c>
      <c r="B1492" s="4" t="inlineStr">
        <is>
          <t>fc51118-bab-00559-1118d-45</t>
        </is>
      </c>
      <c r="C1492" s="4" t="inlineStr">
        <is>
          <t>W00031886A</t>
        </is>
      </c>
      <c r="D1492" s="6">
        <f>IF(F1492&gt;=5, F1492-5, IF(F1492&lt;5, 0, F1492))</f>
        <v/>
      </c>
      <c r="E1492">
        <f>VLOOKUP(B1492,[1]Namshi!$A:$B,2,0)</f>
        <v/>
      </c>
      <c r="F1492" s="4">
        <f>SUMIFS('Dubai Stock'!I:I,'Dubai Stock'!H:H,Final_UAE!B:B)</f>
        <v/>
      </c>
      <c r="H1492" s="8" t="e">
        <v>#N/A</v>
      </c>
      <c r="I1492" s="8" t="n"/>
    </row>
    <row r="1493">
      <c r="A1493" s="4" t="n">
        <v>33834</v>
      </c>
      <c r="B1493" s="4" t="inlineStr">
        <is>
          <t>clstdai-dai-aqua-p90-sn0575</t>
        </is>
      </c>
      <c r="C1493" s="4" t="inlineStr">
        <is>
          <t>W00031886A</t>
        </is>
      </c>
      <c r="D1493" s="6">
        <f>IF(F1493&gt;=5, F1493-5, IF(F1493&lt;5, 0, F1493))</f>
        <v/>
      </c>
      <c r="E1493">
        <f>VLOOKUP(B1493,[1]Namshi!$A:$B,2,0)</f>
        <v/>
      </c>
      <c r="F1493" s="4">
        <f>SUMIFS('Dubai Stock'!I:I,'Dubai Stock'!H:H,Final_UAE!B:B)</f>
        <v/>
      </c>
      <c r="H1493" s="8" t="e">
        <v>#N/A</v>
      </c>
      <c r="I1493" s="8" t="n"/>
    </row>
    <row r="1494">
      <c r="A1494" s="4" t="n">
        <v>33834</v>
      </c>
      <c r="B1494" s="4" t="inlineStr">
        <is>
          <t>clstdai-acu-mois-p90-sn0125</t>
        </is>
      </c>
      <c r="C1494" s="4" t="inlineStr">
        <is>
          <t>W00031886A</t>
        </is>
      </c>
      <c r="D1494" s="6">
        <f>IF(F1494&gt;=5, F1494-5, IF(F1494&lt;5, 0, F1494))</f>
        <v/>
      </c>
      <c r="E1494">
        <f>VLOOKUP(B1494,[1]Namshi!$A:$B,2,0)</f>
        <v/>
      </c>
      <c r="F1494" s="4">
        <f>SUMIFS('Dubai Stock'!I:I,'Dubai Stock'!H:H,Final_UAE!B:B)</f>
        <v/>
      </c>
      <c r="H1494" s="8" t="e">
        <v>#N/A</v>
      </c>
      <c r="I1494" s="8" t="n"/>
    </row>
    <row r="1495">
      <c r="A1495" s="4" t="n">
        <v>33834</v>
      </c>
      <c r="B1495" s="4" t="inlineStr">
        <is>
          <t>sm11207-30s-000456-1207-57</t>
        </is>
      </c>
      <c r="C1495" s="4" t="inlineStr">
        <is>
          <t>W00031886A</t>
        </is>
      </c>
      <c r="D1495" s="6">
        <f>IF(F1495&gt;=5, F1495-5, IF(F1495&lt;5, 0, F1495))</f>
        <v/>
      </c>
      <c r="E1495">
        <f>VLOOKUP(B1495,[1]Namshi!$A:$B,2,0)</f>
        <v/>
      </c>
      <c r="F1495" s="4">
        <f>SUMIFS('Dubai Stock'!I:I,'Dubai Stock'!H:H,Final_UAE!B:B)</f>
        <v/>
      </c>
      <c r="H1495" s="8" t="e">
        <v>#N/A</v>
      </c>
    </row>
    <row r="1496">
      <c r="A1496" s="4" t="n">
        <v>33834</v>
      </c>
      <c r="B1496" s="4" t="inlineStr">
        <is>
          <t>clstdai-eve-pure-p30-sn0750</t>
        </is>
      </c>
      <c r="C1496" s="4" t="inlineStr">
        <is>
          <t>W00031886A</t>
        </is>
      </c>
      <c r="D1496" s="6">
        <f>IF(F1496&gt;=5, F1496-5, IF(F1496&lt;5, 0, F1496))</f>
        <v/>
      </c>
      <c r="E1496">
        <f>VLOOKUP(B1496,[1]Namshi!$A:$B,2,0)</f>
        <v/>
      </c>
      <c r="F1496" s="4">
        <f>SUMIFS('Dubai Stock'!I:I,'Dubai Stock'!H:H,Final_UAE!B:B)</f>
        <v/>
      </c>
      <c r="H1496" s="8" t="n">
        <v>186</v>
      </c>
      <c r="I1496" s="8" t="n">
        <v>104.3</v>
      </c>
    </row>
    <row r="1497">
      <c r="A1497" s="4" t="n">
        <v>33834</v>
      </c>
      <c r="B1497" s="4" t="inlineStr">
        <is>
          <t>costmon-ama-lens-p02-mocca-sn0400</t>
        </is>
      </c>
      <c r="C1497" s="4" t="inlineStr">
        <is>
          <t>W00031886A</t>
        </is>
      </c>
      <c r="D1497" s="6">
        <f>IF(F1497&gt;=5, F1497-5, IF(F1497&lt;5, 0, F1497))</f>
        <v/>
      </c>
      <c r="E1497">
        <f>VLOOKUP(B1497,[1]Namshi!$A:$B,2,0)</f>
        <v/>
      </c>
      <c r="F1497" s="4">
        <f>SUMIFS('Dubai Stock'!I:I,'Dubai Stock'!H:H,Final_UAE!B:B)</f>
        <v/>
      </c>
      <c r="H1497" s="8" t="e">
        <v>#N/A</v>
      </c>
      <c r="I1497" s="8" t="n"/>
    </row>
    <row r="1498">
      <c r="A1498" s="4" t="n">
        <v>33834</v>
      </c>
      <c r="B1498" s="4" t="inlineStr">
        <is>
          <t>costmon-ama-2020-p02-pure-hazel-sn0225</t>
        </is>
      </c>
      <c r="C1498" s="4" t="inlineStr">
        <is>
          <t>W00031886A</t>
        </is>
      </c>
      <c r="D1498" s="6">
        <f>IF(F1498&gt;=5, F1498-5, IF(F1498&lt;5, 0, F1498))</f>
        <v/>
      </c>
      <c r="E1498">
        <f>VLOOKUP(B1498,[1]Namshi!$A:$B,2,0)</f>
        <v/>
      </c>
      <c r="F1498" s="4">
        <f>SUMIFS('Dubai Stock'!I:I,'Dubai Stock'!H:H,Final_UAE!B:B)</f>
        <v/>
      </c>
      <c r="H1498" s="8" t="e">
        <v>#N/A</v>
      </c>
      <c r="I1498" s="8" t="n"/>
    </row>
    <row r="1499">
      <c r="A1499" s="4" t="n">
        <v>33834</v>
      </c>
      <c r="B1499" s="4" t="inlineStr">
        <is>
          <t>cost3mo-lay-2021-p02-willow-green-sn0250</t>
        </is>
      </c>
      <c r="C1499" s="4" t="inlineStr">
        <is>
          <t>W00031886A</t>
        </is>
      </c>
      <c r="D1499" s="6">
        <f>IF(F1499&gt;=5, F1499-5, IF(F1499&lt;5, 0, F1499))</f>
        <v/>
      </c>
      <c r="E1499">
        <f>VLOOKUP(B1499,[1]Namshi!$A:$B,2,0)</f>
        <v/>
      </c>
      <c r="F1499" s="4">
        <f>SUMIFS('Dubai Stock'!I:I,'Dubai Stock'!H:H,Final_UAE!B:B)</f>
        <v/>
      </c>
      <c r="H1499" s="8" t="e">
        <v>#N/A</v>
      </c>
      <c r="I1499" s="8" t="n"/>
    </row>
    <row r="1500">
      <c r="A1500" s="4" t="n">
        <v>33834</v>
      </c>
      <c r="B1500" s="4" t="inlineStr">
        <is>
          <t>cost3mo-lay-2021-p02-stardust-gray-sn0200</t>
        </is>
      </c>
      <c r="C1500" s="4" t="inlineStr">
        <is>
          <t>W00031886A</t>
        </is>
      </c>
      <c r="D1500" s="6">
        <f>IF(F1500&gt;=5, F1500-5, IF(F1500&lt;5, 0, F1500))</f>
        <v/>
      </c>
      <c r="E1500">
        <f>VLOOKUP(B1500,[1]Namshi!$A:$B,2,0)</f>
        <v/>
      </c>
      <c r="F1500" s="4">
        <f>SUMIFS('Dubai Stock'!I:I,'Dubai Stock'!H:H,Final_UAE!B:B)</f>
        <v/>
      </c>
      <c r="H1500" s="8" t="e">
        <v>#N/A</v>
      </c>
      <c r="I1500" s="8" t="n"/>
    </row>
    <row r="1501">
      <c r="A1501" s="4" t="n">
        <v>33834</v>
      </c>
      <c r="B1501" s="4" t="inlineStr">
        <is>
          <t>clstdai-btr-oned-p90-sn0700</t>
        </is>
      </c>
      <c r="C1501" s="4" t="inlineStr">
        <is>
          <t>W00031886A</t>
        </is>
      </c>
      <c r="D1501" s="6">
        <f>IF(F1501&gt;=5, F1501-5, IF(F1501&lt;5, 0, F1501))</f>
        <v/>
      </c>
      <c r="E1501">
        <f>VLOOKUP(B1501,[1]Namshi!$A:$B,2,0)</f>
        <v/>
      </c>
      <c r="F1501" s="4">
        <f>SUMIFS('Dubai Stock'!I:I,'Dubai Stock'!H:H,Final_UAE!B:B)</f>
        <v/>
      </c>
      <c r="H1501" s="8" t="e">
        <v>#N/A</v>
      </c>
      <c r="I1501" s="8" t="n"/>
    </row>
    <row r="1502">
      <c r="A1502" s="4" t="n">
        <v>33834</v>
      </c>
      <c r="B1502" s="4" t="inlineStr">
        <is>
          <t>su60507-bla-000326-0507-55</t>
        </is>
      </c>
      <c r="C1502" s="4" t="inlineStr">
        <is>
          <t>W00031886A</t>
        </is>
      </c>
      <c r="D1502" s="6">
        <f>IF(F1502&gt;=5, F1502-5, IF(F1502&lt;5, 0, F1502))</f>
        <v/>
      </c>
      <c r="E1502">
        <f>VLOOKUP(B1502,[1]Namshi!$A:$B,2,0)</f>
        <v/>
      </c>
      <c r="F1502" s="4">
        <f>SUMIFS('Dubai Stock'!I:I,'Dubai Stock'!H:H,Final_UAE!B:B)</f>
        <v/>
      </c>
      <c r="H1502" s="8" t="e">
        <v>#N/A</v>
      </c>
    </row>
    <row r="1503">
      <c r="A1503" s="4" t="n">
        <v>33834</v>
      </c>
      <c r="B1503" s="4" t="inlineStr">
        <is>
          <t>cost3mo-cel-natu-p01-light-grey-sp0100</t>
        </is>
      </c>
      <c r="C1503" s="4" t="inlineStr">
        <is>
          <t>W00031886A</t>
        </is>
      </c>
      <c r="D1503" s="6">
        <f>IF(F1503&gt;=5, F1503-5, IF(F1503&lt;5, 0, F1503))</f>
        <v/>
      </c>
      <c r="E1503">
        <f>VLOOKUP(B1503,[1]Namshi!$A:$B,2,0)</f>
        <v/>
      </c>
      <c r="F1503" s="4">
        <f>SUMIFS('Dubai Stock'!I:I,'Dubai Stock'!H:H,Final_UAE!B:B)</f>
        <v/>
      </c>
      <c r="H1503" s="8" t="e">
        <v>#N/A</v>
      </c>
      <c r="I1503" s="8" t="n"/>
    </row>
    <row r="1504">
      <c r="A1504" s="4" t="n">
        <v>33834</v>
      </c>
      <c r="B1504" s="4" t="inlineStr">
        <is>
          <t>sm100707-bla-000336-0707-54</t>
        </is>
      </c>
      <c r="C1504" s="4" t="inlineStr">
        <is>
          <t>W00031886A</t>
        </is>
      </c>
      <c r="D1504" s="6">
        <f>IF(F1504&gt;=5, F1504-5, IF(F1504&lt;5, 0, F1504))</f>
        <v/>
      </c>
      <c r="E1504">
        <f>VLOOKUP(B1504,[1]Namshi!$A:$B,2,0)</f>
        <v/>
      </c>
      <c r="F1504" s="4">
        <f>SUMIFS('Dubai Stock'!I:I,'Dubai Stock'!H:H,Final_UAE!B:B)</f>
        <v/>
      </c>
      <c r="H1504" s="8" t="e">
        <v>#N/A</v>
      </c>
    </row>
    <row r="1505">
      <c r="A1505" s="4" t="n">
        <v>33834</v>
      </c>
      <c r="B1505" s="4" t="inlineStr">
        <is>
          <t>clstdai-dai-tot1-p30-sn0275</t>
        </is>
      </c>
      <c r="C1505" s="4" t="inlineStr">
        <is>
          <t>W00031886A</t>
        </is>
      </c>
      <c r="D1505" s="6">
        <f>IF(F1505&gt;=5, F1505-5, IF(F1505&lt;5, 0, F1505))</f>
        <v/>
      </c>
      <c r="E1505">
        <f>VLOOKUP(B1505,[1]Namshi!$A:$B,2,0)</f>
        <v/>
      </c>
      <c r="F1505" s="4">
        <f>SUMIFS('Dubai Stock'!I:I,'Dubai Stock'!H:H,Final_UAE!B:B)</f>
        <v/>
      </c>
      <c r="H1505" s="8" t="e">
        <v>#N/A</v>
      </c>
      <c r="I1505" s="8" t="n"/>
    </row>
    <row r="1506">
      <c r="A1506" s="4" t="n">
        <v>33834</v>
      </c>
      <c r="B1506" s="4" t="inlineStr">
        <is>
          <t>cost3mo-lay-2021-p02-willow-green-sn0100</t>
        </is>
      </c>
      <c r="C1506" s="4" t="inlineStr">
        <is>
          <t>W00031886A</t>
        </is>
      </c>
      <c r="D1506" s="6">
        <f>IF(F1506&gt;=5, F1506-5, IF(F1506&lt;5, 0, F1506))</f>
        <v/>
      </c>
      <c r="E1506">
        <f>VLOOKUP(B1506,[1]Namshi!$A:$B,2,0)</f>
        <v/>
      </c>
      <c r="F1506" s="4">
        <f>SUMIFS('Dubai Stock'!I:I,'Dubai Stock'!H:H,Final_UAE!B:B)</f>
        <v/>
      </c>
      <c r="H1506" s="8" t="e">
        <v>#N/A</v>
      </c>
      <c r="I1506" s="8" t="n"/>
    </row>
    <row r="1507">
      <c r="A1507" s="4" t="n">
        <v>33834</v>
      </c>
      <c r="B1507" s="4" t="inlineStr">
        <is>
          <t>sw70507-bla-000247-2907-59</t>
        </is>
      </c>
      <c r="C1507" s="4" t="inlineStr">
        <is>
          <t>W00031886A</t>
        </is>
      </c>
      <c r="D1507" s="6">
        <f>IF(F1507&gt;=5, F1507-5, IF(F1507&lt;5, 0, F1507))</f>
        <v/>
      </c>
      <c r="E1507">
        <f>VLOOKUP(B1507,[1]Namshi!$A:$B,2,0)</f>
        <v/>
      </c>
      <c r="F1507" s="4">
        <f>SUMIFS('Dubai Stock'!I:I,'Dubai Stock'!H:H,Final_UAE!B:B)</f>
        <v/>
      </c>
      <c r="H1507" s="8" t="e">
        <v>#N/A</v>
      </c>
    </row>
    <row r="1508">
      <c r="A1508" s="4" t="n">
        <v>33834</v>
      </c>
      <c r="B1508" s="4" t="inlineStr">
        <is>
          <t>clstdai-acu-dfrb-p30-sn0600</t>
        </is>
      </c>
      <c r="C1508" s="4" t="inlineStr">
        <is>
          <t>W00031886A</t>
        </is>
      </c>
      <c r="D1508" s="6">
        <f>IF(F1508&gt;=5, F1508-5, IF(F1508&lt;5, 0, F1508))</f>
        <v/>
      </c>
      <c r="E1508">
        <f>VLOOKUP(B1508,[1]Namshi!$A:$B,2,0)</f>
        <v/>
      </c>
      <c r="F1508" s="4">
        <f>SUMIFS('Dubai Stock'!I:I,'Dubai Stock'!H:H,Final_UAE!B:B)</f>
        <v/>
      </c>
      <c r="H1508" s="8" t="e">
        <v>#N/A</v>
      </c>
      <c r="I1508" s="8" t="n"/>
    </row>
    <row r="1509">
      <c r="A1509" s="4" t="n">
        <v>33834</v>
      </c>
      <c r="B1509" s="4" t="inlineStr">
        <is>
          <t>clstdai-dai-aqua-p90-sp0550</t>
        </is>
      </c>
      <c r="C1509" s="4" t="inlineStr">
        <is>
          <t>W00031886A</t>
        </is>
      </c>
      <c r="D1509" s="6">
        <f>IF(F1509&gt;=5, F1509-5, IF(F1509&lt;5, 0, F1509))</f>
        <v/>
      </c>
      <c r="E1509">
        <f>VLOOKUP(B1509,[1]Namshi!$A:$B,2,0)</f>
        <v/>
      </c>
      <c r="F1509" s="4">
        <f>SUMIFS('Dubai Stock'!I:I,'Dubai Stock'!H:H,Final_UAE!B:B)</f>
        <v/>
      </c>
      <c r="H1509" s="8" t="e">
        <v>#N/A</v>
      </c>
      <c r="I1509" s="8" t="n"/>
    </row>
    <row r="1510">
      <c r="A1510" s="4" t="n">
        <v>33834</v>
      </c>
      <c r="B1510" s="4" t="inlineStr">
        <is>
          <t>sc50107-bab-000503-0107-46</t>
        </is>
      </c>
      <c r="C1510" s="4" t="inlineStr">
        <is>
          <t>W00031886A</t>
        </is>
      </c>
      <c r="D1510" s="6">
        <f>IF(F1510&gt;=5, F1510-5, IF(F1510&lt;5, 0, F1510))</f>
        <v/>
      </c>
      <c r="E1510">
        <f>VLOOKUP(B1510,[1]Namshi!$A:$B,2,0)</f>
        <v/>
      </c>
      <c r="F1510" s="4">
        <f>SUMIFS('Dubai Stock'!I:I,'Dubai Stock'!H:H,Final_UAE!B:B)</f>
        <v/>
      </c>
      <c r="H1510" s="8" t="e">
        <v>#N/A</v>
      </c>
    </row>
    <row r="1511">
      <c r="A1511" s="4" t="n">
        <v>33834</v>
      </c>
      <c r="B1511" s="4" t="inlineStr">
        <is>
          <t>cost3mo-lay-lens-p02-cloudy-gray-sn0050</t>
        </is>
      </c>
      <c r="C1511" s="4" t="inlineStr">
        <is>
          <t>W00031886A</t>
        </is>
      </c>
      <c r="D1511" s="6">
        <f>IF(F1511&gt;=5, F1511-5, IF(F1511&lt;5, 0, F1511))</f>
        <v/>
      </c>
      <c r="E1511">
        <f>VLOOKUP(B1511,[1]Namshi!$A:$B,2,0)</f>
        <v/>
      </c>
      <c r="F1511" s="4">
        <f>SUMIFS('Dubai Stock'!I:I,'Dubai Stock'!H:H,Final_UAE!B:B)</f>
        <v/>
      </c>
      <c r="H1511" s="8" t="e">
        <v>#N/A</v>
      </c>
      <c r="I1511" s="8" t="n"/>
    </row>
    <row r="1512">
      <c r="A1512" s="4" t="n">
        <v>33834</v>
      </c>
      <c r="B1512" s="4" t="inlineStr">
        <is>
          <t>bc50918-bab-000526-0918-43</t>
        </is>
      </c>
      <c r="C1512" s="4" t="inlineStr">
        <is>
          <t>W00031886A</t>
        </is>
      </c>
      <c r="D1512" s="6">
        <f>IF(F1512&gt;=5, F1512-5, IF(F1512&lt;5, 0, F1512))</f>
        <v/>
      </c>
      <c r="E1512">
        <f>VLOOKUP(B1512,[1]Namshi!$A:$B,2,0)</f>
        <v/>
      </c>
      <c r="F1512" s="4">
        <f>SUMIFS('Dubai Stock'!I:I,'Dubai Stock'!H:H,Final_UAE!B:B)</f>
        <v/>
      </c>
      <c r="H1512" s="8" t="e">
        <v>#N/A</v>
      </c>
    </row>
    <row r="1513">
      <c r="A1513" s="4" t="n">
        <v>33834</v>
      </c>
      <c r="B1513" s="4" t="inlineStr">
        <is>
          <t>clstdai-acu-mois-p120-sn0900</t>
        </is>
      </c>
      <c r="C1513" s="4" t="inlineStr">
        <is>
          <t>W00031886A</t>
        </is>
      </c>
      <c r="D1513" s="6">
        <f>IF(F1513&gt;=5, F1513-5, IF(F1513&lt;5, 0, F1513))</f>
        <v/>
      </c>
      <c r="E1513">
        <f>VLOOKUP(B1513,[1]Namshi!$A:$B,2,0)</f>
        <v/>
      </c>
      <c r="F1513" s="4">
        <f>SUMIFS('Dubai Stock'!I:I,'Dubai Stock'!H:H,Final_UAE!B:B)</f>
        <v/>
      </c>
      <c r="H1513" s="8" t="e">
        <v>#N/A</v>
      </c>
      <c r="I1513" s="8" t="n"/>
    </row>
    <row r="1514">
      <c r="A1514" s="4" t="n">
        <v>33834</v>
      </c>
      <c r="B1514" s="4" t="inlineStr">
        <is>
          <t>su10101-30s-000279-0101-55</t>
        </is>
      </c>
      <c r="C1514" s="4" t="inlineStr">
        <is>
          <t>W00031886A</t>
        </is>
      </c>
      <c r="D1514" s="6">
        <f>IF(F1514&gt;=5, F1514-5, IF(F1514&lt;5, 0, F1514))</f>
        <v/>
      </c>
      <c r="E1514">
        <f>VLOOKUP(B1514,[1]Namshi!$A:$B,2,0)</f>
        <v/>
      </c>
      <c r="F1514" s="4">
        <f>SUMIFS('Dubai Stock'!I:I,'Dubai Stock'!H:H,Final_UAE!B:B)</f>
        <v/>
      </c>
      <c r="H1514" s="8" t="e">
        <v>#N/A</v>
      </c>
    </row>
    <row r="1515">
      <c r="A1515" s="4" t="n">
        <v>33834</v>
      </c>
      <c r="B1515" s="4" t="inlineStr">
        <is>
          <t>sm10504-30s-000286-2904-55</t>
        </is>
      </c>
      <c r="C1515" s="4" t="inlineStr">
        <is>
          <t>W00031886A</t>
        </is>
      </c>
      <c r="D1515" s="6">
        <f>IF(F1515&gt;=5, F1515-5, IF(F1515&lt;5, 0, F1515))</f>
        <v/>
      </c>
      <c r="E1515">
        <f>VLOOKUP(B1515,[1]Namshi!$A:$B,2,0)</f>
        <v/>
      </c>
      <c r="F1515" s="4">
        <f>SUMIFS('Dubai Stock'!I:I,'Dubai Stock'!H:H,Final_UAE!B:B)</f>
        <v/>
      </c>
      <c r="H1515" s="8" t="e">
        <v>#N/A</v>
      </c>
    </row>
    <row r="1516">
      <c r="A1516" s="4" t="n">
        <v>33834</v>
      </c>
      <c r="B1516" s="4" t="inlineStr">
        <is>
          <t>clstdai-eve-elit-p30-sp0800</t>
        </is>
      </c>
      <c r="C1516" s="4" t="inlineStr">
        <is>
          <t>W00031886A</t>
        </is>
      </c>
      <c r="D1516" s="6">
        <f>IF(F1516&gt;=5, F1516-5, IF(F1516&lt;5, 0, F1516))</f>
        <v/>
      </c>
      <c r="E1516">
        <f>VLOOKUP(B1516,[1]Namshi!$A:$B,2,0)</f>
        <v/>
      </c>
      <c r="F1516" s="4">
        <f>SUMIFS('Dubai Stock'!I:I,'Dubai Stock'!H:H,Final_UAE!B:B)</f>
        <v/>
      </c>
      <c r="H1516" s="8" t="n">
        <v>261</v>
      </c>
      <c r="I1516" s="8" t="n">
        <v>146.3</v>
      </c>
    </row>
    <row r="1517">
      <c r="A1517" s="4" t="n">
        <v>33834</v>
      </c>
      <c r="B1517" s="4" t="inlineStr">
        <is>
          <t>sw42404-bla-000254-2404-52</t>
        </is>
      </c>
      <c r="C1517" s="4" t="inlineStr">
        <is>
          <t>W00031886A</t>
        </is>
      </c>
      <c r="D1517" s="6">
        <f>IF(F1517&gt;=5, F1517-5, IF(F1517&lt;5, 0, F1517))</f>
        <v/>
      </c>
      <c r="E1517">
        <f>VLOOKUP(B1517,[1]Namshi!$A:$B,2,0)</f>
        <v/>
      </c>
      <c r="F1517" s="4">
        <f>SUMIFS('Dubai Stock'!I:I,'Dubai Stock'!H:H,Final_UAE!B:B)</f>
        <v/>
      </c>
      <c r="H1517" s="8" t="e">
        <v>#N/A</v>
      </c>
    </row>
    <row r="1518">
      <c r="A1518" s="4" t="n">
        <v>33834</v>
      </c>
      <c r="B1518" s="4" t="inlineStr">
        <is>
          <t>sw32604-30s-000238-2604-51</t>
        </is>
      </c>
      <c r="C1518" s="4" t="inlineStr">
        <is>
          <t>W00031886A</t>
        </is>
      </c>
      <c r="D1518" s="6">
        <f>IF(F1518&gt;=5, F1518-5, IF(F1518&lt;5, 0, F1518))</f>
        <v/>
      </c>
      <c r="E1518">
        <f>VLOOKUP(B1518,[1]Namshi!$A:$B,2,0)</f>
        <v/>
      </c>
      <c r="F1518" s="4">
        <f>SUMIFS('Dubai Stock'!I:I,'Dubai Stock'!H:H,Final_UAE!B:B)</f>
        <v/>
      </c>
      <c r="H1518" s="8" t="e">
        <v>#N/A</v>
      </c>
    </row>
    <row r="1519">
      <c r="A1519" s="4" t="n">
        <v>33834</v>
      </c>
      <c r="B1519" s="4" t="inlineStr">
        <is>
          <t>sm70107-30s-000255-0107-54</t>
        </is>
      </c>
      <c r="C1519" s="4" t="inlineStr">
        <is>
          <t>W00031886A</t>
        </is>
      </c>
      <c r="D1519" s="6">
        <f>IF(F1519&gt;=5, F1519-5, IF(F1519&lt;5, 0, F1519))</f>
        <v/>
      </c>
      <c r="E1519">
        <f>VLOOKUP(B1519,[1]Namshi!$A:$B,2,0)</f>
        <v/>
      </c>
      <c r="F1519" s="4">
        <f>SUMIFS('Dubai Stock'!I:I,'Dubai Stock'!H:H,Final_UAE!B:B)</f>
        <v/>
      </c>
      <c r="H1519" s="8" t="e">
        <v>#N/A</v>
      </c>
    </row>
    <row r="1520">
      <c r="A1520" s="4" t="n">
        <v>33834</v>
      </c>
      <c r="B1520" s="4" t="inlineStr">
        <is>
          <t>sm71207-30s-000247-1207-57</t>
        </is>
      </c>
      <c r="C1520" s="4" t="inlineStr">
        <is>
          <t>W00031886A</t>
        </is>
      </c>
      <c r="D1520" s="6">
        <f>IF(F1520&gt;=5, F1520-5, IF(F1520&lt;5, 0, F1520))</f>
        <v/>
      </c>
      <c r="E1520">
        <f>VLOOKUP(B1520,[1]Namshi!$A:$B,2,0)</f>
        <v/>
      </c>
      <c r="F1520" s="4">
        <f>SUMIFS('Dubai Stock'!I:I,'Dubai Stock'!H:H,Final_UAE!B:B)</f>
        <v/>
      </c>
      <c r="H1520" s="8" t="e">
        <v>#N/A</v>
      </c>
    </row>
    <row r="1521">
      <c r="A1521" s="4" t="n">
        <v>33834</v>
      </c>
      <c r="B1521" s="4" t="inlineStr">
        <is>
          <t>clstdai-lay-cont-p60-dazzle-brown-sn0525</t>
        </is>
      </c>
      <c r="C1521" s="4" t="inlineStr">
        <is>
          <t>W00031886A</t>
        </is>
      </c>
      <c r="D1521" s="6">
        <f>IF(F1521&gt;=5, F1521-5, IF(F1521&lt;5, 0, F1521))</f>
        <v/>
      </c>
      <c r="E1521">
        <f>VLOOKUP(B1521,[1]Namshi!$A:$B,2,0)</f>
        <v/>
      </c>
      <c r="F1521" s="4">
        <f>SUMIFS('Dubai Stock'!I:I,'Dubai Stock'!H:H,Final_UAE!B:B)</f>
        <v/>
      </c>
      <c r="H1521" s="8" t="e">
        <v>#N/A</v>
      </c>
      <c r="I1521" s="8" t="n"/>
    </row>
    <row r="1522">
      <c r="A1522" s="4" t="n">
        <v>33834</v>
      </c>
      <c r="B1522" s="4" t="inlineStr">
        <is>
          <t>clstdai-dai-tot1-p90-sn0650</t>
        </is>
      </c>
      <c r="C1522" s="4" t="inlineStr">
        <is>
          <t>W00031886A</t>
        </is>
      </c>
      <c r="D1522" s="6">
        <f>IF(F1522&gt;=5, F1522-5, IF(F1522&lt;5, 0, F1522))</f>
        <v/>
      </c>
      <c r="E1522">
        <f>VLOOKUP(B1522,[1]Namshi!$A:$B,2,0)</f>
        <v/>
      </c>
      <c r="F1522" s="4">
        <f>SUMIFS('Dubai Stock'!I:I,'Dubai Stock'!H:H,Final_UAE!B:B)</f>
        <v/>
      </c>
      <c r="H1522" s="8" t="e">
        <v>#N/A</v>
      </c>
      <c r="I1522" s="8" t="n"/>
    </row>
    <row r="1523">
      <c r="A1523" s="4" t="n">
        <v>33834</v>
      </c>
      <c r="B1523" s="4" t="inlineStr">
        <is>
          <t>cost3mo-lay-2025-p02-desert-topaz-sn0425</t>
        </is>
      </c>
      <c r="C1523" s="4" t="inlineStr">
        <is>
          <t>W00031886A</t>
        </is>
      </c>
      <c r="D1523" s="6">
        <f>IF(F1523&gt;=5, F1523-5, IF(F1523&lt;5, 0, F1523))</f>
        <v/>
      </c>
      <c r="E1523">
        <f>VLOOKUP(B1523,[1]Namshi!$A:$B,2,0)</f>
        <v/>
      </c>
      <c r="F1523" s="4">
        <f>SUMIFS('Dubai Stock'!I:I,'Dubai Stock'!H:H,Final_UAE!B:B)</f>
        <v/>
      </c>
      <c r="H1523" s="8" t="e">
        <v>#N/A</v>
      </c>
      <c r="I1523" s="8" t="n"/>
    </row>
    <row r="1524">
      <c r="A1524" s="4" t="n">
        <v>33834</v>
      </c>
      <c r="B1524" s="4" t="inlineStr">
        <is>
          <t>sm40107-30s-000416-0107-54</t>
        </is>
      </c>
      <c r="C1524" s="4" t="inlineStr">
        <is>
          <t>W00031886A</t>
        </is>
      </c>
      <c r="D1524" s="6">
        <f>IF(F1524&gt;=5, F1524-5, IF(F1524&lt;5, 0, F1524))</f>
        <v/>
      </c>
      <c r="E1524">
        <f>VLOOKUP(B1524,[1]Namshi!$A:$B,2,0)</f>
        <v/>
      </c>
      <c r="F1524" s="4">
        <f>SUMIFS('Dubai Stock'!I:I,'Dubai Stock'!H:H,Final_UAE!B:B)</f>
        <v/>
      </c>
      <c r="H1524" s="8" t="e">
        <v>#N/A</v>
      </c>
      <c r="I1524" s="8" t="n"/>
    </row>
    <row r="1525">
      <c r="A1525" s="4" t="n">
        <v>33834</v>
      </c>
      <c r="B1525" s="4" t="inlineStr">
        <is>
          <t>sm43202-30s-000506-3202-58</t>
        </is>
      </c>
      <c r="C1525" s="4" t="inlineStr">
        <is>
          <t>W00031886A</t>
        </is>
      </c>
      <c r="D1525" s="6">
        <f>IF(F1525&gt;=5, F1525-5, IF(F1525&lt;5, 0, F1525))</f>
        <v/>
      </c>
      <c r="E1525">
        <f>VLOOKUP(B1525,[1]Namshi!$A:$B,2,0)</f>
        <v/>
      </c>
      <c r="F1525" s="4">
        <f>SUMIFS('Dubai Stock'!I:I,'Dubai Stock'!H:H,Final_UAE!B:B)</f>
        <v/>
      </c>
      <c r="H1525" s="8" t="e">
        <v>#N/A</v>
      </c>
      <c r="I1525" s="8" t="n"/>
    </row>
    <row r="1526">
      <c r="A1526" s="4" t="n">
        <v>33834</v>
      </c>
      <c r="B1526" s="4" t="inlineStr">
        <is>
          <t>clstdai-lay-cont-p10-dazzle-brown-sp0000</t>
        </is>
      </c>
      <c r="C1526" s="4" t="inlineStr">
        <is>
          <t>W00031886A</t>
        </is>
      </c>
      <c r="D1526" s="6">
        <f>IF(F1526&gt;=5, F1526-5, IF(F1526&lt;5, 0, F1526))</f>
        <v/>
      </c>
      <c r="E1526">
        <f>VLOOKUP(B1526,[1]Namshi!$A:$B,2,0)</f>
        <v/>
      </c>
      <c r="F1526" s="4">
        <f>SUMIFS('Dubai Stock'!I:I,'Dubai Stock'!H:H,Final_UAE!B:B)</f>
        <v/>
      </c>
      <c r="H1526" s="8" t="e">
        <v>#N/A</v>
      </c>
      <c r="I1526" s="8" t="n"/>
    </row>
    <row r="1527">
      <c r="A1527" s="4" t="n">
        <v>33834</v>
      </c>
      <c r="B1527" s="4" t="inlineStr">
        <is>
          <t>sw70404-bla-000240-0404-42</t>
        </is>
      </c>
      <c r="C1527" s="4" t="inlineStr">
        <is>
          <t>W00031886A</t>
        </is>
      </c>
      <c r="D1527" s="6">
        <f>IF(F1527&gt;=5, F1527-5, IF(F1527&lt;5, 0, F1527))</f>
        <v/>
      </c>
      <c r="E1527">
        <f>VLOOKUP(B1527,[1]Namshi!$A:$B,2,0)</f>
        <v/>
      </c>
      <c r="F1527" s="4">
        <f>SUMIFS('Dubai Stock'!I:I,'Dubai Stock'!H:H,Final_UAE!B:B)</f>
        <v/>
      </c>
      <c r="H1527" s="8" t="e">
        <v>#N/A</v>
      </c>
    </row>
    <row r="1528">
      <c r="A1528" s="4" t="n">
        <v>33834</v>
      </c>
      <c r="B1528" s="4" t="inlineStr">
        <is>
          <t>su22706-30s-000206-2706-52</t>
        </is>
      </c>
      <c r="C1528" s="4" t="inlineStr">
        <is>
          <t>W00031886A</t>
        </is>
      </c>
      <c r="D1528" s="6">
        <f>IF(F1528&gt;=5, F1528-5, IF(F1528&lt;5, 0, F1528))</f>
        <v/>
      </c>
      <c r="E1528">
        <f>VLOOKUP(B1528,[1]Namshi!$A:$B,2,0)</f>
        <v/>
      </c>
      <c r="F1528" s="4">
        <f>SUMIFS('Dubai Stock'!I:I,'Dubai Stock'!H:H,Final_UAE!B:B)</f>
        <v/>
      </c>
      <c r="H1528" s="8" t="e">
        <v>#N/A</v>
      </c>
    </row>
    <row r="1529">
      <c r="A1529" s="4" t="n">
        <v>33834</v>
      </c>
      <c r="B1529" s="4" t="inlineStr">
        <is>
          <t>costmon-ama-lens-p02-mocca-sn0225</t>
        </is>
      </c>
      <c r="C1529" s="4" t="inlineStr">
        <is>
          <t>W00031886A</t>
        </is>
      </c>
      <c r="D1529" s="6">
        <f>IF(F1529&gt;=5, F1529-5, IF(F1529&lt;5, 0, F1529))</f>
        <v/>
      </c>
      <c r="E1529">
        <f>VLOOKUP(B1529,[1]Namshi!$A:$B,2,0)</f>
        <v/>
      </c>
      <c r="F1529" s="4">
        <f>SUMIFS('Dubai Stock'!I:I,'Dubai Stock'!H:H,Final_UAE!B:B)</f>
        <v/>
      </c>
      <c r="H1529" s="8" t="e">
        <v>#N/A</v>
      </c>
      <c r="I1529" s="8" t="n"/>
    </row>
    <row r="1530">
      <c r="A1530" s="4" t="n">
        <v>33834</v>
      </c>
      <c r="B1530" s="4" t="inlineStr">
        <is>
          <t>clstdai-dai-tot1-p30-sn0175</t>
        </is>
      </c>
      <c r="C1530" s="4" t="inlineStr">
        <is>
          <t>W00031886A</t>
        </is>
      </c>
      <c r="D1530" s="6">
        <f>IF(F1530&gt;=5, F1530-5, IF(F1530&lt;5, 0, F1530))</f>
        <v/>
      </c>
      <c r="E1530">
        <f>VLOOKUP(B1530,[1]Namshi!$A:$B,2,0)</f>
        <v/>
      </c>
      <c r="F1530" s="4">
        <f>SUMIFS('Dubai Stock'!I:I,'Dubai Stock'!H:H,Final_UAE!B:B)</f>
        <v/>
      </c>
      <c r="H1530" s="8" t="e">
        <v>#N/A</v>
      </c>
      <c r="I1530" s="8" t="n"/>
    </row>
    <row r="1531">
      <c r="A1531" s="4" t="n">
        <v>33834</v>
      </c>
      <c r="B1531" s="4" t="inlineStr">
        <is>
          <t>sm50404-30s-000205-0304-55</t>
        </is>
      </c>
      <c r="C1531" s="4" t="inlineStr">
        <is>
          <t>W00031886A</t>
        </is>
      </c>
      <c r="D1531" s="6">
        <f>IF(F1531&gt;=5, F1531-5, IF(F1531&lt;5, 0, F1531))</f>
        <v/>
      </c>
      <c r="E1531">
        <f>VLOOKUP(B1531,[1]Namshi!$A:$B,2,0)</f>
        <v/>
      </c>
      <c r="F1531" s="4">
        <f>SUMIFS('Dubai Stock'!I:I,'Dubai Stock'!H:H,Final_UAE!B:B)</f>
        <v/>
      </c>
      <c r="H1531" s="8" t="e">
        <v>#N/A</v>
      </c>
    </row>
    <row r="1532">
      <c r="A1532" s="4" t="n">
        <v>33834</v>
      </c>
      <c r="B1532" s="4" t="inlineStr">
        <is>
          <t>costmon-ama-2020-p02-charcoal-gray-sn0250</t>
        </is>
      </c>
      <c r="C1532" s="4" t="inlineStr">
        <is>
          <t>W00031886A</t>
        </is>
      </c>
      <c r="D1532" s="6">
        <f>IF(F1532&gt;=5, F1532-5, IF(F1532&lt;5, 0, F1532))</f>
        <v/>
      </c>
      <c r="E1532">
        <f>VLOOKUP(B1532,[1]Namshi!$A:$B,2,0)</f>
        <v/>
      </c>
      <c r="F1532" s="4">
        <f>SUMIFS('Dubai Stock'!I:I,'Dubai Stock'!H:H,Final_UAE!B:B)</f>
        <v/>
      </c>
      <c r="H1532" s="8" t="e">
        <v>#N/A</v>
      </c>
      <c r="I1532" s="8" t="n"/>
    </row>
    <row r="1533">
      <c r="A1533" s="4" t="n">
        <v>33834</v>
      </c>
      <c r="B1533" s="4" t="inlineStr">
        <is>
          <t>clstdai-eve-pure-p30-sp0075</t>
        </is>
      </c>
      <c r="C1533" s="4" t="inlineStr">
        <is>
          <t>W00031886A</t>
        </is>
      </c>
      <c r="D1533" s="6">
        <f>IF(F1533&gt;=5, F1533-5, IF(F1533&lt;5, 0, F1533))</f>
        <v/>
      </c>
      <c r="E1533">
        <f>VLOOKUP(B1533,[1]Namshi!$A:$B,2,0)</f>
        <v/>
      </c>
      <c r="F1533" s="4">
        <f>SUMIFS('Dubai Stock'!I:I,'Dubai Stock'!H:H,Final_UAE!B:B)</f>
        <v/>
      </c>
      <c r="H1533" s="8" t="n">
        <v>186</v>
      </c>
      <c r="I1533" s="8" t="n">
        <v>104.3</v>
      </c>
    </row>
    <row r="1534">
      <c r="A1534" s="4" t="n">
        <v>33834</v>
      </c>
      <c r="B1534" s="4" t="inlineStr">
        <is>
          <t>sw50107-30s-000244-0107-57</t>
        </is>
      </c>
      <c r="C1534" s="4" t="inlineStr">
        <is>
          <t>W00031886A</t>
        </is>
      </c>
      <c r="D1534" s="6">
        <f>IF(F1534&gt;=5, F1534-5, IF(F1534&lt;5, 0, F1534))</f>
        <v/>
      </c>
      <c r="E1534">
        <f>VLOOKUP(B1534,[1]Namshi!$A:$B,2,0)</f>
        <v/>
      </c>
      <c r="F1534" s="4">
        <f>SUMIFS('Dubai Stock'!I:I,'Dubai Stock'!H:H,Final_UAE!B:B)</f>
        <v/>
      </c>
      <c r="H1534" s="8" t="e">
        <v>#N/A</v>
      </c>
    </row>
    <row r="1535">
      <c r="A1535" s="4" t="n">
        <v>33834</v>
      </c>
      <c r="B1535" s="4" t="inlineStr">
        <is>
          <t>clstmon-eve-prom-p06-sn0950</t>
        </is>
      </c>
      <c r="C1535" s="4" t="inlineStr">
        <is>
          <t>W00031886A</t>
        </is>
      </c>
      <c r="D1535" s="6">
        <f>IF(F1535&gt;=5, F1535-5, IF(F1535&lt;5, 0, F1535))</f>
        <v/>
      </c>
      <c r="E1535">
        <f>VLOOKUP(B1535,[1]Namshi!$A:$B,2,0)</f>
        <v/>
      </c>
      <c r="F1535" s="4">
        <f>SUMIFS('Dubai Stock'!I:I,'Dubai Stock'!H:H,Final_UAE!B:B)</f>
        <v/>
      </c>
      <c r="H1535" s="8" t="n">
        <v>212</v>
      </c>
      <c r="I1535" s="8" t="n">
        <v>111.3</v>
      </c>
    </row>
    <row r="1536">
      <c r="A1536" s="4" t="n">
        <v>33834</v>
      </c>
      <c r="B1536" s="4" t="inlineStr">
        <is>
          <t>cost3mo-lay-lens-p02-chocolate-brown-sn0200</t>
        </is>
      </c>
      <c r="C1536" s="4" t="inlineStr">
        <is>
          <t>W00031886A</t>
        </is>
      </c>
      <c r="D1536" s="6">
        <f>IF(F1536&gt;=5, F1536-5, IF(F1536&lt;5, 0, F1536))</f>
        <v/>
      </c>
      <c r="E1536">
        <f>VLOOKUP(B1536,[1]Namshi!$A:$B,2,0)</f>
        <v/>
      </c>
      <c r="F1536" s="4">
        <f>SUMIFS('Dubai Stock'!I:I,'Dubai Stock'!H:H,Final_UAE!B:B)</f>
        <v/>
      </c>
      <c r="H1536" s="8" t="e">
        <v>#N/A</v>
      </c>
      <c r="I1536" s="8" t="n"/>
    </row>
    <row r="1537">
      <c r="A1537" s="4" t="n">
        <v>33834</v>
      </c>
      <c r="B1537" s="4" t="inlineStr">
        <is>
          <t>costmon-ama-lens-p02-dark-sepia-sn0400</t>
        </is>
      </c>
      <c r="C1537" s="4" t="inlineStr">
        <is>
          <t>W00031886A</t>
        </is>
      </c>
      <c r="D1537" s="6">
        <f>IF(F1537&gt;=5, F1537-5, IF(F1537&lt;5, 0, F1537))</f>
        <v/>
      </c>
      <c r="E1537">
        <f>VLOOKUP(B1537,[1]Namshi!$A:$B,2,0)</f>
        <v/>
      </c>
      <c r="F1537" s="4">
        <f>SUMIFS('Dubai Stock'!I:I,'Dubai Stock'!H:H,Final_UAE!B:B)</f>
        <v/>
      </c>
      <c r="H1537" s="8" t="e">
        <v>#N/A</v>
      </c>
      <c r="I1537" s="8" t="n"/>
    </row>
    <row r="1538">
      <c r="A1538" s="4" t="n">
        <v>33834</v>
      </c>
      <c r="B1538" s="4" t="inlineStr">
        <is>
          <t>sw52906-bla-000229-2906-59</t>
        </is>
      </c>
      <c r="C1538" s="4" t="inlineStr">
        <is>
          <t>W00031886A</t>
        </is>
      </c>
      <c r="D1538" s="6">
        <f>IF(F1538&gt;=5, F1538-5, IF(F1538&lt;5, 0, F1538))</f>
        <v/>
      </c>
      <c r="E1538">
        <f>VLOOKUP(B1538,[1]Namshi!$A:$B,2,0)</f>
        <v/>
      </c>
      <c r="F1538" s="4">
        <f>SUMIFS('Dubai Stock'!I:I,'Dubai Stock'!H:H,Final_UAE!B:B)</f>
        <v/>
      </c>
      <c r="H1538" s="8" t="e">
        <v>#N/A</v>
      </c>
    </row>
    <row r="1539">
      <c r="A1539" s="4" t="n">
        <v>33834</v>
      </c>
      <c r="B1539" s="4" t="inlineStr">
        <is>
          <t>sacchan-30s-chain115-gry-kali-gray</t>
        </is>
      </c>
      <c r="C1539" s="4" t="inlineStr">
        <is>
          <t>W00031886A</t>
        </is>
      </c>
      <c r="D1539" s="6">
        <f>IF(F1539&gt;=5, F1539-5, IF(F1539&lt;5, 0, F1539))</f>
        <v/>
      </c>
      <c r="E1539">
        <f>VLOOKUP(B1539,[1]Namshi!$A:$B,2,0)</f>
        <v/>
      </c>
      <c r="F1539" s="4">
        <f>SUMIFS('Dubai Stock'!I:I,'Dubai Stock'!H:H,Final_UAE!B:B)</f>
        <v/>
      </c>
      <c r="H1539" s="8" t="e">
        <v>#N/A</v>
      </c>
      <c r="I1539" s="8" t="n"/>
    </row>
    <row r="1540">
      <c r="A1540" s="4" t="n">
        <v>33834</v>
      </c>
      <c r="B1540" s="4" t="inlineStr">
        <is>
          <t>sacchan-30s-chain101-blk-black</t>
        </is>
      </c>
      <c r="C1540" s="4" t="inlineStr">
        <is>
          <t>W00031886A</t>
        </is>
      </c>
      <c r="D1540" s="6">
        <f>IF(F1540&gt;=5, F1540-5, IF(F1540&lt;5, 0, F1540))</f>
        <v/>
      </c>
      <c r="E1540">
        <f>VLOOKUP(B1540,[1]Namshi!$A:$B,2,0)</f>
        <v/>
      </c>
      <c r="F1540" s="4">
        <f>SUMIFS('Dubai Stock'!I:I,'Dubai Stock'!H:H,Final_UAE!B:B)</f>
        <v/>
      </c>
      <c r="H1540" s="8" t="e">
        <v>#N/A</v>
      </c>
      <c r="I1540" s="8" t="n"/>
    </row>
    <row r="1541">
      <c r="A1541" s="4" t="n">
        <v>33834</v>
      </c>
      <c r="B1541" s="4" t="inlineStr">
        <is>
          <t>fm20118-spc-000656-0118-48</t>
        </is>
      </c>
      <c r="C1541" s="4" t="inlineStr">
        <is>
          <t>W00031886A</t>
        </is>
      </c>
      <c r="D1541" s="6">
        <f>IF(F1541&gt;=5, F1541-5, IF(F1541&lt;5, 0, F1541))</f>
        <v/>
      </c>
      <c r="E1541">
        <f>VLOOKUP(B1541,[1]Namshi!$A:$B,2,0)</f>
        <v/>
      </c>
      <c r="F1541" s="4">
        <f>SUMIFS('Dubai Stock'!I:I,'Dubai Stock'!H:H,Final_UAE!B:B)</f>
        <v/>
      </c>
      <c r="H1541" s="8" t="e">
        <v>#N/A</v>
      </c>
      <c r="I1541" s="8" t="n"/>
    </row>
    <row r="1542">
      <c r="A1542" s="4" t="n">
        <v>33834</v>
      </c>
      <c r="B1542" s="4" t="inlineStr">
        <is>
          <t>su50404-30s-000236-0404-49</t>
        </is>
      </c>
      <c r="C1542" s="4" t="inlineStr">
        <is>
          <t>W00031886A</t>
        </is>
      </c>
      <c r="D1542" s="6">
        <f>IF(F1542&gt;=5, F1542-5, IF(F1542&lt;5, 0, F1542))</f>
        <v/>
      </c>
      <c r="E1542">
        <f>VLOOKUP(B1542,[1]Namshi!$A:$B,2,0)</f>
        <v/>
      </c>
      <c r="F1542" s="4">
        <f>SUMIFS('Dubai Stock'!I:I,'Dubai Stock'!H:H,Final_UAE!B:B)</f>
        <v/>
      </c>
      <c r="H1542" s="8" t="e">
        <v>#N/A</v>
      </c>
    </row>
    <row r="1543">
      <c r="A1543" s="4" t="n">
        <v>33834</v>
      </c>
      <c r="B1543" s="4" t="inlineStr">
        <is>
          <t>fw72318-spc-000638-2318-50</t>
        </is>
      </c>
      <c r="C1543" s="4" t="inlineStr">
        <is>
          <t>W00031886A</t>
        </is>
      </c>
      <c r="D1543" s="6">
        <f>IF(F1543&gt;=5, F1543-5, IF(F1543&lt;5, 0, F1543))</f>
        <v/>
      </c>
      <c r="E1543">
        <f>VLOOKUP(B1543,[1]Namshi!$A:$B,2,0)</f>
        <v/>
      </c>
      <c r="F1543" s="4">
        <f>SUMIFS('Dubai Stock'!I:I,'Dubai Stock'!H:H,Final_UAE!B:B)</f>
        <v/>
      </c>
      <c r="H1543" s="8" t="e">
        <v>#N/A</v>
      </c>
      <c r="I1543" s="8" t="n"/>
    </row>
    <row r="1544">
      <c r="A1544" s="4" t="n">
        <v>33834</v>
      </c>
      <c r="B1544" s="4" t="inlineStr">
        <is>
          <t>fw70418-spc-000735-0418-53</t>
        </is>
      </c>
      <c r="C1544" s="4" t="inlineStr">
        <is>
          <t>W00031886A</t>
        </is>
      </c>
      <c r="D1544" s="6">
        <f>IF(F1544&gt;=5, F1544-5, IF(F1544&lt;5, 0, F1544))</f>
        <v/>
      </c>
      <c r="E1544">
        <f>VLOOKUP(B1544,[1]Namshi!$A:$B,2,0)</f>
        <v/>
      </c>
      <c r="F1544" s="4">
        <f>SUMIFS('Dubai Stock'!I:I,'Dubai Stock'!H:H,Final_UAE!B:B)</f>
        <v/>
      </c>
      <c r="H1544" s="8" t="e">
        <v>#N/A</v>
      </c>
      <c r="I1544" s="8" t="n"/>
    </row>
    <row r="1545">
      <c r="A1545" s="4" t="n">
        <v>33834</v>
      </c>
      <c r="B1545" s="4" t="inlineStr">
        <is>
          <t>fw21218-spc-000526-1200-48</t>
        </is>
      </c>
      <c r="C1545" s="4" t="inlineStr">
        <is>
          <t>W00031886A</t>
        </is>
      </c>
      <c r="D1545" s="6">
        <f>IF(F1545&gt;=5, F1545-5, IF(F1545&lt;5, 0, F1545))</f>
        <v/>
      </c>
      <c r="E1545">
        <f>VLOOKUP(B1545,[1]Namshi!$A:$B,2,0)</f>
        <v/>
      </c>
      <c r="F1545" s="4">
        <f>SUMIFS('Dubai Stock'!I:I,'Dubai Stock'!H:H,Final_UAE!B:B)</f>
        <v/>
      </c>
      <c r="H1545" s="8" t="e">
        <v>#N/A</v>
      </c>
      <c r="I1545" s="8" t="n"/>
    </row>
    <row r="1546">
      <c r="A1546" s="4" t="n">
        <v>33834</v>
      </c>
      <c r="B1546" s="4" t="inlineStr">
        <is>
          <t>sw31008-bla-000263-1008-50</t>
        </is>
      </c>
      <c r="C1546" s="4" t="inlineStr">
        <is>
          <t>W00031886A</t>
        </is>
      </c>
      <c r="D1546" s="6">
        <f>IF(F1546&gt;=5, F1546-5, IF(F1546&lt;5, 0, F1546))</f>
        <v/>
      </c>
      <c r="E1546">
        <f>VLOOKUP(B1546,[1]Namshi!$A:$B,2,0)</f>
        <v/>
      </c>
      <c r="F1546" s="4">
        <f>SUMIFS('Dubai Stock'!I:I,'Dubai Stock'!H:H,Final_UAE!B:B)</f>
        <v/>
      </c>
      <c r="H1546" s="8" t="e">
        <v>#N/A</v>
      </c>
    </row>
    <row r="1547">
      <c r="A1547" s="4" t="n">
        <v>33834</v>
      </c>
      <c r="B1547" s="4" t="inlineStr">
        <is>
          <t>costmon-ama-2022-p02-dream-sn0125</t>
        </is>
      </c>
      <c r="C1547" s="4" t="inlineStr">
        <is>
          <t>W00031886A</t>
        </is>
      </c>
      <c r="D1547" s="6">
        <f>IF(F1547&gt;=5, F1547-5, IF(F1547&lt;5, 0, F1547))</f>
        <v/>
      </c>
      <c r="E1547">
        <f>VLOOKUP(B1547,[1]Namshi!$A:$B,2,0)</f>
        <v/>
      </c>
      <c r="F1547" s="4">
        <f>SUMIFS('Dubai Stock'!I:I,'Dubai Stock'!H:H,Final_UAE!B:B)</f>
        <v/>
      </c>
      <c r="H1547" s="8" t="e">
        <v>#N/A</v>
      </c>
      <c r="I1547" s="8" t="n"/>
    </row>
    <row r="1548">
      <c r="A1548" s="4" t="n">
        <v>33834</v>
      </c>
      <c r="B1548" s="4" t="inlineStr">
        <is>
          <t>clstdai-eve-elit-p30-sp0250</t>
        </is>
      </c>
      <c r="C1548" s="4" t="inlineStr">
        <is>
          <t>W00031886A</t>
        </is>
      </c>
      <c r="D1548" s="6">
        <f>IF(F1548&gt;=5, F1548-5, IF(F1548&lt;5, 0, F1548))</f>
        <v/>
      </c>
      <c r="E1548">
        <f>VLOOKUP(B1548,[1]Namshi!$A:$B,2,0)</f>
        <v/>
      </c>
      <c r="F1548" s="4">
        <f>SUMIFS('Dubai Stock'!I:I,'Dubai Stock'!H:H,Final_UAE!B:B)</f>
        <v/>
      </c>
      <c r="H1548" s="8" t="n">
        <v>261</v>
      </c>
      <c r="I1548" s="8" t="n">
        <v>146.3</v>
      </c>
    </row>
    <row r="1549">
      <c r="A1549" s="4" t="n">
        <v>33834</v>
      </c>
      <c r="B1549" s="4" t="inlineStr">
        <is>
          <t>sw100101-30s-000413-0101-53</t>
        </is>
      </c>
      <c r="C1549" s="4" t="inlineStr">
        <is>
          <t>W00031886A</t>
        </is>
      </c>
      <c r="D1549" s="6">
        <f>IF(F1549&gt;=5, F1549-5, IF(F1549&lt;5, 0, F1549))</f>
        <v/>
      </c>
      <c r="E1549">
        <f>VLOOKUP(B1549,[1]Namshi!$A:$B,2,0)</f>
        <v/>
      </c>
      <c r="F1549" s="4">
        <f>SUMIFS('Dubai Stock'!I:I,'Dubai Stock'!H:H,Final_UAE!B:B)</f>
        <v/>
      </c>
      <c r="H1549" s="8" t="e">
        <v>#N/A</v>
      </c>
    </row>
    <row r="1550">
      <c r="A1550" s="4" t="n">
        <v>33834</v>
      </c>
      <c r="B1550" s="4" t="inlineStr">
        <is>
          <t>sm51207-30s-000241-1201-52</t>
        </is>
      </c>
      <c r="C1550" s="4" t="inlineStr">
        <is>
          <t>W00031886A</t>
        </is>
      </c>
      <c r="D1550" s="6">
        <f>IF(F1550&gt;=5, F1550-5, IF(F1550&lt;5, 0, F1550))</f>
        <v/>
      </c>
      <c r="E1550">
        <f>VLOOKUP(B1550,[1]Namshi!$A:$B,2,0)</f>
        <v/>
      </c>
      <c r="F1550" s="4">
        <f>SUMIFS('Dubai Stock'!I:I,'Dubai Stock'!H:H,Final_UAE!B:B)</f>
        <v/>
      </c>
      <c r="H1550" s="8" t="e">
        <v>#N/A</v>
      </c>
    </row>
    <row r="1551">
      <c r="A1551" s="4" t="n">
        <v>33834</v>
      </c>
      <c r="B1551" s="4" t="inlineStr">
        <is>
          <t>sw20107-bla-000224-0107-51</t>
        </is>
      </c>
      <c r="C1551" s="4" t="inlineStr">
        <is>
          <t>W00031886A</t>
        </is>
      </c>
      <c r="D1551" s="6">
        <f>IF(F1551&gt;=5, F1551-5, IF(F1551&lt;5, 0, F1551))</f>
        <v/>
      </c>
      <c r="E1551">
        <f>VLOOKUP(B1551,[1]Namshi!$A:$B,2,0)</f>
        <v/>
      </c>
      <c r="F1551" s="4">
        <f>SUMIFS('Dubai Stock'!I:I,'Dubai Stock'!H:H,Final_UAE!B:B)</f>
        <v/>
      </c>
      <c r="H1551" s="8" t="e">
        <v>#N/A</v>
      </c>
    </row>
    <row r="1552">
      <c r="A1552" s="4" t="n">
        <v>33834</v>
      </c>
      <c r="B1552" s="4" t="inlineStr">
        <is>
          <t>clstdai-acu-dfrb-p60-sn0050</t>
        </is>
      </c>
      <c r="C1552" s="4" t="inlineStr">
        <is>
          <t>W00031886A</t>
        </is>
      </c>
      <c r="D1552" s="6">
        <f>IF(F1552&gt;=5, F1552-5, IF(F1552&lt;5, 0, F1552))</f>
        <v/>
      </c>
      <c r="E1552">
        <f>VLOOKUP(B1552,[1]Namshi!$A:$B,2,0)</f>
        <v/>
      </c>
      <c r="F1552" s="4">
        <f>SUMIFS('Dubai Stock'!I:I,'Dubai Stock'!H:H,Final_UAE!B:B)</f>
        <v/>
      </c>
      <c r="H1552" s="8" t="e">
        <v>#N/A</v>
      </c>
      <c r="I1552" s="8" t="n"/>
    </row>
    <row r="1553">
      <c r="A1553" s="4" t="n">
        <v>33834</v>
      </c>
      <c r="B1553" s="4" t="inlineStr">
        <is>
          <t>su60404-bla-000346-0404-54</t>
        </is>
      </c>
      <c r="C1553" s="4" t="inlineStr">
        <is>
          <t>W00031886A</t>
        </is>
      </c>
      <c r="D1553" s="6">
        <f>IF(F1553&gt;=5, F1553-5, IF(F1553&lt;5, 0, F1553))</f>
        <v/>
      </c>
      <c r="E1553">
        <f>VLOOKUP(B1553,[1]Namshi!$A:$B,2,0)</f>
        <v/>
      </c>
      <c r="F1553" s="4">
        <f>SUMIFS('Dubai Stock'!I:I,'Dubai Stock'!H:H,Final_UAE!B:B)</f>
        <v/>
      </c>
      <c r="H1553" s="8" t="e">
        <v>#N/A</v>
      </c>
    </row>
    <row r="1554">
      <c r="A1554" s="4" t="n">
        <v>33834</v>
      </c>
      <c r="B1554" s="4" t="inlineStr">
        <is>
          <t>cost3mo-cel-natu-p01-hazelwood-sp0250</t>
        </is>
      </c>
      <c r="C1554" s="4" t="inlineStr">
        <is>
          <t>W00031886A</t>
        </is>
      </c>
      <c r="D1554" s="6">
        <f>IF(F1554&gt;=5, F1554-5, IF(F1554&lt;5, 0, F1554))</f>
        <v/>
      </c>
      <c r="E1554">
        <f>VLOOKUP(B1554,[1]Namshi!$A:$B,2,0)</f>
        <v/>
      </c>
      <c r="F1554" s="4">
        <f>SUMIFS('Dubai Stock'!I:I,'Dubai Stock'!H:H,Final_UAE!B:B)</f>
        <v/>
      </c>
      <c r="H1554" s="8" t="e">
        <v>#N/A</v>
      </c>
      <c r="I1554" s="8" t="n"/>
    </row>
    <row r="1555">
      <c r="A1555" s="4" t="n">
        <v>33834</v>
      </c>
      <c r="B1555" s="4" t="inlineStr">
        <is>
          <t>cost3mo-lay-2025-p02-emerald-glow-sn0475</t>
        </is>
      </c>
      <c r="C1555" s="4" t="inlineStr">
        <is>
          <t>W00031886A</t>
        </is>
      </c>
      <c r="D1555" s="6">
        <f>IF(F1555&gt;=5, F1555-5, IF(F1555&lt;5, 0, F1555))</f>
        <v/>
      </c>
      <c r="E1555">
        <f>VLOOKUP(B1555,[1]Namshi!$A:$B,2,0)</f>
        <v/>
      </c>
      <c r="F1555" s="4">
        <f>SUMIFS('Dubai Stock'!I:I,'Dubai Stock'!H:H,Final_UAE!B:B)</f>
        <v/>
      </c>
      <c r="H1555" s="8" t="e">
        <v>#N/A</v>
      </c>
      <c r="I1555" s="8" t="n"/>
    </row>
    <row r="1556">
      <c r="A1556" s="4" t="n">
        <v>33834</v>
      </c>
      <c r="B1556" s="4" t="inlineStr">
        <is>
          <t>bc21318-bab-000501-1318-46</t>
        </is>
      </c>
      <c r="C1556" s="4" t="inlineStr">
        <is>
          <t>W00031886A</t>
        </is>
      </c>
      <c r="D1556" s="6">
        <f>IF(F1556&gt;=5, F1556-5, IF(F1556&lt;5, 0, F1556))</f>
        <v/>
      </c>
      <c r="E1556">
        <f>VLOOKUP(B1556,[1]Namshi!$A:$B,2,0)</f>
        <v/>
      </c>
      <c r="F1556" s="4">
        <f>SUMIFS('Dubai Stock'!I:I,'Dubai Stock'!H:H,Final_UAE!B:B)</f>
        <v/>
      </c>
      <c r="H1556" s="8" t="e">
        <v>#N/A</v>
      </c>
    </row>
    <row r="1557">
      <c r="A1557" s="4" t="n">
        <v>33834</v>
      </c>
      <c r="B1557" s="4" t="inlineStr">
        <is>
          <t>sw32306-30s-000224-2306-58</t>
        </is>
      </c>
      <c r="C1557" s="4" t="inlineStr">
        <is>
          <t>W00031886A</t>
        </is>
      </c>
      <c r="D1557" s="6">
        <f>IF(F1557&gt;=5, F1557-5, IF(F1557&lt;5, 0, F1557))</f>
        <v/>
      </c>
      <c r="E1557">
        <f>VLOOKUP(B1557,[1]Namshi!$A:$B,2,0)</f>
        <v/>
      </c>
      <c r="F1557" s="4">
        <f>SUMIFS('Dubai Stock'!I:I,'Dubai Stock'!H:H,Final_UAE!B:B)</f>
        <v/>
      </c>
      <c r="H1557" s="8" t="e">
        <v>#N/A</v>
      </c>
    </row>
    <row r="1558">
      <c r="A1558" s="4" t="n">
        <v>33834</v>
      </c>
      <c r="B1558" s="4" t="inlineStr">
        <is>
          <t>clstmon-eve-prom-p01-sn0200</t>
        </is>
      </c>
      <c r="C1558" s="4" t="inlineStr">
        <is>
          <t>W00031886A</t>
        </is>
      </c>
      <c r="D1558" s="6">
        <f>IF(F1558&gt;=5, F1558-5, IF(F1558&lt;5, 0, F1558))</f>
        <v/>
      </c>
      <c r="E1558">
        <f>VLOOKUP(B1558,[1]Namshi!$A:$B,2,0)</f>
        <v/>
      </c>
      <c r="F1558" s="4">
        <f>SUMIFS('Dubai Stock'!I:I,'Dubai Stock'!H:H,Final_UAE!B:B)</f>
        <v/>
      </c>
      <c r="H1558" s="8" t="e">
        <v>#N/A</v>
      </c>
      <c r="I1558" s="8" t="n"/>
    </row>
    <row r="1559">
      <c r="A1559" s="4" t="n">
        <v>33834</v>
      </c>
      <c r="B1559" s="4" t="inlineStr">
        <is>
          <t>sw32904-bla-000252-2904-54</t>
        </is>
      </c>
      <c r="C1559" s="4" t="inlineStr">
        <is>
          <t>W00031886A</t>
        </is>
      </c>
      <c r="D1559" s="6">
        <f>IF(F1559&gt;=5, F1559-5, IF(F1559&lt;5, 0, F1559))</f>
        <v/>
      </c>
      <c r="E1559">
        <f>VLOOKUP(B1559,[1]Namshi!$A:$B,2,0)</f>
        <v/>
      </c>
      <c r="F1559" s="4">
        <f>SUMIFS('Dubai Stock'!I:I,'Dubai Stock'!H:H,Final_UAE!B:B)</f>
        <v/>
      </c>
      <c r="H1559" s="8" t="e">
        <v>#N/A</v>
      </c>
    </row>
    <row r="1560">
      <c r="A1560" s="4" t="n">
        <v>33834</v>
      </c>
      <c r="B1560" s="4" t="inlineStr">
        <is>
          <t>fw20618-spc-000505-0600-50</t>
        </is>
      </c>
      <c r="C1560" s="4" t="inlineStr">
        <is>
          <t>W00031886A</t>
        </is>
      </c>
      <c r="D1560" s="6">
        <f>IF(F1560&gt;=5, F1560-5, IF(F1560&lt;5, 0, F1560))</f>
        <v/>
      </c>
      <c r="E1560">
        <f>VLOOKUP(B1560,[1]Namshi!$A:$B,2,0)</f>
        <v/>
      </c>
      <c r="F1560" s="4">
        <f>SUMIFS('Dubai Stock'!I:I,'Dubai Stock'!H:H,Final_UAE!B:B)</f>
        <v/>
      </c>
      <c r="H1560" s="8" t="e">
        <v>#N/A</v>
      </c>
      <c r="I1560" s="8" t="n"/>
    </row>
    <row r="1561">
      <c r="A1561" s="4" t="n">
        <v>33834</v>
      </c>
      <c r="B1561" s="4" t="inlineStr">
        <is>
          <t>sw71210-bla-000201-1213-52</t>
        </is>
      </c>
      <c r="C1561" s="4" t="inlineStr">
        <is>
          <t>W00031886A</t>
        </is>
      </c>
      <c r="D1561" s="6">
        <f>IF(F1561&gt;=5, F1561-5, IF(F1561&lt;5, 0, F1561))</f>
        <v/>
      </c>
      <c r="E1561">
        <f>VLOOKUP(B1561,[1]Namshi!$A:$B,2,0)</f>
        <v/>
      </c>
      <c r="F1561" s="4">
        <f>SUMIFS('Dubai Stock'!I:I,'Dubai Stock'!H:H,Final_UAE!B:B)</f>
        <v/>
      </c>
      <c r="H1561" s="8" t="e">
        <v>#N/A</v>
      </c>
    </row>
    <row r="1562">
      <c r="A1562" s="4" t="n">
        <v>33834</v>
      </c>
      <c r="B1562" s="4" t="inlineStr">
        <is>
          <t>clstdai-btr-oned-p30-sp0300</t>
        </is>
      </c>
      <c r="C1562" s="4" t="inlineStr">
        <is>
          <t>W00031886A</t>
        </is>
      </c>
      <c r="D1562" s="6">
        <f>IF(F1562&gt;=5, F1562-5, IF(F1562&lt;5, 0, F1562))</f>
        <v/>
      </c>
      <c r="E1562">
        <f>VLOOKUP(B1562,[1]Namshi!$A:$B,2,0)</f>
        <v/>
      </c>
      <c r="F1562" s="4">
        <f>SUMIFS('Dubai Stock'!I:I,'Dubai Stock'!H:H,Final_UAE!B:B)</f>
        <v/>
      </c>
      <c r="H1562" s="8" t="e">
        <v>#N/A</v>
      </c>
      <c r="I1562" s="8" t="n"/>
    </row>
    <row r="1563">
      <c r="A1563" s="4" t="n">
        <v>33834</v>
      </c>
      <c r="B1563" s="4" t="inlineStr">
        <is>
          <t>clstdai-dai-tot1-p90-sn0375</t>
        </is>
      </c>
      <c r="C1563" s="4" t="inlineStr">
        <is>
          <t>W00031886A</t>
        </is>
      </c>
      <c r="D1563" s="6">
        <f>IF(F1563&gt;=5, F1563-5, IF(F1563&lt;5, 0, F1563))</f>
        <v/>
      </c>
      <c r="E1563">
        <f>VLOOKUP(B1563,[1]Namshi!$A:$B,2,0)</f>
        <v/>
      </c>
      <c r="F1563" s="4">
        <f>SUMIFS('Dubai Stock'!I:I,'Dubai Stock'!H:H,Final_UAE!B:B)</f>
        <v/>
      </c>
      <c r="H1563" s="8" t="e">
        <v>#N/A</v>
      </c>
      <c r="I1563" s="8" t="n"/>
    </row>
    <row r="1564">
      <c r="A1564" s="4" t="n">
        <v>33834</v>
      </c>
      <c r="B1564" s="4" t="inlineStr">
        <is>
          <t>clstdai-acu-dfvi-p90-sn0475</t>
        </is>
      </c>
      <c r="C1564" s="4" t="inlineStr">
        <is>
          <t>W00031886A</t>
        </is>
      </c>
      <c r="D1564" s="6">
        <f>IF(F1564&gt;=5, F1564-5, IF(F1564&lt;5, 0, F1564))</f>
        <v/>
      </c>
      <c r="E1564">
        <f>VLOOKUP(B1564,[1]Namshi!$A:$B,2,0)</f>
        <v/>
      </c>
      <c r="F1564" s="4">
        <f>SUMIFS('Dubai Stock'!I:I,'Dubai Stock'!H:H,Final_UAE!B:B)</f>
        <v/>
      </c>
      <c r="H1564" s="8" t="e">
        <v>#N/A</v>
      </c>
      <c r="I1564" s="8" t="n"/>
    </row>
    <row r="1565">
      <c r="A1565" s="4" t="n">
        <v>33834</v>
      </c>
      <c r="B1565" s="4" t="inlineStr">
        <is>
          <t>sacchan-30s-luna-gold</t>
        </is>
      </c>
      <c r="C1565" s="4" t="inlineStr">
        <is>
          <t>W00031886A</t>
        </is>
      </c>
      <c r="D1565" s="6">
        <f>IF(F1565&gt;=5, F1565-5, IF(F1565&lt;5, 0, F1565))</f>
        <v/>
      </c>
      <c r="E1565">
        <f>VLOOKUP(B1565,[1]Namshi!$A:$B,2,0)</f>
        <v/>
      </c>
      <c r="F1565" s="4">
        <f>SUMIFS('Dubai Stock'!I:I,'Dubai Stock'!H:H,Final_UAE!B:B)</f>
        <v/>
      </c>
      <c r="H1565" s="8" t="e">
        <v>#N/A</v>
      </c>
      <c r="I1565" s="8" t="n"/>
    </row>
    <row r="1566">
      <c r="A1566" s="4" t="n">
        <v>33834</v>
      </c>
      <c r="B1566" s="4" t="inlineStr">
        <is>
          <t>clstdai-acu-dfna-p30-sn0400</t>
        </is>
      </c>
      <c r="C1566" s="4" t="inlineStr">
        <is>
          <t>W00031886A</t>
        </is>
      </c>
      <c r="D1566" s="6">
        <f>IF(F1566&gt;=5, F1566-5, IF(F1566&lt;5, 0, F1566))</f>
        <v/>
      </c>
      <c r="E1566">
        <f>VLOOKUP(B1566,[1]Namshi!$A:$B,2,0)</f>
        <v/>
      </c>
      <c r="F1566" s="4">
        <f>SUMIFS('Dubai Stock'!I:I,'Dubai Stock'!H:H,Final_UAE!B:B)</f>
        <v/>
      </c>
      <c r="H1566" s="8" t="e">
        <v>#N/A</v>
      </c>
      <c r="I1566" s="8" t="n"/>
    </row>
    <row r="1567">
      <c r="A1567" s="4" t="n">
        <v>33834</v>
      </c>
      <c r="B1567" s="4" t="inlineStr">
        <is>
          <t>clstdai-cti-cla1-p30-sn0900</t>
        </is>
      </c>
      <c r="C1567" s="4" t="inlineStr">
        <is>
          <t>W00031886A</t>
        </is>
      </c>
      <c r="D1567" s="6">
        <f>IF(F1567&gt;=5, F1567-5, IF(F1567&lt;5, 0, F1567))</f>
        <v/>
      </c>
      <c r="E1567">
        <f>VLOOKUP(B1567,[1]Namshi!$A:$B,2,0)</f>
        <v/>
      </c>
      <c r="F1567" s="4">
        <f>SUMIFS('Dubai Stock'!I:I,'Dubai Stock'!H:H,Final_UAE!B:B)</f>
        <v/>
      </c>
      <c r="H1567" s="8" t="e">
        <v>#N/A</v>
      </c>
      <c r="I1567" s="8" t="n"/>
    </row>
    <row r="1568">
      <c r="A1568" s="4" t="n">
        <v>33834</v>
      </c>
      <c r="B1568" s="4" t="inlineStr">
        <is>
          <t>clstdai-btr-oned-p30-sn0600</t>
        </is>
      </c>
      <c r="C1568" s="4" t="inlineStr">
        <is>
          <t>W00031886A</t>
        </is>
      </c>
      <c r="D1568" s="6">
        <f>IF(F1568&gt;=5, F1568-5, IF(F1568&lt;5, 0, F1568))</f>
        <v/>
      </c>
      <c r="E1568">
        <f>VLOOKUP(B1568,[1]Namshi!$A:$B,2,0)</f>
        <v/>
      </c>
      <c r="F1568" s="4">
        <f>SUMIFS('Dubai Stock'!I:I,'Dubai Stock'!H:H,Final_UAE!B:B)</f>
        <v/>
      </c>
      <c r="H1568" s="8" t="e">
        <v>#N/A</v>
      </c>
      <c r="I1568" s="8" t="n"/>
    </row>
    <row r="1569">
      <c r="A1569" s="4" t="n">
        <v>33834</v>
      </c>
      <c r="B1569" s="4" t="inlineStr">
        <is>
          <t>clstmon-sof-sl59-p06-sn0250</t>
        </is>
      </c>
      <c r="C1569" s="4" t="inlineStr">
        <is>
          <t>W00031886A</t>
        </is>
      </c>
      <c r="D1569" s="6">
        <f>IF(F1569&gt;=5, F1569-5, IF(F1569&lt;5, 0, F1569))</f>
        <v/>
      </c>
      <c r="E1569">
        <f>VLOOKUP(B1569,[1]Namshi!$A:$B,2,0)</f>
        <v/>
      </c>
      <c r="F1569" s="4">
        <f>SUMIFS('Dubai Stock'!I:I,'Dubai Stock'!H:H,Final_UAE!B:B)</f>
        <v/>
      </c>
      <c r="H1569" s="8" t="e">
        <v>#N/A</v>
      </c>
      <c r="I1569" s="8" t="n"/>
    </row>
    <row r="1570">
      <c r="A1570" s="4" t="n">
        <v>33834</v>
      </c>
      <c r="B1570" s="4" t="inlineStr">
        <is>
          <t>sw50101-bla-000233-0101-54</t>
        </is>
      </c>
      <c r="C1570" s="4" t="inlineStr">
        <is>
          <t>W00031886A</t>
        </is>
      </c>
      <c r="D1570" s="6">
        <f>IF(F1570&gt;=5, F1570-5, IF(F1570&lt;5, 0, F1570))</f>
        <v/>
      </c>
      <c r="E1570">
        <f>VLOOKUP(B1570,[1]Namshi!$A:$B,2,0)</f>
        <v/>
      </c>
      <c r="F1570" s="4">
        <f>SUMIFS('Dubai Stock'!I:I,'Dubai Stock'!H:H,Final_UAE!B:B)</f>
        <v/>
      </c>
      <c r="H1570" s="8" t="e">
        <v>#N/A</v>
      </c>
    </row>
    <row r="1571">
      <c r="A1571" s="4" t="n">
        <v>33834</v>
      </c>
      <c r="B1571" s="4" t="inlineStr">
        <is>
          <t>sw52404-30s-000431-2404-50</t>
        </is>
      </c>
      <c r="C1571" s="4" t="inlineStr">
        <is>
          <t>W00031886A</t>
        </is>
      </c>
      <c r="D1571" s="6">
        <f>IF(F1571&gt;=5, F1571-5, IF(F1571&lt;5, 0, F1571))</f>
        <v/>
      </c>
      <c r="E1571">
        <f>VLOOKUP(B1571,[1]Namshi!$A:$B,2,0)</f>
        <v/>
      </c>
      <c r="F1571" s="4">
        <f>SUMIFS('Dubai Stock'!I:I,'Dubai Stock'!H:H,Final_UAE!B:B)</f>
        <v/>
      </c>
      <c r="H1571" s="8" t="e">
        <v>#N/A</v>
      </c>
    </row>
    <row r="1572">
      <c r="A1572" s="4" t="n">
        <v>33834</v>
      </c>
      <c r="B1572" s="4" t="inlineStr">
        <is>
          <t>sw30107-30s-000224-0101-59</t>
        </is>
      </c>
      <c r="C1572" s="4" t="inlineStr">
        <is>
          <t>W00031886A</t>
        </is>
      </c>
      <c r="D1572" s="6">
        <f>IF(F1572&gt;=5, F1572-5, IF(F1572&lt;5, 0, F1572))</f>
        <v/>
      </c>
      <c r="E1572">
        <f>VLOOKUP(B1572,[1]Namshi!$A:$B,2,0)</f>
        <v/>
      </c>
      <c r="F1572" s="4">
        <f>SUMIFS('Dubai Stock'!I:I,'Dubai Stock'!H:H,Final_UAE!B:B)</f>
        <v/>
      </c>
      <c r="H1572" s="8" t="e">
        <v>#N/A</v>
      </c>
    </row>
    <row r="1573">
      <c r="A1573" s="4" t="n">
        <v>33834</v>
      </c>
      <c r="B1573" s="4" t="inlineStr">
        <is>
          <t>clstdai-acu-omax-p90-sn0500</t>
        </is>
      </c>
      <c r="C1573" s="4" t="inlineStr">
        <is>
          <t>W00031886A</t>
        </is>
      </c>
      <c r="D1573" s="6">
        <f>IF(F1573&gt;=5, F1573-5, IF(F1573&lt;5, 0, F1573))</f>
        <v/>
      </c>
      <c r="E1573">
        <f>VLOOKUP(B1573,[1]Namshi!$A:$B,2,0)</f>
        <v/>
      </c>
      <c r="F1573" s="4">
        <f>SUMIFS('Dubai Stock'!I:I,'Dubai Stock'!H:H,Final_UAE!B:B)</f>
        <v/>
      </c>
      <c r="H1573" s="8" t="e">
        <v>#N/A</v>
      </c>
      <c r="I1573" s="8" t="n"/>
    </row>
    <row r="1574">
      <c r="A1574" s="4" t="n">
        <v>33834</v>
      </c>
      <c r="B1574" s="4" t="inlineStr">
        <is>
          <t>clstdai-acu-omax-p90-sn0475</t>
        </is>
      </c>
      <c r="C1574" s="4" t="inlineStr">
        <is>
          <t>W00031886A</t>
        </is>
      </c>
      <c r="D1574" s="6">
        <f>IF(F1574&gt;=5, F1574-5, IF(F1574&lt;5, 0, F1574))</f>
        <v/>
      </c>
      <c r="E1574">
        <f>VLOOKUP(B1574,[1]Namshi!$A:$B,2,0)</f>
        <v/>
      </c>
      <c r="F1574" s="4">
        <f>SUMIFS('Dubai Stock'!I:I,'Dubai Stock'!H:H,Final_UAE!B:B)</f>
        <v/>
      </c>
      <c r="H1574" s="8" t="e">
        <v>#N/A</v>
      </c>
      <c r="I1574" s="8" t="n"/>
    </row>
    <row r="1575">
      <c r="A1575" s="4" t="n">
        <v>33834</v>
      </c>
      <c r="B1575" s="4" t="inlineStr">
        <is>
          <t>sw31306-bla-000222-1306-57</t>
        </is>
      </c>
      <c r="C1575" s="4" t="inlineStr">
        <is>
          <t>W00031886A</t>
        </is>
      </c>
      <c r="D1575" s="6">
        <f>IF(F1575&gt;=5, F1575-5, IF(F1575&lt;5, 0, F1575))</f>
        <v/>
      </c>
      <c r="E1575">
        <f>VLOOKUP(B1575,[1]Namshi!$A:$B,2,0)</f>
        <v/>
      </c>
      <c r="F1575" s="4">
        <f>SUMIFS('Dubai Stock'!I:I,'Dubai Stock'!H:H,Final_UAE!B:B)</f>
        <v/>
      </c>
      <c r="H1575" s="8" t="e">
        <v>#N/A</v>
      </c>
    </row>
    <row r="1576">
      <c r="A1576" s="4" t="n">
        <v>33834</v>
      </c>
      <c r="B1576" s="4" t="inlineStr">
        <is>
          <t>cost3mo-lay-lens-p02-crystal-brown-sn0275</t>
        </is>
      </c>
      <c r="C1576" s="4" t="inlineStr">
        <is>
          <t>W00031886A</t>
        </is>
      </c>
      <c r="D1576" s="6">
        <f>IF(F1576&gt;=5, F1576-5, IF(F1576&lt;5, 0, F1576))</f>
        <v/>
      </c>
      <c r="E1576">
        <f>VLOOKUP(B1576,[1]Namshi!$A:$B,2,0)</f>
        <v/>
      </c>
      <c r="F1576" s="4">
        <f>SUMIFS('Dubai Stock'!I:I,'Dubai Stock'!H:H,Final_UAE!B:B)</f>
        <v/>
      </c>
      <c r="H1576" s="8" t="e">
        <v>#N/A</v>
      </c>
      <c r="I1576" s="8" t="n"/>
    </row>
    <row r="1577">
      <c r="A1577" s="4" t="n">
        <v>33834</v>
      </c>
      <c r="B1577" s="4" t="inlineStr">
        <is>
          <t>clstdai-acu-mois-p90-sp0400</t>
        </is>
      </c>
      <c r="C1577" s="4" t="inlineStr">
        <is>
          <t>W00031886A</t>
        </is>
      </c>
      <c r="D1577" s="6">
        <f>IF(F1577&gt;=5, F1577-5, IF(F1577&lt;5, 0, F1577))</f>
        <v/>
      </c>
      <c r="E1577">
        <f>VLOOKUP(B1577,[1]Namshi!$A:$B,2,0)</f>
        <v/>
      </c>
      <c r="F1577" s="4">
        <f>SUMIFS('Dubai Stock'!I:I,'Dubai Stock'!H:H,Final_UAE!B:B)</f>
        <v/>
      </c>
      <c r="H1577" s="8" t="e">
        <v>#N/A</v>
      </c>
      <c r="I1577" s="8" t="n"/>
    </row>
    <row r="1578">
      <c r="A1578" s="4" t="n">
        <v>33834</v>
      </c>
      <c r="B1578" s="4" t="inlineStr">
        <is>
          <t>clstbiw-acu-oasy-p06-sn0275</t>
        </is>
      </c>
      <c r="C1578" s="4" t="inlineStr">
        <is>
          <t>W00031886A</t>
        </is>
      </c>
      <c r="D1578" s="6">
        <f>IF(F1578&gt;=5, F1578-5, IF(F1578&lt;5, 0, F1578))</f>
        <v/>
      </c>
      <c r="E1578">
        <f>VLOOKUP(B1578,[1]Namshi!$A:$B,2,0)</f>
        <v/>
      </c>
      <c r="F1578" s="4">
        <f>SUMIFS('Dubai Stock'!I:I,'Dubai Stock'!H:H,Final_UAE!B:B)</f>
        <v/>
      </c>
      <c r="H1578" s="8" t="e">
        <v>#N/A</v>
      </c>
      <c r="I1578" s="8" t="n"/>
    </row>
    <row r="1579">
      <c r="A1579" s="4" t="n">
        <v>33834</v>
      </c>
      <c r="B1579" s="4" t="inlineStr">
        <is>
          <t>clstdai-acu-oasy-p30-sp0550</t>
        </is>
      </c>
      <c r="C1579" s="4" t="inlineStr">
        <is>
          <t>W00031886A</t>
        </is>
      </c>
      <c r="D1579" s="6">
        <f>IF(F1579&gt;=5, F1579-5, IF(F1579&lt;5, 0, F1579))</f>
        <v/>
      </c>
      <c r="E1579">
        <f>VLOOKUP(B1579,[1]Namshi!$A:$B,2,0)</f>
        <v/>
      </c>
      <c r="F1579" s="4">
        <f>SUMIFS('Dubai Stock'!I:I,'Dubai Stock'!H:H,Final_UAE!B:B)</f>
        <v/>
      </c>
      <c r="H1579" s="8" t="e">
        <v>#N/A</v>
      </c>
      <c r="I1579" s="8" t="n"/>
    </row>
    <row r="1580">
      <c r="A1580" s="4" t="n">
        <v>33834</v>
      </c>
      <c r="B1580" s="4" t="inlineStr">
        <is>
          <t>clstbiw-acu-cle-p06-sn0250</t>
        </is>
      </c>
      <c r="C1580" s="4" t="inlineStr">
        <is>
          <t>W00031886A</t>
        </is>
      </c>
      <c r="D1580" s="6">
        <f>IF(F1580&gt;=5, F1580-5, IF(F1580&lt;5, 0, F1580))</f>
        <v/>
      </c>
      <c r="E1580">
        <f>VLOOKUP(B1580,[1]Namshi!$A:$B,2,0)</f>
        <v/>
      </c>
      <c r="F1580" s="4">
        <f>SUMIFS('Dubai Stock'!I:I,'Dubai Stock'!H:H,Final_UAE!B:B)</f>
        <v/>
      </c>
      <c r="H1580" s="8" t="e">
        <v>#N/A</v>
      </c>
      <c r="I1580" s="8" t="n"/>
    </row>
    <row r="1581">
      <c r="A1581" s="4" t="n">
        <v>33834</v>
      </c>
      <c r="B1581" s="4" t="inlineStr">
        <is>
          <t>clstdai-acu-omax-p90-sn0425</t>
        </is>
      </c>
      <c r="C1581" s="4" t="inlineStr">
        <is>
          <t>W00031886A</t>
        </is>
      </c>
      <c r="D1581" s="6">
        <f>IF(F1581&gt;=5, F1581-5, IF(F1581&lt;5, 0, F1581))</f>
        <v/>
      </c>
      <c r="E1581">
        <f>VLOOKUP(B1581,[1]Namshi!$A:$B,2,0)</f>
        <v/>
      </c>
      <c r="F1581" s="4">
        <f>SUMIFS('Dubai Stock'!I:I,'Dubai Stock'!H:H,Final_UAE!B:B)</f>
        <v/>
      </c>
      <c r="H1581" s="8" t="e">
        <v>#N/A</v>
      </c>
      <c r="I1581" s="8" t="n"/>
    </row>
    <row r="1582">
      <c r="A1582" s="4" t="n">
        <v>33834</v>
      </c>
      <c r="B1582" s="4" t="inlineStr">
        <is>
          <t>costdai-acu-dffr-p10-hazel-sn0550</t>
        </is>
      </c>
      <c r="C1582" s="4" t="inlineStr">
        <is>
          <t>W00031886A</t>
        </is>
      </c>
      <c r="D1582" s="6">
        <f>IF(F1582&gt;=5, F1582-5, IF(F1582&lt;5, 0, F1582))</f>
        <v/>
      </c>
      <c r="E1582">
        <f>VLOOKUP(B1582,[1]Namshi!$A:$B,2,0)</f>
        <v/>
      </c>
      <c r="F1582" s="4">
        <f>SUMIFS('Dubai Stock'!I:I,'Dubai Stock'!H:H,Final_UAE!B:B)</f>
        <v/>
      </c>
      <c r="H1582" s="8" t="e">
        <v>#N/A</v>
      </c>
      <c r="I1582" s="8" t="n"/>
    </row>
    <row r="1583">
      <c r="A1583" s="4" t="n">
        <v>33834</v>
      </c>
      <c r="B1583" s="4" t="inlineStr">
        <is>
          <t>clstdai-dai-tot1-p30-sp0525</t>
        </is>
      </c>
      <c r="C1583" s="4" t="inlineStr">
        <is>
          <t>W00031886A</t>
        </is>
      </c>
      <c r="D1583" s="6">
        <f>IF(F1583&gt;=5, F1583-5, IF(F1583&lt;5, 0, F1583))</f>
        <v/>
      </c>
      <c r="E1583">
        <f>VLOOKUP(B1583,[1]Namshi!$A:$B,2,0)</f>
        <v/>
      </c>
      <c r="F1583" s="4">
        <f>SUMIFS('Dubai Stock'!I:I,'Dubai Stock'!H:H,Final_UAE!B:B)</f>
        <v/>
      </c>
      <c r="H1583" s="8" t="e">
        <v>#N/A</v>
      </c>
      <c r="I1583" s="8" t="n"/>
    </row>
    <row r="1584">
      <c r="A1584" s="4" t="n">
        <v>33834</v>
      </c>
      <c r="B1584" s="4" t="inlineStr">
        <is>
          <t>su22904-30s-000229-0504-53</t>
        </is>
      </c>
      <c r="C1584" s="4" t="inlineStr">
        <is>
          <t>W00031886A</t>
        </is>
      </c>
      <c r="D1584" s="6">
        <f>IF(F1584&gt;=5, F1584-5, IF(F1584&lt;5, 0, F1584))</f>
        <v/>
      </c>
      <c r="E1584">
        <f>VLOOKUP(B1584,[1]Namshi!$A:$B,2,0)</f>
        <v/>
      </c>
      <c r="F1584" s="4">
        <f>SUMIFS('Dubai Stock'!I:I,'Dubai Stock'!H:H,Final_UAE!B:B)</f>
        <v/>
      </c>
      <c r="H1584" s="8" t="e">
        <v>#N/A</v>
      </c>
    </row>
    <row r="1585">
      <c r="A1585" s="4" t="n">
        <v>33834</v>
      </c>
      <c r="B1585" s="4" t="inlineStr">
        <is>
          <t>su40115-bla-000361-0115-52</t>
        </is>
      </c>
      <c r="C1585" s="4" t="inlineStr">
        <is>
          <t>W00031886A</t>
        </is>
      </c>
      <c r="D1585" s="6">
        <f>IF(F1585&gt;=5, F1585-5, IF(F1585&lt;5, 0, F1585))</f>
        <v/>
      </c>
      <c r="E1585">
        <f>VLOOKUP(B1585,[1]Namshi!$A:$B,2,0)</f>
        <v/>
      </c>
      <c r="F1585" s="4">
        <f>SUMIFS('Dubai Stock'!I:I,'Dubai Stock'!H:H,Final_UAE!B:B)</f>
        <v/>
      </c>
      <c r="H1585" s="8" t="e">
        <v>#N/A</v>
      </c>
    </row>
    <row r="1586">
      <c r="A1586" s="4" t="n">
        <v>33834</v>
      </c>
      <c r="B1586" s="4" t="inlineStr">
        <is>
          <t>su100707-bla-000358-0707-47</t>
        </is>
      </c>
      <c r="C1586" s="4" t="inlineStr">
        <is>
          <t>W00031886A</t>
        </is>
      </c>
      <c r="D1586" s="6">
        <f>IF(F1586&gt;=5, F1586-5, IF(F1586&lt;5, 0, F1586))</f>
        <v/>
      </c>
      <c r="E1586">
        <f>VLOOKUP(B1586,[1]Namshi!$A:$B,2,0)</f>
        <v/>
      </c>
      <c r="F1586" s="4">
        <f>SUMIFS('Dubai Stock'!I:I,'Dubai Stock'!H:H,Final_UAE!B:B)</f>
        <v/>
      </c>
      <c r="H1586" s="8" t="e">
        <v>#N/A</v>
      </c>
    </row>
    <row r="1587">
      <c r="A1587" s="4" t="n">
        <v>33834</v>
      </c>
      <c r="B1587" s="4" t="inlineStr">
        <is>
          <t>cost3mo-lay-2022-p02-avena-brown-sn0325</t>
        </is>
      </c>
      <c r="C1587" s="4" t="inlineStr">
        <is>
          <t>W00031886A</t>
        </is>
      </c>
      <c r="D1587" s="6">
        <f>IF(F1587&gt;=5, F1587-5, IF(F1587&lt;5, 0, F1587))</f>
        <v/>
      </c>
      <c r="E1587">
        <f>VLOOKUP(B1587,[1]Namshi!$A:$B,2,0)</f>
        <v/>
      </c>
      <c r="F1587" s="4">
        <f>SUMIFS('Dubai Stock'!I:I,'Dubai Stock'!H:H,Final_UAE!B:B)</f>
        <v/>
      </c>
      <c r="H1587" s="8" t="e">
        <v>#N/A</v>
      </c>
      <c r="I1587" s="8" t="n"/>
    </row>
    <row r="1588">
      <c r="A1588" s="4" t="n">
        <v>33834</v>
      </c>
      <c r="B1588" s="4" t="inlineStr">
        <is>
          <t>costdai-acu-dffr-p10-hazel-sn0450</t>
        </is>
      </c>
      <c r="C1588" s="4" t="inlineStr">
        <is>
          <t>W00031886A</t>
        </is>
      </c>
      <c r="D1588" s="6">
        <f>IF(F1588&gt;=5, F1588-5, IF(F1588&lt;5, 0, F1588))</f>
        <v/>
      </c>
      <c r="E1588">
        <f>VLOOKUP(B1588,[1]Namshi!$A:$B,2,0)</f>
        <v/>
      </c>
      <c r="F1588" s="4">
        <f>SUMIFS('Dubai Stock'!I:I,'Dubai Stock'!H:H,Final_UAE!B:B)</f>
        <v/>
      </c>
      <c r="H1588" s="8" t="e">
        <v>#N/A</v>
      </c>
      <c r="I1588" s="8" t="n"/>
    </row>
    <row r="1589">
      <c r="A1589" s="4" t="n">
        <v>33834</v>
      </c>
      <c r="B1589" s="4" t="inlineStr">
        <is>
          <t>cost3mo-lay-lens-p02-golden-brown-sn0375</t>
        </is>
      </c>
      <c r="C1589" s="4" t="inlineStr">
        <is>
          <t>W00031886A</t>
        </is>
      </c>
      <c r="D1589" s="6">
        <f>IF(F1589&gt;=5, F1589-5, IF(F1589&lt;5, 0, F1589))</f>
        <v/>
      </c>
      <c r="E1589">
        <f>VLOOKUP(B1589,[1]Namshi!$A:$B,2,0)</f>
        <v/>
      </c>
      <c r="F1589" s="4">
        <f>SUMIFS('Dubai Stock'!I:I,'Dubai Stock'!H:H,Final_UAE!B:B)</f>
        <v/>
      </c>
      <c r="H1589" s="8" t="e">
        <v>#N/A</v>
      </c>
      <c r="I1589" s="8" t="n"/>
    </row>
    <row r="1590">
      <c r="A1590" s="4" t="n">
        <v>33834</v>
      </c>
      <c r="B1590" s="4" t="inlineStr">
        <is>
          <t>costdai-ama-dail-p10-amber-sn0450</t>
        </is>
      </c>
      <c r="C1590" s="4" t="inlineStr">
        <is>
          <t>W00031886A</t>
        </is>
      </c>
      <c r="D1590" s="6">
        <f>IF(F1590&gt;=5, F1590-5, IF(F1590&lt;5, 0, F1590))</f>
        <v/>
      </c>
      <c r="E1590">
        <f>VLOOKUP(B1590,[1]Namshi!$A:$B,2,0)</f>
        <v/>
      </c>
      <c r="F1590" s="4">
        <f>SUMIFS('Dubai Stock'!I:I,'Dubai Stock'!H:H,Final_UAE!B:B)</f>
        <v/>
      </c>
      <c r="H1590" s="8" t="e">
        <v>#N/A</v>
      </c>
      <c r="I1590" s="8" t="n"/>
    </row>
    <row r="1591">
      <c r="A1591" s="4" t="n">
        <v>33834</v>
      </c>
      <c r="B1591" s="4" t="inlineStr">
        <is>
          <t>clstdai-sof-sdai-p90-sn0325</t>
        </is>
      </c>
      <c r="C1591" s="4" t="inlineStr">
        <is>
          <t>W00031886A</t>
        </is>
      </c>
      <c r="D1591" s="6">
        <f>IF(F1591&gt;=5, F1591-5, IF(F1591&lt;5, 0, F1591))</f>
        <v/>
      </c>
      <c r="E1591">
        <f>VLOOKUP(B1591,[1]Namshi!$A:$B,2,0)</f>
        <v/>
      </c>
      <c r="F1591" s="4">
        <f>SUMIFS('Dubai Stock'!I:I,'Dubai Stock'!H:H,Final_UAE!B:B)</f>
        <v/>
      </c>
      <c r="H1591" s="8" t="e">
        <v>#N/A</v>
      </c>
      <c r="I1591" s="8" t="n"/>
    </row>
    <row r="1592">
      <c r="A1592" s="4" t="n">
        <v>33834</v>
      </c>
      <c r="B1592" s="4" t="inlineStr">
        <is>
          <t>clstdai-lay-cont-p60-dazzle-brown-sn0900</t>
        </is>
      </c>
      <c r="C1592" s="4" t="inlineStr">
        <is>
          <t>W00031886A</t>
        </is>
      </c>
      <c r="D1592" s="6">
        <f>IF(F1592&gt;=5, F1592-5, IF(F1592&lt;5, 0, F1592))</f>
        <v/>
      </c>
      <c r="E1592">
        <f>VLOOKUP(B1592,[1]Namshi!$A:$B,2,0)</f>
        <v/>
      </c>
      <c r="F1592" s="4">
        <f>SUMIFS('Dubai Stock'!I:I,'Dubai Stock'!H:H,Final_UAE!B:B)</f>
        <v/>
      </c>
      <c r="H1592" s="8" t="e">
        <v>#N/A</v>
      </c>
      <c r="I1592" s="8" t="n"/>
    </row>
    <row r="1593">
      <c r="A1593" s="4" t="n">
        <v>33834</v>
      </c>
      <c r="B1593" s="4" t="inlineStr">
        <is>
          <t>cost3mo-lay-2022-p02-avena-brown-sn0250</t>
        </is>
      </c>
      <c r="C1593" s="4" t="inlineStr">
        <is>
          <t>W00031886A</t>
        </is>
      </c>
      <c r="D1593" s="6">
        <f>IF(F1593&gt;=5, F1593-5, IF(F1593&lt;5, 0, F1593))</f>
        <v/>
      </c>
      <c r="E1593">
        <f>VLOOKUP(B1593,[1]Namshi!$A:$B,2,0)</f>
        <v/>
      </c>
      <c r="F1593" s="4">
        <f>SUMIFS('Dubai Stock'!I:I,'Dubai Stock'!H:H,Final_UAE!B:B)</f>
        <v/>
      </c>
      <c r="H1593" s="8" t="e">
        <v>#N/A</v>
      </c>
      <c r="I1593" s="8" t="n"/>
    </row>
    <row r="1594">
      <c r="A1594" s="4" t="n">
        <v>33834</v>
      </c>
      <c r="B1594" s="4" t="inlineStr">
        <is>
          <t>clstdai-lay-cont-p90-dazzle-black-sn0650</t>
        </is>
      </c>
      <c r="C1594" s="4" t="inlineStr">
        <is>
          <t>W00031886A</t>
        </is>
      </c>
      <c r="D1594" s="6">
        <f>IF(F1594&gt;=5, F1594-5, IF(F1594&lt;5, 0, F1594))</f>
        <v/>
      </c>
      <c r="E1594">
        <f>VLOOKUP(B1594,[1]Namshi!$A:$B,2,0)</f>
        <v/>
      </c>
      <c r="F1594" s="4">
        <f>SUMIFS('Dubai Stock'!I:I,'Dubai Stock'!H:H,Final_UAE!B:B)</f>
        <v/>
      </c>
      <c r="H1594" s="8" t="e">
        <v>#N/A</v>
      </c>
      <c r="I1594" s="8" t="n"/>
    </row>
    <row r="1595">
      <c r="A1595" s="4" t="n">
        <v>33834</v>
      </c>
      <c r="B1595" s="4" t="inlineStr">
        <is>
          <t>clstdai-acu-dfvi-p90-sn0150</t>
        </is>
      </c>
      <c r="C1595" s="4" t="inlineStr">
        <is>
          <t>W00031886A</t>
        </is>
      </c>
      <c r="D1595" s="6">
        <f>IF(F1595&gt;=5, F1595-5, IF(F1595&lt;5, 0, F1595))</f>
        <v/>
      </c>
      <c r="E1595">
        <f>VLOOKUP(B1595,[1]Namshi!$A:$B,2,0)</f>
        <v/>
      </c>
      <c r="F1595" s="4">
        <f>SUMIFS('Dubai Stock'!I:I,'Dubai Stock'!H:H,Final_UAE!B:B)</f>
        <v/>
      </c>
      <c r="H1595" s="8" t="e">
        <v>#N/A</v>
      </c>
      <c r="I1595" s="8" t="n"/>
    </row>
    <row r="1596">
      <c r="A1596" s="4" t="n">
        <v>33834</v>
      </c>
      <c r="B1596" s="4" t="inlineStr">
        <is>
          <t>costdai-ama-dail-p10-moon-stone-sn0400</t>
        </is>
      </c>
      <c r="C1596" s="4" t="inlineStr">
        <is>
          <t>W00031886A</t>
        </is>
      </c>
      <c r="D1596" s="6">
        <f>IF(F1596&gt;=5, F1596-5, IF(F1596&lt;5, 0, F1596))</f>
        <v/>
      </c>
      <c r="E1596">
        <f>VLOOKUP(B1596,[1]Namshi!$A:$B,2,0)</f>
        <v/>
      </c>
      <c r="F1596" s="4">
        <f>SUMIFS('Dubai Stock'!I:I,'Dubai Stock'!H:H,Final_UAE!B:B)</f>
        <v/>
      </c>
      <c r="H1596" s="8" t="e">
        <v>#N/A</v>
      </c>
      <c r="I1596" s="8" t="n"/>
    </row>
    <row r="1597">
      <c r="A1597" s="4" t="n">
        <v>33834</v>
      </c>
      <c r="B1597" s="4" t="inlineStr">
        <is>
          <t>sm51202-30s-000278-1202-54</t>
        </is>
      </c>
      <c r="C1597" s="4" t="inlineStr">
        <is>
          <t>W00031886A</t>
        </is>
      </c>
      <c r="D1597" s="6">
        <f>IF(F1597&gt;=5, F1597-5, IF(F1597&lt;5, 0, F1597))</f>
        <v/>
      </c>
      <c r="E1597">
        <f>VLOOKUP(B1597,[1]Namshi!$A:$B,2,0)</f>
        <v/>
      </c>
      <c r="F1597" s="4">
        <f>SUMIFS('Dubai Stock'!I:I,'Dubai Stock'!H:H,Final_UAE!B:B)</f>
        <v/>
      </c>
      <c r="H1597" s="8" t="e">
        <v>#N/A</v>
      </c>
    </row>
    <row r="1598">
      <c r="A1598" s="4" t="n">
        <v>33834</v>
      </c>
      <c r="B1598" s="4" t="inlineStr">
        <is>
          <t>sw22104-30s-000269-2104-51</t>
        </is>
      </c>
      <c r="C1598" s="4" t="inlineStr">
        <is>
          <t>W00031886A</t>
        </is>
      </c>
      <c r="D1598" s="6">
        <f>IF(F1598&gt;=5, F1598-5, IF(F1598&lt;5, 0, F1598))</f>
        <v/>
      </c>
      <c r="E1598">
        <f>VLOOKUP(B1598,[1]Namshi!$A:$B,2,0)</f>
        <v/>
      </c>
      <c r="F1598" s="4">
        <f>SUMIFS('Dubai Stock'!I:I,'Dubai Stock'!H:H,Final_UAE!B:B)</f>
        <v/>
      </c>
      <c r="H1598" s="8" t="e">
        <v>#N/A</v>
      </c>
    </row>
    <row r="1599">
      <c r="A1599" s="4" t="n">
        <v>33834</v>
      </c>
      <c r="B1599" s="4" t="inlineStr">
        <is>
          <t>clstdai-acu-dfvi-p90-sn0650</t>
        </is>
      </c>
      <c r="C1599" s="4" t="inlineStr">
        <is>
          <t>W00031886A</t>
        </is>
      </c>
      <c r="D1599" s="6">
        <f>IF(F1599&gt;=5, F1599-5, IF(F1599&lt;5, 0, F1599))</f>
        <v/>
      </c>
      <c r="E1599">
        <f>VLOOKUP(B1599,[1]Namshi!$A:$B,2,0)</f>
        <v/>
      </c>
      <c r="F1599" s="4">
        <f>SUMIFS('Dubai Stock'!I:I,'Dubai Stock'!H:H,Final_UAE!B:B)</f>
        <v/>
      </c>
      <c r="H1599" s="8" t="e">
        <v>#N/A</v>
      </c>
      <c r="I1599" s="8" t="n"/>
    </row>
    <row r="1600">
      <c r="A1600" s="4" t="n">
        <v>33834</v>
      </c>
      <c r="B1600" s="4" t="inlineStr">
        <is>
          <t>cost3mo-lay-2020-p02-ash-gray-sn0500</t>
        </is>
      </c>
      <c r="C1600" s="4" t="inlineStr">
        <is>
          <t>W00031886A</t>
        </is>
      </c>
      <c r="D1600" s="6">
        <f>IF(F1600&gt;=5, F1600-5, IF(F1600&lt;5, 0, F1600))</f>
        <v/>
      </c>
      <c r="E1600">
        <f>VLOOKUP(B1600,[1]Namshi!$A:$B,2,0)</f>
        <v/>
      </c>
      <c r="F1600" s="4">
        <f>SUMIFS('Dubai Stock'!I:I,'Dubai Stock'!H:H,Final_UAE!B:B)</f>
        <v/>
      </c>
      <c r="H1600" s="8" t="e">
        <v>#N/A</v>
      </c>
      <c r="I1600" s="8" t="n"/>
    </row>
    <row r="1601">
      <c r="A1601" s="4" t="n">
        <v>33834</v>
      </c>
      <c r="B1601" s="4" t="inlineStr">
        <is>
          <t>sacchan-30s-chain102-gld-gold</t>
        </is>
      </c>
      <c r="C1601" s="4" t="inlineStr">
        <is>
          <t>W00031886A</t>
        </is>
      </c>
      <c r="D1601" s="6">
        <f>IF(F1601&gt;=5, F1601-5, IF(F1601&lt;5, 0, F1601))</f>
        <v/>
      </c>
      <c r="E1601">
        <f>VLOOKUP(B1601,[1]Namshi!$A:$B,2,0)</f>
        <v/>
      </c>
      <c r="F1601" s="4">
        <f>SUMIFS('Dubai Stock'!I:I,'Dubai Stock'!H:H,Final_UAE!B:B)</f>
        <v/>
      </c>
      <c r="H1601" s="8" t="e">
        <v>#N/A</v>
      </c>
      <c r="I1601" s="8" t="n"/>
    </row>
    <row r="1602">
      <c r="A1602" s="4" t="n">
        <v>33834</v>
      </c>
      <c r="B1602" s="4" t="inlineStr">
        <is>
          <t>clstdai-acu-mois-p90-sn0900</t>
        </is>
      </c>
      <c r="C1602" s="4" t="inlineStr">
        <is>
          <t>W00031886A</t>
        </is>
      </c>
      <c r="D1602" s="6">
        <f>IF(F1602&gt;=5, F1602-5, IF(F1602&lt;5, 0, F1602))</f>
        <v/>
      </c>
      <c r="E1602">
        <f>VLOOKUP(B1602,[1]Namshi!$A:$B,2,0)</f>
        <v/>
      </c>
      <c r="F1602" s="4">
        <f>SUMIFS('Dubai Stock'!I:I,'Dubai Stock'!H:H,Final_UAE!B:B)</f>
        <v/>
      </c>
      <c r="H1602" s="8" t="e">
        <v>#N/A</v>
      </c>
      <c r="I1602" s="8" t="n"/>
    </row>
    <row r="1603">
      <c r="A1603" s="4" t="n">
        <v>33834</v>
      </c>
      <c r="B1603" s="4" t="inlineStr">
        <is>
          <t>cost3mo-lay-2024-p02-moon-gray-sp0000</t>
        </is>
      </c>
      <c r="C1603" s="4" t="inlineStr">
        <is>
          <t>W00031886A</t>
        </is>
      </c>
      <c r="D1603" s="6">
        <f>IF(F1603&gt;=5, F1603-5, IF(F1603&lt;5, 0, F1603))</f>
        <v/>
      </c>
      <c r="E1603">
        <f>VLOOKUP(B1603,[1]Namshi!$A:$B,2,0)</f>
        <v/>
      </c>
      <c r="F1603" s="4">
        <f>SUMIFS('Dubai Stock'!I:I,'Dubai Stock'!H:H,Final_UAE!B:B)</f>
        <v/>
      </c>
      <c r="H1603" s="8" t="e">
        <v>#N/A</v>
      </c>
      <c r="I1603" s="8" t="n"/>
    </row>
    <row r="1604">
      <c r="A1604" s="4" t="n">
        <v>33834</v>
      </c>
      <c r="B1604" s="4" t="inlineStr">
        <is>
          <t>sw42906-bla-000246-2906-58</t>
        </is>
      </c>
      <c r="C1604" s="4" t="inlineStr">
        <is>
          <t>W00031886A</t>
        </is>
      </c>
      <c r="D1604" s="6">
        <f>IF(F1604&gt;=5, F1604-5, IF(F1604&lt;5, 0, F1604))</f>
        <v/>
      </c>
      <c r="E1604">
        <f>VLOOKUP(B1604,[1]Namshi!$A:$B,2,0)</f>
        <v/>
      </c>
      <c r="F1604" s="4">
        <f>SUMIFS('Dubai Stock'!I:I,'Dubai Stock'!H:H,Final_UAE!B:B)</f>
        <v/>
      </c>
      <c r="H1604" s="8" t="e">
        <v>#N/A</v>
      </c>
    </row>
    <row r="1605">
      <c r="A1605" s="4" t="n">
        <v>33834</v>
      </c>
      <c r="B1605" s="4" t="inlineStr">
        <is>
          <t>clstmon-ava-avai-p06-sn0450</t>
        </is>
      </c>
      <c r="C1605" s="4" t="inlineStr">
        <is>
          <t>W00031886A</t>
        </is>
      </c>
      <c r="D1605" s="6">
        <f>IF(F1605&gt;=5, F1605-5, IF(F1605&lt;5, 0, F1605))</f>
        <v/>
      </c>
      <c r="E1605">
        <f>VLOOKUP(B1605,[1]Namshi!$A:$B,2,0)</f>
        <v/>
      </c>
      <c r="F1605" s="4">
        <f>SUMIFS('Dubai Stock'!I:I,'Dubai Stock'!H:H,Final_UAE!B:B)</f>
        <v/>
      </c>
      <c r="H1605" s="8" t="e">
        <v>#N/A</v>
      </c>
      <c r="I1605" s="8" t="n"/>
    </row>
    <row r="1606">
      <c r="A1606" s="4" t="n">
        <v>33834</v>
      </c>
      <c r="B1606" s="4" t="inlineStr">
        <is>
          <t>cost3mo-cel-natu-p01-light-grey-sp0350</t>
        </is>
      </c>
      <c r="C1606" s="4" t="inlineStr">
        <is>
          <t>W00031886A</t>
        </is>
      </c>
      <c r="D1606" s="6">
        <f>IF(F1606&gt;=5, F1606-5, IF(F1606&lt;5, 0, F1606))</f>
        <v/>
      </c>
      <c r="E1606">
        <f>VLOOKUP(B1606,[1]Namshi!$A:$B,2,0)</f>
        <v/>
      </c>
      <c r="F1606" s="4">
        <f>SUMIFS('Dubai Stock'!I:I,'Dubai Stock'!H:H,Final_UAE!B:B)</f>
        <v/>
      </c>
      <c r="H1606" s="8" t="e">
        <v>#N/A</v>
      </c>
      <c r="I1606" s="8" t="n"/>
    </row>
    <row r="1607">
      <c r="A1607" s="4" t="n">
        <v>33834</v>
      </c>
      <c r="B1607" s="4" t="inlineStr">
        <is>
          <t>sw50101-bla-000234-0101-51</t>
        </is>
      </c>
      <c r="C1607" s="4" t="inlineStr">
        <is>
          <t>W00031886A</t>
        </is>
      </c>
      <c r="D1607" s="6">
        <f>IF(F1607&gt;=5, F1607-5, IF(F1607&lt;5, 0, F1607))</f>
        <v/>
      </c>
      <c r="E1607">
        <f>VLOOKUP(B1607,[1]Namshi!$A:$B,2,0)</f>
        <v/>
      </c>
      <c r="F1607" s="4">
        <f>SUMIFS('Dubai Stock'!I:I,'Dubai Stock'!H:H,Final_UAE!B:B)</f>
        <v/>
      </c>
      <c r="H1607" s="8" t="e">
        <v>#N/A</v>
      </c>
    </row>
    <row r="1608">
      <c r="A1608" s="4" t="n">
        <v>33834</v>
      </c>
      <c r="B1608" s="4" t="inlineStr">
        <is>
          <t>costdai-acu-dffr-p30-grayzel-sn0050</t>
        </is>
      </c>
      <c r="C1608" s="4" t="inlineStr">
        <is>
          <t>W00031886A</t>
        </is>
      </c>
      <c r="D1608" s="6">
        <f>IF(F1608&gt;=5, F1608-5, IF(F1608&lt;5, 0, F1608))</f>
        <v/>
      </c>
      <c r="E1608">
        <f>VLOOKUP(B1608,[1]Namshi!$A:$B,2,0)</f>
        <v/>
      </c>
      <c r="F1608" s="4">
        <f>SUMIFS('Dubai Stock'!I:I,'Dubai Stock'!H:H,Final_UAE!B:B)</f>
        <v/>
      </c>
      <c r="H1608" s="8" t="e">
        <v>#N/A</v>
      </c>
      <c r="I1608" s="8" t="n"/>
    </row>
    <row r="1609">
      <c r="A1609" s="4" t="n">
        <v>33834</v>
      </c>
      <c r="B1609" s="4" t="inlineStr">
        <is>
          <t>cost3mo-lay-2020-p02-hazel-brown-sn0500</t>
        </is>
      </c>
      <c r="C1609" s="4" t="inlineStr">
        <is>
          <t>W00031886A</t>
        </is>
      </c>
      <c r="D1609" s="6">
        <f>IF(F1609&gt;=5, F1609-5, IF(F1609&lt;5, 0, F1609))</f>
        <v/>
      </c>
      <c r="E1609">
        <f>VLOOKUP(B1609,[1]Namshi!$A:$B,2,0)</f>
        <v/>
      </c>
      <c r="F1609" s="4">
        <f>SUMIFS('Dubai Stock'!I:I,'Dubai Stock'!H:H,Final_UAE!B:B)</f>
        <v/>
      </c>
      <c r="H1609" s="8" t="e">
        <v>#N/A</v>
      </c>
      <c r="I1609" s="8" t="n"/>
    </row>
    <row r="1610">
      <c r="A1610" s="4" t="n">
        <v>33834</v>
      </c>
      <c r="B1610" s="4" t="inlineStr">
        <is>
          <t>sw62404-bla-000309-2404-48</t>
        </is>
      </c>
      <c r="C1610" s="4" t="inlineStr">
        <is>
          <t>W00031886A</t>
        </is>
      </c>
      <c r="D1610" s="6">
        <f>IF(F1610&gt;=5, F1610-5, IF(F1610&lt;5, 0, F1610))</f>
        <v/>
      </c>
      <c r="E1610">
        <f>VLOOKUP(B1610,[1]Namshi!$A:$B,2,0)</f>
        <v/>
      </c>
      <c r="F1610" s="4">
        <f>SUMIFS('Dubai Stock'!I:I,'Dubai Stock'!H:H,Final_UAE!B:B)</f>
        <v/>
      </c>
      <c r="H1610" s="8" t="e">
        <v>#N/A</v>
      </c>
    </row>
    <row r="1611">
      <c r="A1611" s="4" t="n">
        <v>33834</v>
      </c>
      <c r="B1611" s="4" t="inlineStr">
        <is>
          <t>costdai-acu-dffr-p30-green-sn0500</t>
        </is>
      </c>
      <c r="C1611" s="4" t="inlineStr">
        <is>
          <t>W00031886A</t>
        </is>
      </c>
      <c r="D1611" s="6">
        <f>IF(F1611&gt;=5, F1611-5, IF(F1611&lt;5, 0, F1611))</f>
        <v/>
      </c>
      <c r="E1611">
        <f>VLOOKUP(B1611,[1]Namshi!$A:$B,2,0)</f>
        <v/>
      </c>
      <c r="F1611" s="4">
        <f>SUMIFS('Dubai Stock'!I:I,'Dubai Stock'!H:H,Final_UAE!B:B)</f>
        <v/>
      </c>
      <c r="H1611" s="8" t="e">
        <v>#N/A</v>
      </c>
      <c r="I1611" s="8" t="n"/>
    </row>
    <row r="1612">
      <c r="A1612" s="4" t="n">
        <v>33834</v>
      </c>
      <c r="B1612" s="4" t="inlineStr">
        <is>
          <t>clstdai-acu-mois-p60-sn0550</t>
        </is>
      </c>
      <c r="C1612" s="4" t="inlineStr">
        <is>
          <t>W00031886A</t>
        </is>
      </c>
      <c r="D1612" s="6">
        <f>IF(F1612&gt;=5, F1612-5, IF(F1612&lt;5, 0, F1612))</f>
        <v/>
      </c>
      <c r="E1612">
        <f>VLOOKUP(B1612,[1]Namshi!$A:$B,2,0)</f>
        <v/>
      </c>
      <c r="F1612" s="4">
        <f>SUMIFS('Dubai Stock'!I:I,'Dubai Stock'!H:H,Final_UAE!B:B)</f>
        <v/>
      </c>
      <c r="H1612" s="8" t="e">
        <v>#N/A</v>
      </c>
      <c r="I1612" s="8" t="n"/>
    </row>
    <row r="1613">
      <c r="A1613" s="4" t="n">
        <v>33834</v>
      </c>
      <c r="B1613" s="4" t="inlineStr">
        <is>
          <t>sw102904-30s-000493-2904-56</t>
        </is>
      </c>
      <c r="C1613" s="4" t="inlineStr">
        <is>
          <t>W00031886A</t>
        </is>
      </c>
      <c r="D1613" s="6">
        <f>IF(F1613&gt;=5, F1613-5, IF(F1613&lt;5, 0, F1613))</f>
        <v/>
      </c>
      <c r="E1613">
        <f>VLOOKUP(B1613,[1]Namshi!$A:$B,2,0)</f>
        <v/>
      </c>
      <c r="F1613" s="4">
        <f>SUMIFS('Dubai Stock'!I:I,'Dubai Stock'!H:H,Final_UAE!B:B)</f>
        <v/>
      </c>
      <c r="H1613" s="8" t="e">
        <v>#N/A</v>
      </c>
      <c r="I1613" s="8" t="n"/>
    </row>
    <row r="1614">
      <c r="A1614" s="4" t="n">
        <v>33834</v>
      </c>
      <c r="B1614" s="4" t="inlineStr">
        <is>
          <t>su41706-rov-8003-13-11-59</t>
        </is>
      </c>
      <c r="C1614" s="4" t="inlineStr">
        <is>
          <t>W00031886A</t>
        </is>
      </c>
      <c r="D1614" s="6">
        <f>IF(F1614&gt;=5, F1614-5, IF(F1614&lt;5, 0, F1614))</f>
        <v/>
      </c>
      <c r="E1614">
        <f>VLOOKUP(B1614,[1]Namshi!$A:$B,2,0)</f>
        <v/>
      </c>
      <c r="F1614" s="4">
        <f>SUMIFS('Dubai Stock'!I:I,'Dubai Stock'!H:H,Final_UAE!B:B)</f>
        <v/>
      </c>
      <c r="H1614" s="8" t="e">
        <v>#N/A</v>
      </c>
      <c r="I1614" s="8" t="n"/>
    </row>
    <row r="1615">
      <c r="A1615" s="4" t="n">
        <v>33834</v>
      </c>
      <c r="B1615" s="4" t="inlineStr">
        <is>
          <t>clstdai-acu-oasy-p120-sn0750</t>
        </is>
      </c>
      <c r="C1615" s="4" t="inlineStr">
        <is>
          <t>W00031886A</t>
        </is>
      </c>
      <c r="D1615" s="6">
        <f>IF(F1615&gt;=5, F1615-5, IF(F1615&lt;5, 0, F1615))</f>
        <v/>
      </c>
      <c r="E1615">
        <f>VLOOKUP(B1615,[1]Namshi!$A:$B,2,0)</f>
        <v/>
      </c>
      <c r="F1615" s="4">
        <f>SUMIFS('Dubai Stock'!I:I,'Dubai Stock'!H:H,Final_UAE!B:B)</f>
        <v/>
      </c>
      <c r="H1615" s="8" t="e">
        <v>#N/A</v>
      </c>
      <c r="I1615" s="8" t="n"/>
    </row>
    <row r="1616">
      <c r="A1616" s="4" t="n">
        <v>33834</v>
      </c>
      <c r="B1616" s="4" t="inlineStr">
        <is>
          <t>costdai-acu-dffr-p30-green-sn0150</t>
        </is>
      </c>
      <c r="C1616" s="4" t="inlineStr">
        <is>
          <t>W00031886A</t>
        </is>
      </c>
      <c r="D1616" s="6">
        <f>IF(F1616&gt;=5, F1616-5, IF(F1616&lt;5, 0, F1616))</f>
        <v/>
      </c>
      <c r="E1616">
        <f>VLOOKUP(B1616,[1]Namshi!$A:$B,2,0)</f>
        <v/>
      </c>
      <c r="F1616" s="4">
        <f>SUMIFS('Dubai Stock'!I:I,'Dubai Stock'!H:H,Final_UAE!B:B)</f>
        <v/>
      </c>
      <c r="H1616" s="8" t="e">
        <v>#N/A</v>
      </c>
      <c r="I1616" s="8" t="n"/>
    </row>
    <row r="1617">
      <c r="A1617" s="4" t="n">
        <v>33834</v>
      </c>
      <c r="B1617" s="4" t="inlineStr">
        <is>
          <t>clstbiw-acu-oasy-p06-sn0175</t>
        </is>
      </c>
      <c r="C1617" s="4" t="inlineStr">
        <is>
          <t>W00031886A</t>
        </is>
      </c>
      <c r="D1617" s="6">
        <f>IF(F1617&gt;=5, F1617-5, IF(F1617&lt;5, 0, F1617))</f>
        <v/>
      </c>
      <c r="E1617">
        <f>VLOOKUP(B1617,[1]Namshi!$A:$B,2,0)</f>
        <v/>
      </c>
      <c r="F1617" s="4">
        <f>SUMIFS('Dubai Stock'!I:I,'Dubai Stock'!H:H,Final_UAE!B:B)</f>
        <v/>
      </c>
      <c r="H1617" s="8" t="e">
        <v>#N/A</v>
      </c>
      <c r="I1617" s="8" t="n"/>
    </row>
    <row r="1618">
      <c r="A1618" s="4" t="n">
        <v>33834</v>
      </c>
      <c r="B1618" s="4" t="inlineStr">
        <is>
          <t>cost3mo-cel-natu-p01-hazelwood-sp0400</t>
        </is>
      </c>
      <c r="C1618" s="4" t="inlineStr">
        <is>
          <t>W00031886A</t>
        </is>
      </c>
      <c r="D1618" s="6">
        <f>IF(F1618&gt;=5, F1618-5, IF(F1618&lt;5, 0, F1618))</f>
        <v/>
      </c>
      <c r="E1618">
        <f>VLOOKUP(B1618,[1]Namshi!$A:$B,2,0)</f>
        <v/>
      </c>
      <c r="F1618" s="4">
        <f>SUMIFS('Dubai Stock'!I:I,'Dubai Stock'!H:H,Final_UAE!B:B)</f>
        <v/>
      </c>
      <c r="H1618" s="8" t="e">
        <v>#N/A</v>
      </c>
      <c r="I1618" s="8" t="n"/>
    </row>
    <row r="1619">
      <c r="A1619" s="4" t="n">
        <v>33834</v>
      </c>
      <c r="B1619" s="4" t="inlineStr">
        <is>
          <t>bc20618-bab-000501-0618-46</t>
        </is>
      </c>
      <c r="C1619" s="4" t="inlineStr">
        <is>
          <t>W00031886A</t>
        </is>
      </c>
      <c r="D1619" s="6">
        <f>IF(F1619&gt;=5, F1619-5, IF(F1619&lt;5, 0, F1619))</f>
        <v/>
      </c>
      <c r="E1619">
        <f>VLOOKUP(B1619,[1]Namshi!$A:$B,2,0)</f>
        <v/>
      </c>
      <c r="F1619" s="4">
        <f>SUMIFS('Dubai Stock'!I:I,'Dubai Stock'!H:H,Final_UAE!B:B)</f>
        <v/>
      </c>
      <c r="H1619" s="8" t="e">
        <v>#N/A</v>
      </c>
    </row>
    <row r="1620">
      <c r="A1620" s="4" t="n">
        <v>33834</v>
      </c>
      <c r="B1620" s="4" t="inlineStr">
        <is>
          <t>clstdai-acu-oasy-p60-sn0750</t>
        </is>
      </c>
      <c r="C1620" s="4" t="inlineStr">
        <is>
          <t>W00031886A</t>
        </is>
      </c>
      <c r="D1620" s="6">
        <f>IF(F1620&gt;=5, F1620-5, IF(F1620&lt;5, 0, F1620))</f>
        <v/>
      </c>
      <c r="E1620">
        <f>VLOOKUP(B1620,[1]Namshi!$A:$B,2,0)</f>
        <v/>
      </c>
      <c r="F1620" s="4">
        <f>SUMIFS('Dubai Stock'!I:I,'Dubai Stock'!H:H,Final_UAE!B:B)</f>
        <v/>
      </c>
      <c r="H1620" s="8" t="e">
        <v>#N/A</v>
      </c>
      <c r="I1620" s="8" t="n"/>
    </row>
    <row r="1621">
      <c r="A1621" s="4" t="n">
        <v>33834</v>
      </c>
      <c r="B1621" s="4" t="inlineStr">
        <is>
          <t>clstbiw-acu-oasy-p06-sn0650</t>
        </is>
      </c>
      <c r="C1621" s="4" t="inlineStr">
        <is>
          <t>W00031886A</t>
        </is>
      </c>
      <c r="D1621" s="6">
        <f>IF(F1621&gt;=5, F1621-5, IF(F1621&lt;5, 0, F1621))</f>
        <v/>
      </c>
      <c r="E1621">
        <f>VLOOKUP(B1621,[1]Namshi!$A:$B,2,0)</f>
        <v/>
      </c>
      <c r="F1621" s="4">
        <f>SUMIFS('Dubai Stock'!I:I,'Dubai Stock'!H:H,Final_UAE!B:B)</f>
        <v/>
      </c>
      <c r="H1621" s="8" t="e">
        <v>#N/A</v>
      </c>
      <c r="I1621" s="8" t="n"/>
    </row>
    <row r="1622">
      <c r="A1622" s="4" t="n">
        <v>33834</v>
      </c>
      <c r="B1622" s="4" t="inlineStr">
        <is>
          <t>clstdai-btr-oned-p90-sn0225</t>
        </is>
      </c>
      <c r="C1622" s="4" t="inlineStr">
        <is>
          <t>W00031886A</t>
        </is>
      </c>
      <c r="D1622" s="6">
        <f>IF(F1622&gt;=5, F1622-5, IF(F1622&lt;5, 0, F1622))</f>
        <v/>
      </c>
      <c r="E1622">
        <f>VLOOKUP(B1622,[1]Namshi!$A:$B,2,0)</f>
        <v/>
      </c>
      <c r="F1622" s="4">
        <f>SUMIFS('Dubai Stock'!I:I,'Dubai Stock'!H:H,Final_UAE!B:B)</f>
        <v/>
      </c>
      <c r="H1622" s="8" t="e">
        <v>#N/A</v>
      </c>
      <c r="I1622" s="8" t="n"/>
    </row>
    <row r="1623">
      <c r="A1623" s="4" t="n">
        <v>33834</v>
      </c>
      <c r="B1623" s="4" t="inlineStr">
        <is>
          <t>clstdai-acu-oasy-p30-sn0800</t>
        </is>
      </c>
      <c r="C1623" s="4" t="inlineStr">
        <is>
          <t>W00031886A</t>
        </is>
      </c>
      <c r="D1623" s="6">
        <f>IF(F1623&gt;=5, F1623-5, IF(F1623&lt;5, 0, F1623))</f>
        <v/>
      </c>
      <c r="E1623">
        <f>VLOOKUP(B1623,[1]Namshi!$A:$B,2,0)</f>
        <v/>
      </c>
      <c r="F1623" s="4">
        <f>SUMIFS('Dubai Stock'!I:I,'Dubai Stock'!H:H,Final_UAE!B:B)</f>
        <v/>
      </c>
      <c r="H1623" s="8" t="e">
        <v>#N/A</v>
      </c>
      <c r="I1623" s="8" t="n"/>
    </row>
    <row r="1624">
      <c r="A1624" s="4" t="n">
        <v>33834</v>
      </c>
      <c r="B1624" s="4" t="inlineStr">
        <is>
          <t>clstdai-acu-dfrb-p30-sn0325</t>
        </is>
      </c>
      <c r="C1624" s="4" t="inlineStr">
        <is>
          <t>W00031886A</t>
        </is>
      </c>
      <c r="D1624" s="6">
        <f>IF(F1624&gt;=5, F1624-5, IF(F1624&lt;5, 0, F1624))</f>
        <v/>
      </c>
      <c r="E1624">
        <f>VLOOKUP(B1624,[1]Namshi!$A:$B,2,0)</f>
        <v/>
      </c>
      <c r="F1624" s="4">
        <f>SUMIFS('Dubai Stock'!I:I,'Dubai Stock'!H:H,Final_UAE!B:B)</f>
        <v/>
      </c>
      <c r="H1624" s="8" t="e">
        <v>#N/A</v>
      </c>
      <c r="I1624" s="8" t="n"/>
    </row>
    <row r="1625">
      <c r="A1625" s="4" t="n">
        <v>33834</v>
      </c>
      <c r="B1625" s="4" t="inlineStr">
        <is>
          <t>clstdai-acu-oasy-p90-sn0300</t>
        </is>
      </c>
      <c r="C1625" s="4" t="inlineStr">
        <is>
          <t>W00031886A</t>
        </is>
      </c>
      <c r="D1625" s="6">
        <f>IF(F1625&gt;=5, F1625-5, IF(F1625&lt;5, 0, F1625))</f>
        <v/>
      </c>
      <c r="E1625">
        <f>VLOOKUP(B1625,[1]Namshi!$A:$B,2,0)</f>
        <v/>
      </c>
      <c r="F1625" s="4">
        <f>SUMIFS('Dubai Stock'!I:I,'Dubai Stock'!H:H,Final_UAE!B:B)</f>
        <v/>
      </c>
      <c r="H1625" s="8" t="e">
        <v>#N/A</v>
      </c>
      <c r="I1625" s="8" t="n"/>
    </row>
    <row r="1626">
      <c r="A1626" s="4" t="n">
        <v>33834</v>
      </c>
      <c r="B1626" s="4" t="inlineStr">
        <is>
          <t>fu20418-spc-000663-0418-47</t>
        </is>
      </c>
      <c r="C1626" s="4" t="inlineStr">
        <is>
          <t>W00031886A</t>
        </is>
      </c>
      <c r="D1626" s="6">
        <f>IF(F1626&gt;=5, F1626-5, IF(F1626&lt;5, 0, F1626))</f>
        <v/>
      </c>
      <c r="E1626">
        <f>VLOOKUP(B1626,[1]Namshi!$A:$B,2,0)</f>
        <v/>
      </c>
      <c r="F1626" s="4">
        <f>SUMIFS('Dubai Stock'!I:I,'Dubai Stock'!H:H,Final_UAE!B:B)</f>
        <v/>
      </c>
      <c r="H1626" s="8" t="e">
        <v>#N/A</v>
      </c>
      <c r="I1626" s="8" t="n"/>
    </row>
    <row r="1627">
      <c r="A1627" s="4" t="n">
        <v>33834</v>
      </c>
      <c r="B1627" s="4" t="inlineStr">
        <is>
          <t>su21306-30s-000218-1306-51</t>
        </is>
      </c>
      <c r="C1627" s="4" t="inlineStr">
        <is>
          <t>W00031886A</t>
        </is>
      </c>
      <c r="D1627" s="6">
        <f>IF(F1627&gt;=5, F1627-5, IF(F1627&lt;5, 0, F1627))</f>
        <v/>
      </c>
      <c r="E1627">
        <f>VLOOKUP(B1627,[1]Namshi!$A:$B,2,0)</f>
        <v/>
      </c>
      <c r="F1627" s="4">
        <f>SUMIFS('Dubai Stock'!I:I,'Dubai Stock'!H:H,Final_UAE!B:B)</f>
        <v/>
      </c>
      <c r="H1627" s="8" t="e">
        <v>#N/A</v>
      </c>
    </row>
    <row r="1628">
      <c r="A1628" s="4" t="n">
        <v>33834</v>
      </c>
      <c r="B1628" s="4" t="inlineStr">
        <is>
          <t>cost3mo-lay-lens-p02-golden-brown-sn0075</t>
        </is>
      </c>
      <c r="C1628" s="4" t="inlineStr">
        <is>
          <t>W00031886A</t>
        </is>
      </c>
      <c r="D1628" s="6">
        <f>IF(F1628&gt;=5, F1628-5, IF(F1628&lt;5, 0, F1628))</f>
        <v/>
      </c>
      <c r="E1628">
        <f>VLOOKUP(B1628,[1]Namshi!$A:$B,2,0)</f>
        <v/>
      </c>
      <c r="F1628" s="4">
        <f>SUMIFS('Dubai Stock'!I:I,'Dubai Stock'!H:H,Final_UAE!B:B)</f>
        <v/>
      </c>
      <c r="H1628" s="8" t="e">
        <v>#N/A</v>
      </c>
      <c r="I1628" s="8" t="n"/>
    </row>
    <row r="1629">
      <c r="A1629" s="4" t="n">
        <v>33834</v>
      </c>
      <c r="B1629" s="4" t="inlineStr">
        <is>
          <t>clstdai-lay-cont-p60-dazzle-brown-sn0375</t>
        </is>
      </c>
      <c r="C1629" s="4" t="inlineStr">
        <is>
          <t>W00031886A</t>
        </is>
      </c>
      <c r="D1629" s="6">
        <f>IF(F1629&gt;=5, F1629-5, IF(F1629&lt;5, 0, F1629))</f>
        <v/>
      </c>
      <c r="E1629">
        <f>VLOOKUP(B1629,[1]Namshi!$A:$B,2,0)</f>
        <v/>
      </c>
      <c r="F1629" s="4">
        <f>SUMIFS('Dubai Stock'!I:I,'Dubai Stock'!H:H,Final_UAE!B:B)</f>
        <v/>
      </c>
      <c r="H1629" s="8" t="e">
        <v>#N/A</v>
      </c>
      <c r="I1629" s="8" t="n"/>
    </row>
    <row r="1630">
      <c r="A1630" s="4" t="n">
        <v>33834</v>
      </c>
      <c r="B1630" s="4" t="inlineStr">
        <is>
          <t>clstbiw-acu-oasy-p18-sn0200</t>
        </is>
      </c>
      <c r="C1630" s="4" t="inlineStr">
        <is>
          <t>W00031886A</t>
        </is>
      </c>
      <c r="D1630" s="6">
        <f>IF(F1630&gt;=5, F1630-5, IF(F1630&lt;5, 0, F1630))</f>
        <v/>
      </c>
      <c r="E1630">
        <f>VLOOKUP(B1630,[1]Namshi!$A:$B,2,0)</f>
        <v/>
      </c>
      <c r="F1630" s="4">
        <f>SUMIFS('Dubai Stock'!I:I,'Dubai Stock'!H:H,Final_UAE!B:B)</f>
        <v/>
      </c>
      <c r="H1630" s="8" t="e">
        <v>#N/A</v>
      </c>
      <c r="I1630" s="8" t="n"/>
    </row>
    <row r="1631">
      <c r="A1631" s="4" t="n">
        <v>33834</v>
      </c>
      <c r="B1631" s="4" t="inlineStr">
        <is>
          <t>costdai-acu-dffr-p10-grayzel-sn0350</t>
        </is>
      </c>
      <c r="C1631" s="4" t="inlineStr">
        <is>
          <t>W00031886A</t>
        </is>
      </c>
      <c r="D1631" s="6">
        <f>IF(F1631&gt;=5, F1631-5, IF(F1631&lt;5, 0, F1631))</f>
        <v/>
      </c>
      <c r="E1631">
        <f>VLOOKUP(B1631,[1]Namshi!$A:$B,2,0)</f>
        <v/>
      </c>
      <c r="F1631" s="4">
        <f>SUMIFS('Dubai Stock'!I:I,'Dubai Stock'!H:H,Final_UAE!B:B)</f>
        <v/>
      </c>
      <c r="H1631" s="8" t="e">
        <v>#N/A</v>
      </c>
      <c r="I1631" s="8" t="n"/>
    </row>
    <row r="1632">
      <c r="A1632" s="4" t="n">
        <v>33834</v>
      </c>
      <c r="B1632" s="4" t="inlineStr">
        <is>
          <t>costdai-acu-dffr-p10-blue-sn0300</t>
        </is>
      </c>
      <c r="C1632" s="4" t="inlineStr">
        <is>
          <t>W00031886A</t>
        </is>
      </c>
      <c r="D1632" s="6">
        <f>IF(F1632&gt;=5, F1632-5, IF(F1632&lt;5, 0, F1632))</f>
        <v/>
      </c>
      <c r="E1632">
        <f>VLOOKUP(B1632,[1]Namshi!$A:$B,2,0)</f>
        <v/>
      </c>
      <c r="F1632" s="4">
        <f>SUMIFS('Dubai Stock'!I:I,'Dubai Stock'!H:H,Final_UAE!B:B)</f>
        <v/>
      </c>
      <c r="H1632" s="8" t="e">
        <v>#N/A</v>
      </c>
      <c r="I1632" s="8" t="n"/>
    </row>
    <row r="1633">
      <c r="A1633" s="4" t="n">
        <v>33834</v>
      </c>
      <c r="B1633" s="4" t="inlineStr">
        <is>
          <t>sw31406-30s-000108-2106-52</t>
        </is>
      </c>
      <c r="C1633" s="4" t="inlineStr">
        <is>
          <t>W00031886A</t>
        </is>
      </c>
      <c r="D1633" s="6">
        <f>IF(F1633&gt;=5, F1633-5, IF(F1633&lt;5, 0, F1633))</f>
        <v/>
      </c>
      <c r="E1633">
        <f>VLOOKUP(B1633,[1]Namshi!$A:$B,2,0)</f>
        <v/>
      </c>
      <c r="F1633" s="4">
        <f>SUMIFS('Dubai Stock'!I:I,'Dubai Stock'!H:H,Final_UAE!B:B)</f>
        <v/>
      </c>
      <c r="H1633" s="8" t="e">
        <v>#N/A</v>
      </c>
    </row>
    <row r="1634">
      <c r="A1634" s="4" t="n">
        <v>33834</v>
      </c>
      <c r="B1634" s="4" t="inlineStr">
        <is>
          <t>clstdai-acu-dfvi-p90-sn0400</t>
        </is>
      </c>
      <c r="C1634" s="4" t="inlineStr">
        <is>
          <t>W00031886A</t>
        </is>
      </c>
      <c r="D1634" s="6">
        <f>IF(F1634&gt;=5, F1634-5, IF(F1634&lt;5, 0, F1634))</f>
        <v/>
      </c>
      <c r="E1634">
        <f>VLOOKUP(B1634,[1]Namshi!$A:$B,2,0)</f>
        <v/>
      </c>
      <c r="F1634" s="4">
        <f>SUMIFS('Dubai Stock'!I:I,'Dubai Stock'!H:H,Final_UAE!B:B)</f>
        <v/>
      </c>
      <c r="H1634" s="8" t="e">
        <v>#N/A</v>
      </c>
      <c r="I1634" s="8" t="n"/>
    </row>
    <row r="1635">
      <c r="A1635" s="4" t="n">
        <v>33834</v>
      </c>
      <c r="B1635" s="4" t="inlineStr">
        <is>
          <t>clstdai-cti-cla1-p30-sn0250</t>
        </is>
      </c>
      <c r="C1635" s="4" t="inlineStr">
        <is>
          <t>W00031886A</t>
        </is>
      </c>
      <c r="D1635" s="6">
        <f>IF(F1635&gt;=5, F1635-5, IF(F1635&lt;5, 0, F1635))</f>
        <v/>
      </c>
      <c r="E1635">
        <f>VLOOKUP(B1635,[1]Namshi!$A:$B,2,0)</f>
        <v/>
      </c>
      <c r="F1635" s="4">
        <f>SUMIFS('Dubai Stock'!I:I,'Dubai Stock'!H:H,Final_UAE!B:B)</f>
        <v/>
      </c>
      <c r="H1635" s="8" t="e">
        <v>#N/A</v>
      </c>
      <c r="I1635" s="8" t="n"/>
    </row>
    <row r="1636">
      <c r="A1636" s="4" t="n">
        <v>33834</v>
      </c>
      <c r="B1636" s="4" t="inlineStr">
        <is>
          <t>cost3mo-lay-2020-p02-hazel-brown-sn0275</t>
        </is>
      </c>
      <c r="C1636" s="4" t="inlineStr">
        <is>
          <t>W00031886A</t>
        </is>
      </c>
      <c r="D1636" s="6">
        <f>IF(F1636&gt;=5, F1636-5, IF(F1636&lt;5, 0, F1636))</f>
        <v/>
      </c>
      <c r="E1636">
        <f>VLOOKUP(B1636,[1]Namshi!$A:$B,2,0)</f>
        <v/>
      </c>
      <c r="F1636" s="4">
        <f>SUMIFS('Dubai Stock'!I:I,'Dubai Stock'!H:H,Final_UAE!B:B)</f>
        <v/>
      </c>
      <c r="H1636" s="8" t="e">
        <v>#N/A</v>
      </c>
      <c r="I1636" s="8" t="n"/>
    </row>
    <row r="1637">
      <c r="A1637" s="4" t="n">
        <v>33834</v>
      </c>
      <c r="B1637" s="4" t="inlineStr">
        <is>
          <t>sw100606-30s-000271-0606-49</t>
        </is>
      </c>
      <c r="C1637" s="4" t="inlineStr">
        <is>
          <t>W00031886A</t>
        </is>
      </c>
      <c r="D1637" s="6">
        <f>IF(F1637&gt;=5, F1637-5, IF(F1637&lt;5, 0, F1637))</f>
        <v/>
      </c>
      <c r="E1637">
        <f>VLOOKUP(B1637,[1]Namshi!$A:$B,2,0)</f>
        <v/>
      </c>
      <c r="F1637" s="4">
        <f>SUMIFS('Dubai Stock'!I:I,'Dubai Stock'!H:H,Final_UAE!B:B)</f>
        <v/>
      </c>
      <c r="H1637" s="8" t="e">
        <v>#N/A</v>
      </c>
    </row>
    <row r="1638">
      <c r="A1638" s="4" t="n">
        <v>33834</v>
      </c>
      <c r="B1638" s="4" t="inlineStr">
        <is>
          <t>cost3mo-cel-natu-p01-real-shade-sp0100</t>
        </is>
      </c>
      <c r="C1638" s="4" t="inlineStr">
        <is>
          <t>W00031886A</t>
        </is>
      </c>
      <c r="D1638" s="6">
        <f>IF(F1638&gt;=5, F1638-5, IF(F1638&lt;5, 0, F1638))</f>
        <v/>
      </c>
      <c r="E1638">
        <f>VLOOKUP(B1638,[1]Namshi!$A:$B,2,0)</f>
        <v/>
      </c>
      <c r="F1638" s="4">
        <f>SUMIFS('Dubai Stock'!I:I,'Dubai Stock'!H:H,Final_UAE!B:B)</f>
        <v/>
      </c>
      <c r="H1638" s="8" t="e">
        <v>#N/A</v>
      </c>
      <c r="I1638" s="8" t="n"/>
    </row>
    <row r="1639">
      <c r="A1639" s="4" t="n">
        <v>33834</v>
      </c>
      <c r="B1639" s="4" t="inlineStr">
        <is>
          <t>clstdai-acu-mois-p60-sn0750</t>
        </is>
      </c>
      <c r="C1639" s="4" t="inlineStr">
        <is>
          <t>W00031886A</t>
        </is>
      </c>
      <c r="D1639" s="6">
        <f>IF(F1639&gt;=5, F1639-5, IF(F1639&lt;5, 0, F1639))</f>
        <v/>
      </c>
      <c r="E1639">
        <f>VLOOKUP(B1639,[1]Namshi!$A:$B,2,0)</f>
        <v/>
      </c>
      <c r="F1639" s="4">
        <f>SUMIFS('Dubai Stock'!I:I,'Dubai Stock'!H:H,Final_UAE!B:B)</f>
        <v/>
      </c>
      <c r="H1639" s="8" t="e">
        <v>#N/A</v>
      </c>
      <c r="I1639" s="8" t="n"/>
    </row>
    <row r="1640">
      <c r="A1640" s="4" t="n">
        <v>33834</v>
      </c>
      <c r="B1640" s="4" t="inlineStr">
        <is>
          <t>clstdai-dai-aqua-p30-sn1050</t>
        </is>
      </c>
      <c r="C1640" s="4" t="inlineStr">
        <is>
          <t>W00031886A</t>
        </is>
      </c>
      <c r="D1640" s="6">
        <f>IF(F1640&gt;=5, F1640-5, IF(F1640&lt;5, 0, F1640))</f>
        <v/>
      </c>
      <c r="E1640">
        <f>VLOOKUP(B1640,[1]Namshi!$A:$B,2,0)</f>
        <v/>
      </c>
      <c r="F1640" s="4">
        <f>SUMIFS('Dubai Stock'!I:I,'Dubai Stock'!H:H,Final_UAE!B:B)</f>
        <v/>
      </c>
      <c r="H1640" s="8" t="e">
        <v>#N/A</v>
      </c>
      <c r="I1640" s="8" t="n"/>
    </row>
    <row r="1641">
      <c r="A1641" s="4" t="n">
        <v>33834</v>
      </c>
      <c r="B1641" s="4" t="inlineStr">
        <is>
          <t>fw32618-spc-000715-2618-51</t>
        </is>
      </c>
      <c r="C1641" s="4" t="inlineStr">
        <is>
          <t>W00031886A</t>
        </is>
      </c>
      <c r="D1641" s="6">
        <f>IF(F1641&gt;=5, F1641-5, IF(F1641&lt;5, 0, F1641))</f>
        <v/>
      </c>
      <c r="E1641">
        <f>VLOOKUP(B1641,[1]Namshi!$A:$B,2,0)</f>
        <v/>
      </c>
      <c r="F1641" s="4">
        <f>SUMIFS('Dubai Stock'!I:I,'Dubai Stock'!H:H,Final_UAE!B:B)</f>
        <v/>
      </c>
      <c r="H1641" s="8" t="e">
        <v>#N/A</v>
      </c>
      <c r="I1641" s="8" t="n"/>
    </row>
    <row r="1642">
      <c r="A1642" s="4" t="n">
        <v>33834</v>
      </c>
      <c r="B1642" s="4" t="inlineStr">
        <is>
          <t>costmon-ama-2022-p02-cocoa-sp0000</t>
        </is>
      </c>
      <c r="C1642" s="4" t="inlineStr">
        <is>
          <t>W00031886A</t>
        </is>
      </c>
      <c r="D1642" s="6">
        <f>IF(F1642&gt;=5, F1642-5, IF(F1642&lt;5, 0, F1642))</f>
        <v/>
      </c>
      <c r="E1642">
        <f>VLOOKUP(B1642,[1]Namshi!$A:$B,2,0)</f>
        <v/>
      </c>
      <c r="F1642" s="4">
        <f>SUMIFS('Dubai Stock'!I:I,'Dubai Stock'!H:H,Final_UAE!B:B)</f>
        <v/>
      </c>
      <c r="H1642" s="8" t="e">
        <v>#N/A</v>
      </c>
      <c r="I1642" s="8" t="n"/>
    </row>
    <row r="1643">
      <c r="A1643" s="4" t="n">
        <v>33834</v>
      </c>
      <c r="B1643" s="4" t="inlineStr">
        <is>
          <t>cost3mo-lay-2021-p02-golden-gray-sn0550</t>
        </is>
      </c>
      <c r="C1643" s="4" t="inlineStr">
        <is>
          <t>W00031886A</t>
        </is>
      </c>
      <c r="D1643" s="6">
        <f>IF(F1643&gt;=5, F1643-5, IF(F1643&lt;5, 0, F1643))</f>
        <v/>
      </c>
      <c r="E1643">
        <f>VLOOKUP(B1643,[1]Namshi!$A:$B,2,0)</f>
        <v/>
      </c>
      <c r="F1643" s="4">
        <f>SUMIFS('Dubai Stock'!I:I,'Dubai Stock'!H:H,Final_UAE!B:B)</f>
        <v/>
      </c>
      <c r="H1643" s="8" t="e">
        <v>#N/A</v>
      </c>
      <c r="I1643" s="8" t="n"/>
    </row>
    <row r="1644">
      <c r="A1644" s="4" t="n">
        <v>33834</v>
      </c>
      <c r="B1644" s="4" t="inlineStr">
        <is>
          <t>clstdai-acu-mois-p60-sn0050</t>
        </is>
      </c>
      <c r="C1644" s="4" t="inlineStr">
        <is>
          <t>W00031886A</t>
        </is>
      </c>
      <c r="D1644" s="6">
        <f>IF(F1644&gt;=5, F1644-5, IF(F1644&lt;5, 0, F1644))</f>
        <v/>
      </c>
      <c r="E1644">
        <f>VLOOKUP(B1644,[1]Namshi!$A:$B,2,0)</f>
        <v/>
      </c>
      <c r="F1644" s="4">
        <f>SUMIFS('Dubai Stock'!I:I,'Dubai Stock'!H:H,Final_UAE!B:B)</f>
        <v/>
      </c>
      <c r="H1644" s="8" t="e">
        <v>#N/A</v>
      </c>
      <c r="I1644" s="8" t="n"/>
    </row>
    <row r="1645">
      <c r="A1645" s="4" t="n">
        <v>33834</v>
      </c>
      <c r="B1645" s="4" t="inlineStr">
        <is>
          <t>su50102-30s-000237-1402-51</t>
        </is>
      </c>
      <c r="C1645" s="4" t="inlineStr">
        <is>
          <t>W00031886A</t>
        </is>
      </c>
      <c r="D1645" s="6">
        <f>IF(F1645&gt;=5, F1645-5, IF(F1645&lt;5, 0, F1645))</f>
        <v/>
      </c>
      <c r="E1645">
        <f>VLOOKUP(B1645,[1]Namshi!$A:$B,2,0)</f>
        <v/>
      </c>
      <c r="F1645" s="4">
        <f>SUMIFS('Dubai Stock'!I:I,'Dubai Stock'!H:H,Final_UAE!B:B)</f>
        <v/>
      </c>
      <c r="H1645" s="8" t="e">
        <v>#N/A</v>
      </c>
    </row>
    <row r="1646">
      <c r="A1646" s="4" t="n">
        <v>33834</v>
      </c>
      <c r="B1646" s="4" t="inlineStr">
        <is>
          <t>cost3mo-lay-2024-p02-terra-brown-sn0225</t>
        </is>
      </c>
      <c r="C1646" s="4" t="inlineStr">
        <is>
          <t>W00031886A</t>
        </is>
      </c>
      <c r="D1646" s="6">
        <f>IF(F1646&gt;=5, F1646-5, IF(F1646&lt;5, 0, F1646))</f>
        <v/>
      </c>
      <c r="E1646">
        <f>VLOOKUP(B1646,[1]Namshi!$A:$B,2,0)</f>
        <v/>
      </c>
      <c r="F1646" s="4">
        <f>SUMIFS('Dubai Stock'!I:I,'Dubai Stock'!H:H,Final_UAE!B:B)</f>
        <v/>
      </c>
      <c r="H1646" s="8" t="e">
        <v>#N/A</v>
      </c>
      <c r="I1646" s="8" t="n"/>
    </row>
    <row r="1647">
      <c r="A1647" s="4" t="n">
        <v>33834</v>
      </c>
      <c r="B1647" s="4" t="inlineStr">
        <is>
          <t>clstdai-acu-oasy-p90-sp0700</t>
        </is>
      </c>
      <c r="C1647" s="4" t="inlineStr">
        <is>
          <t>W00031886A</t>
        </is>
      </c>
      <c r="D1647" s="6">
        <f>IF(F1647&gt;=5, F1647-5, IF(F1647&lt;5, 0, F1647))</f>
        <v/>
      </c>
      <c r="E1647">
        <f>VLOOKUP(B1647,[1]Namshi!$A:$B,2,0)</f>
        <v/>
      </c>
      <c r="F1647" s="4">
        <f>SUMIFS('Dubai Stock'!I:I,'Dubai Stock'!H:H,Final_UAE!B:B)</f>
        <v/>
      </c>
      <c r="H1647" s="8" t="e">
        <v>#N/A</v>
      </c>
      <c r="I1647" s="8" t="n"/>
    </row>
    <row r="1648">
      <c r="A1648" s="4" t="n">
        <v>33834</v>
      </c>
      <c r="B1648" s="4" t="inlineStr">
        <is>
          <t>clstbiw-acu-oasy-p18-sn0700</t>
        </is>
      </c>
      <c r="C1648" s="4" t="inlineStr">
        <is>
          <t>W00031886A</t>
        </is>
      </c>
      <c r="D1648" s="6">
        <f>IF(F1648&gt;=5, F1648-5, IF(F1648&lt;5, 0, F1648))</f>
        <v/>
      </c>
      <c r="E1648">
        <f>VLOOKUP(B1648,[1]Namshi!$A:$B,2,0)</f>
        <v/>
      </c>
      <c r="F1648" s="4">
        <f>SUMIFS('Dubai Stock'!I:I,'Dubai Stock'!H:H,Final_UAE!B:B)</f>
        <v/>
      </c>
      <c r="H1648" s="8" t="e">
        <v>#N/A</v>
      </c>
      <c r="I1648" s="8" t="n"/>
    </row>
    <row r="1649">
      <c r="A1649" s="4" t="n">
        <v>33834</v>
      </c>
      <c r="B1649" s="4" t="inlineStr">
        <is>
          <t>sw52302-bla-000103-2302-53</t>
        </is>
      </c>
      <c r="C1649" s="4" t="inlineStr">
        <is>
          <t>W00031886A</t>
        </is>
      </c>
      <c r="D1649" s="6">
        <f>IF(F1649&gt;=5, F1649-5, IF(F1649&lt;5, 0, F1649))</f>
        <v/>
      </c>
      <c r="E1649">
        <f>VLOOKUP(B1649,[1]Namshi!$A:$B,2,0)</f>
        <v/>
      </c>
      <c r="F1649" s="4">
        <f>SUMIFS('Dubai Stock'!I:I,'Dubai Stock'!H:H,Final_UAE!B:B)</f>
        <v/>
      </c>
      <c r="H1649" s="8" t="e">
        <v>#N/A</v>
      </c>
    </row>
    <row r="1650">
      <c r="A1650" s="4" t="n">
        <v>33834</v>
      </c>
      <c r="B1650" s="4" t="inlineStr">
        <is>
          <t>costdai-acu-dffr-p30-rose-sn0375</t>
        </is>
      </c>
      <c r="C1650" s="4" t="inlineStr">
        <is>
          <t>W00031886A</t>
        </is>
      </c>
      <c r="D1650" s="6">
        <f>IF(F1650&gt;=5, F1650-5, IF(F1650&lt;5, 0, F1650))</f>
        <v/>
      </c>
      <c r="E1650">
        <f>VLOOKUP(B1650,[1]Namshi!$A:$B,2,0)</f>
        <v/>
      </c>
      <c r="F1650" s="4">
        <f>SUMIFS('Dubai Stock'!I:I,'Dubai Stock'!H:H,Final_UAE!B:B)</f>
        <v/>
      </c>
      <c r="H1650" s="8" t="e">
        <v>#N/A</v>
      </c>
      <c r="I1650" s="8" t="n"/>
    </row>
    <row r="1651">
      <c r="A1651" s="4" t="n">
        <v>33834</v>
      </c>
      <c r="B1651" s="4" t="inlineStr">
        <is>
          <t>cost3mo-lay-2021-p02-golden-gray-sn0175</t>
        </is>
      </c>
      <c r="C1651" s="4" t="inlineStr">
        <is>
          <t>W00031886A</t>
        </is>
      </c>
      <c r="D1651" s="6">
        <f>IF(F1651&gt;=5, F1651-5, IF(F1651&lt;5, 0, F1651))</f>
        <v/>
      </c>
      <c r="E1651">
        <f>VLOOKUP(B1651,[1]Namshi!$A:$B,2,0)</f>
        <v/>
      </c>
      <c r="F1651" s="4">
        <f>SUMIFS('Dubai Stock'!I:I,'Dubai Stock'!H:H,Final_UAE!B:B)</f>
        <v/>
      </c>
      <c r="H1651" s="8" t="e">
        <v>#N/A</v>
      </c>
      <c r="I1651" s="8" t="n"/>
    </row>
    <row r="1652">
      <c r="A1652" s="4" t="n">
        <v>33834</v>
      </c>
      <c r="B1652" s="4" t="inlineStr">
        <is>
          <t>clstdai-eve-pure-p90-sn0350</t>
        </is>
      </c>
      <c r="C1652" s="4" t="inlineStr">
        <is>
          <t>W00031886A</t>
        </is>
      </c>
      <c r="D1652" s="6">
        <f>IF(F1652&gt;=5, F1652-5, IF(F1652&lt;5, 0, F1652))</f>
        <v/>
      </c>
      <c r="E1652">
        <f>VLOOKUP(B1652,[1]Namshi!$A:$B,2,0)</f>
        <v/>
      </c>
      <c r="F1652" s="4">
        <f>SUMIFS('Dubai Stock'!I:I,'Dubai Stock'!H:H,Final_UAE!B:B)</f>
        <v/>
      </c>
      <c r="H1652" s="8" t="n">
        <v>529</v>
      </c>
      <c r="I1652" s="8" t="n">
        <v>259</v>
      </c>
    </row>
    <row r="1653">
      <c r="A1653" s="4" t="n">
        <v>33834</v>
      </c>
      <c r="B1653" s="4" t="inlineStr">
        <is>
          <t>sw60107-bla-000242-0101-52</t>
        </is>
      </c>
      <c r="C1653" s="4" t="inlineStr">
        <is>
          <t>W00031886A</t>
        </is>
      </c>
      <c r="D1653" s="6">
        <f>IF(F1653&gt;=5, F1653-5, IF(F1653&lt;5, 0, F1653))</f>
        <v/>
      </c>
      <c r="E1653">
        <f>VLOOKUP(B1653,[1]Namshi!$A:$B,2,0)</f>
        <v/>
      </c>
      <c r="F1653" s="4">
        <f>SUMIFS('Dubai Stock'!I:I,'Dubai Stock'!H:H,Final_UAE!B:B)</f>
        <v/>
      </c>
      <c r="H1653" s="8" t="e">
        <v>#N/A</v>
      </c>
    </row>
    <row r="1654">
      <c r="A1654" s="4" t="n">
        <v>33834</v>
      </c>
      <c r="B1654" s="4" t="inlineStr">
        <is>
          <t>costmon-ama-2023-p02-chai-sn0175</t>
        </is>
      </c>
      <c r="C1654" s="4" t="inlineStr">
        <is>
          <t>W00031886A</t>
        </is>
      </c>
      <c r="D1654" s="6">
        <f>IF(F1654&gt;=5, F1654-5, IF(F1654&lt;5, 0, F1654))</f>
        <v/>
      </c>
      <c r="E1654">
        <f>VLOOKUP(B1654,[1]Namshi!$A:$B,2,0)</f>
        <v/>
      </c>
      <c r="F1654" s="4">
        <f>SUMIFS('Dubai Stock'!I:I,'Dubai Stock'!H:H,Final_UAE!B:B)</f>
        <v/>
      </c>
      <c r="H1654" s="8" t="e">
        <v>#N/A</v>
      </c>
      <c r="I1654" s="8" t="n"/>
    </row>
    <row r="1655">
      <c r="A1655" s="4" t="n">
        <v>33834</v>
      </c>
      <c r="B1655" s="4" t="inlineStr">
        <is>
          <t>cost3mo-lay-lens-p02-chestnut-brown-sp0000</t>
        </is>
      </c>
      <c r="C1655" s="4" t="inlineStr">
        <is>
          <t>W00031886A</t>
        </is>
      </c>
      <c r="D1655" s="6">
        <f>IF(F1655&gt;=5, F1655-5, IF(F1655&lt;5, 0, F1655))</f>
        <v/>
      </c>
      <c r="E1655">
        <f>VLOOKUP(B1655,[1]Namshi!$A:$B,2,0)</f>
        <v/>
      </c>
      <c r="F1655" s="4">
        <f>SUMIFS('Dubai Stock'!I:I,'Dubai Stock'!H:H,Final_UAE!B:B)</f>
        <v/>
      </c>
      <c r="H1655" s="8" t="e">
        <v>#N/A</v>
      </c>
      <c r="I1655" s="8" t="n"/>
    </row>
    <row r="1656">
      <c r="A1656" s="4" t="n">
        <v>33834</v>
      </c>
      <c r="B1656" s="4" t="inlineStr">
        <is>
          <t>clstdai-eve-elit-p30-sn0325</t>
        </is>
      </c>
      <c r="C1656" s="4" t="inlineStr">
        <is>
          <t>W00031886A</t>
        </is>
      </c>
      <c r="D1656" s="6">
        <f>IF(F1656&gt;=5, F1656-5, IF(F1656&lt;5, 0, F1656))</f>
        <v/>
      </c>
      <c r="E1656">
        <f>VLOOKUP(B1656,[1]Namshi!$A:$B,2,0)</f>
        <v/>
      </c>
      <c r="F1656" s="4">
        <f>SUMIFS('Dubai Stock'!I:I,'Dubai Stock'!H:H,Final_UAE!B:B)</f>
        <v/>
      </c>
      <c r="H1656" s="8" t="n">
        <v>261</v>
      </c>
      <c r="I1656" s="8" t="n">
        <v>146.3</v>
      </c>
    </row>
    <row r="1657">
      <c r="A1657" s="4" t="n">
        <v>33834</v>
      </c>
      <c r="B1657" s="4" t="inlineStr">
        <is>
          <t>clstdai-acu-dfvi-p60-sn0550</t>
        </is>
      </c>
      <c r="C1657" s="4" t="inlineStr">
        <is>
          <t>W00031886A</t>
        </is>
      </c>
      <c r="D1657" s="6">
        <f>IF(F1657&gt;=5, F1657-5, IF(F1657&lt;5, 0, F1657))</f>
        <v/>
      </c>
      <c r="E1657">
        <f>VLOOKUP(B1657,[1]Namshi!$A:$B,2,0)</f>
        <v/>
      </c>
      <c r="F1657" s="4">
        <f>SUMIFS('Dubai Stock'!I:I,'Dubai Stock'!H:H,Final_UAE!B:B)</f>
        <v/>
      </c>
      <c r="H1657" s="8" t="e">
        <v>#N/A</v>
      </c>
      <c r="I1657" s="8" t="n"/>
    </row>
    <row r="1658">
      <c r="A1658" s="4" t="n">
        <v>33834</v>
      </c>
      <c r="B1658" s="4" t="inlineStr">
        <is>
          <t>sc50607-bab-000504-0607-51</t>
        </is>
      </c>
      <c r="C1658" s="4" t="inlineStr">
        <is>
          <t>W00031886A</t>
        </is>
      </c>
      <c r="D1658" s="6">
        <f>IF(F1658&gt;=5, F1658-5, IF(F1658&lt;5, 0, F1658))</f>
        <v/>
      </c>
      <c r="E1658">
        <f>VLOOKUP(B1658,[1]Namshi!$A:$B,2,0)</f>
        <v/>
      </c>
      <c r="F1658" s="4">
        <f>SUMIFS('Dubai Stock'!I:I,'Dubai Stock'!H:H,Final_UAE!B:B)</f>
        <v/>
      </c>
      <c r="H1658" s="8" t="e">
        <v>#N/A</v>
      </c>
    </row>
    <row r="1659">
      <c r="A1659" s="4" t="n">
        <v>33834</v>
      </c>
      <c r="B1659" s="4" t="inlineStr">
        <is>
          <t>clstdai-btr-oned-p90-sn0275</t>
        </is>
      </c>
      <c r="C1659" s="4" t="inlineStr">
        <is>
          <t>W00031886A</t>
        </is>
      </c>
      <c r="D1659" s="6">
        <f>IF(F1659&gt;=5, F1659-5, IF(F1659&lt;5, 0, F1659))</f>
        <v/>
      </c>
      <c r="E1659">
        <f>VLOOKUP(B1659,[1]Namshi!$A:$B,2,0)</f>
        <v/>
      </c>
      <c r="F1659" s="4">
        <f>SUMIFS('Dubai Stock'!I:I,'Dubai Stock'!H:H,Final_UAE!B:B)</f>
        <v/>
      </c>
      <c r="H1659" s="8" t="e">
        <v>#N/A</v>
      </c>
      <c r="I1659" s="8" t="n"/>
    </row>
    <row r="1660">
      <c r="A1660" s="4" t="n">
        <v>33834</v>
      </c>
      <c r="B1660" s="4" t="inlineStr">
        <is>
          <t>clstbiw-acu-oasy-p18-sn0750</t>
        </is>
      </c>
      <c r="C1660" s="4" t="inlineStr">
        <is>
          <t>W00031886A</t>
        </is>
      </c>
      <c r="D1660" s="6">
        <f>IF(F1660&gt;=5, F1660-5, IF(F1660&lt;5, 0, F1660))</f>
        <v/>
      </c>
      <c r="E1660">
        <f>VLOOKUP(B1660,[1]Namshi!$A:$B,2,0)</f>
        <v/>
      </c>
      <c r="F1660" s="4">
        <f>SUMIFS('Dubai Stock'!I:I,'Dubai Stock'!H:H,Final_UAE!B:B)</f>
        <v/>
      </c>
      <c r="H1660" s="8" t="e">
        <v>#N/A</v>
      </c>
      <c r="I1660" s="8" t="n"/>
    </row>
    <row r="1661">
      <c r="A1661" s="4" t="n">
        <v>33834</v>
      </c>
      <c r="B1661" s="4" t="inlineStr">
        <is>
          <t>clstdai-lay-cont-p90-dazzle-brown-sn0275</t>
        </is>
      </c>
      <c r="C1661" s="4" t="inlineStr">
        <is>
          <t>W00031886A</t>
        </is>
      </c>
      <c r="D1661" s="6">
        <f>IF(F1661&gt;=5, F1661-5, IF(F1661&lt;5, 0, F1661))</f>
        <v/>
      </c>
      <c r="E1661">
        <f>VLOOKUP(B1661,[1]Namshi!$A:$B,2,0)</f>
        <v/>
      </c>
      <c r="F1661" s="4">
        <f>SUMIFS('Dubai Stock'!I:I,'Dubai Stock'!H:H,Final_UAE!B:B)</f>
        <v/>
      </c>
      <c r="H1661" s="8" t="e">
        <v>#N/A</v>
      </c>
      <c r="I1661" s="8" t="n"/>
    </row>
    <row r="1662">
      <c r="A1662" s="4" t="n">
        <v>33834</v>
      </c>
      <c r="B1662" s="4" t="inlineStr">
        <is>
          <t>clstdai-btr-oned-p30-sn0425</t>
        </is>
      </c>
      <c r="C1662" s="4" t="inlineStr">
        <is>
          <t>W00031886A</t>
        </is>
      </c>
      <c r="D1662" s="6">
        <f>IF(F1662&gt;=5, F1662-5, IF(F1662&lt;5, 0, F1662))</f>
        <v/>
      </c>
      <c r="E1662">
        <f>VLOOKUP(B1662,[1]Namshi!$A:$B,2,0)</f>
        <v/>
      </c>
      <c r="F1662" s="4">
        <f>SUMIFS('Dubai Stock'!I:I,'Dubai Stock'!H:H,Final_UAE!B:B)</f>
        <v/>
      </c>
      <c r="H1662" s="8" t="e">
        <v>#N/A</v>
      </c>
      <c r="I1662" s="8" t="n"/>
    </row>
    <row r="1663">
      <c r="A1663" s="4" t="n">
        <v>33834</v>
      </c>
      <c r="B1663" s="4" t="inlineStr">
        <is>
          <t>costmon-ama-2022-p02-tiger-eyes-sn0375</t>
        </is>
      </c>
      <c r="C1663" s="4" t="inlineStr">
        <is>
          <t>W00031886A</t>
        </is>
      </c>
      <c r="D1663" s="6">
        <f>IF(F1663&gt;=5, F1663-5, IF(F1663&lt;5, 0, F1663))</f>
        <v/>
      </c>
      <c r="E1663">
        <f>VLOOKUP(B1663,[1]Namshi!$A:$B,2,0)</f>
        <v/>
      </c>
      <c r="F1663" s="4">
        <f>SUMIFS('Dubai Stock'!I:I,'Dubai Stock'!H:H,Final_UAE!B:B)</f>
        <v/>
      </c>
      <c r="H1663" s="8" t="e">
        <v>#N/A</v>
      </c>
      <c r="I1663" s="8" t="n"/>
    </row>
    <row r="1664">
      <c r="A1664" s="4" t="n">
        <v>33834</v>
      </c>
      <c r="B1664" s="4" t="inlineStr">
        <is>
          <t>clstbiw-acu-0002-p06-sn0175</t>
        </is>
      </c>
      <c r="C1664" s="4" t="inlineStr">
        <is>
          <t>W00031886A</t>
        </is>
      </c>
      <c r="D1664" s="6">
        <f>IF(F1664&gt;=5, F1664-5, IF(F1664&lt;5, 0, F1664))</f>
        <v/>
      </c>
      <c r="E1664">
        <f>VLOOKUP(B1664,[1]Namshi!$A:$B,2,0)</f>
        <v/>
      </c>
      <c r="F1664" s="4">
        <f>SUMIFS('Dubai Stock'!I:I,'Dubai Stock'!H:H,Final_UAE!B:B)</f>
        <v/>
      </c>
      <c r="H1664" s="8" t="e">
        <v>#N/A</v>
      </c>
      <c r="I1664" s="8" t="n"/>
    </row>
    <row r="1665">
      <c r="A1665" s="4" t="n">
        <v>33834</v>
      </c>
      <c r="B1665" s="4" t="inlineStr">
        <is>
          <t>clstdai-acu-dfna-p60-sn0275</t>
        </is>
      </c>
      <c r="C1665" s="4" t="inlineStr">
        <is>
          <t>W00031886A</t>
        </is>
      </c>
      <c r="D1665" s="6">
        <f>IF(F1665&gt;=5, F1665-5, IF(F1665&lt;5, 0, F1665))</f>
        <v/>
      </c>
      <c r="E1665">
        <f>VLOOKUP(B1665,[1]Namshi!$A:$B,2,0)</f>
        <v/>
      </c>
      <c r="F1665" s="4">
        <f>SUMIFS('Dubai Stock'!I:I,'Dubai Stock'!H:H,Final_UAE!B:B)</f>
        <v/>
      </c>
      <c r="H1665" s="8" t="e">
        <v>#N/A</v>
      </c>
      <c r="I1665" s="8" t="n"/>
    </row>
    <row r="1666">
      <c r="A1666" s="4" t="n">
        <v>33834</v>
      </c>
      <c r="B1666" s="4" t="inlineStr">
        <is>
          <t>clstdai-acu-oasy-p120-sn0375</t>
        </is>
      </c>
      <c r="C1666" s="4" t="inlineStr">
        <is>
          <t>W00031886A</t>
        </is>
      </c>
      <c r="D1666" s="6">
        <f>IF(F1666&gt;=5, F1666-5, IF(F1666&lt;5, 0, F1666))</f>
        <v/>
      </c>
      <c r="E1666">
        <f>VLOOKUP(B1666,[1]Namshi!$A:$B,2,0)</f>
        <v/>
      </c>
      <c r="F1666" s="4">
        <f>SUMIFS('Dubai Stock'!I:I,'Dubai Stock'!H:H,Final_UAE!B:B)</f>
        <v/>
      </c>
      <c r="H1666" s="8" t="e">
        <v>#N/A</v>
      </c>
      <c r="I1666" s="8" t="n"/>
    </row>
    <row r="1667">
      <c r="A1667" s="4" t="n">
        <v>33834</v>
      </c>
      <c r="B1667" s="4" t="inlineStr">
        <is>
          <t>sc50107-bab-000526-0107-43</t>
        </is>
      </c>
      <c r="C1667" s="4" t="inlineStr">
        <is>
          <t>W00031886A</t>
        </is>
      </c>
      <c r="D1667" s="6">
        <f>IF(F1667&gt;=5, F1667-5, IF(F1667&lt;5, 0, F1667))</f>
        <v/>
      </c>
      <c r="E1667">
        <f>VLOOKUP(B1667,[1]Namshi!$A:$B,2,0)</f>
        <v/>
      </c>
      <c r="F1667" s="4">
        <f>SUMIFS('Dubai Stock'!I:I,'Dubai Stock'!H:H,Final_UAE!B:B)</f>
        <v/>
      </c>
      <c r="H1667" s="8" t="e">
        <v>#N/A</v>
      </c>
    </row>
    <row r="1668">
      <c r="A1668" s="4" t="n">
        <v>33834</v>
      </c>
      <c r="B1668" s="4" t="inlineStr">
        <is>
          <t>clstdai-dai-aqua-p90-sn0950</t>
        </is>
      </c>
      <c r="C1668" s="4" t="inlineStr">
        <is>
          <t>W00031886A</t>
        </is>
      </c>
      <c r="D1668" s="6">
        <f>IF(F1668&gt;=5, F1668-5, IF(F1668&lt;5, 0, F1668))</f>
        <v/>
      </c>
      <c r="E1668">
        <f>VLOOKUP(B1668,[1]Namshi!$A:$B,2,0)</f>
        <v/>
      </c>
      <c r="F1668" s="4">
        <f>SUMIFS('Dubai Stock'!I:I,'Dubai Stock'!H:H,Final_UAE!B:B)</f>
        <v/>
      </c>
      <c r="H1668" s="8" t="e">
        <v>#N/A</v>
      </c>
      <c r="I1668" s="8" t="n"/>
    </row>
    <row r="1669">
      <c r="A1669" s="4" t="n">
        <v>33834</v>
      </c>
      <c r="B1669" s="4" t="inlineStr">
        <is>
          <t>sm100404-30s-000247-0404-57</t>
        </is>
      </c>
      <c r="C1669" s="4" t="inlineStr">
        <is>
          <t>W00031886A</t>
        </is>
      </c>
      <c r="D1669" s="6">
        <f>IF(F1669&gt;=5, F1669-5, IF(F1669&lt;5, 0, F1669))</f>
        <v/>
      </c>
      <c r="E1669">
        <f>VLOOKUP(B1669,[1]Namshi!$A:$B,2,0)</f>
        <v/>
      </c>
      <c r="F1669" s="4">
        <f>SUMIFS('Dubai Stock'!I:I,'Dubai Stock'!H:H,Final_UAE!B:B)</f>
        <v/>
      </c>
      <c r="H1669" s="8" t="e">
        <v>#N/A</v>
      </c>
    </row>
    <row r="1670">
      <c r="A1670" s="4" t="n">
        <v>33834</v>
      </c>
      <c r="B1670" s="4" t="inlineStr">
        <is>
          <t>clstdai-acu-dfvi-p30-sn0425</t>
        </is>
      </c>
      <c r="C1670" s="4" t="inlineStr">
        <is>
          <t>W00031886A</t>
        </is>
      </c>
      <c r="D1670" s="6">
        <f>IF(F1670&gt;=5, F1670-5, IF(F1670&lt;5, 0, F1670))</f>
        <v/>
      </c>
      <c r="E1670">
        <f>VLOOKUP(B1670,[1]Namshi!$A:$B,2,0)</f>
        <v/>
      </c>
      <c r="F1670" s="4">
        <f>SUMIFS('Dubai Stock'!I:I,'Dubai Stock'!H:H,Final_UAE!B:B)</f>
        <v/>
      </c>
      <c r="H1670" s="8" t="e">
        <v>#N/A</v>
      </c>
      <c r="I1670" s="8" t="n"/>
    </row>
    <row r="1671">
      <c r="A1671" s="4" t="n">
        <v>33834</v>
      </c>
      <c r="B1671" s="4" t="inlineStr">
        <is>
          <t>clstdai-lay-cont-p30-dazzle-black-sn0175</t>
        </is>
      </c>
      <c r="C1671" s="4" t="inlineStr">
        <is>
          <t>W00031886A</t>
        </is>
      </c>
      <c r="D1671" s="6">
        <f>IF(F1671&gt;=5, F1671-5, IF(F1671&lt;5, 0, F1671))</f>
        <v/>
      </c>
      <c r="E1671">
        <f>VLOOKUP(B1671,[1]Namshi!$A:$B,2,0)</f>
        <v/>
      </c>
      <c r="F1671" s="4">
        <f>SUMIFS('Dubai Stock'!I:I,'Dubai Stock'!H:H,Final_UAE!B:B)</f>
        <v/>
      </c>
      <c r="H1671" s="8" t="e">
        <v>#N/A</v>
      </c>
      <c r="I1671" s="8" t="n"/>
    </row>
    <row r="1672">
      <c r="A1672" s="4" t="n">
        <v>33834</v>
      </c>
      <c r="B1672" s="4" t="inlineStr">
        <is>
          <t>clstdai-eve-elit-p30-sn0700</t>
        </is>
      </c>
      <c r="C1672" s="4" t="inlineStr">
        <is>
          <t>W00031886A</t>
        </is>
      </c>
      <c r="D1672" s="6">
        <f>IF(F1672&gt;=5, F1672-5, IF(F1672&lt;5, 0, F1672))</f>
        <v/>
      </c>
      <c r="E1672">
        <f>VLOOKUP(B1672,[1]Namshi!$A:$B,2,0)</f>
        <v/>
      </c>
      <c r="F1672" s="4">
        <f>SUMIFS('Dubai Stock'!I:I,'Dubai Stock'!H:H,Final_UAE!B:B)</f>
        <v/>
      </c>
      <c r="H1672" s="8" t="n">
        <v>261</v>
      </c>
      <c r="I1672" s="8" t="n">
        <v>146.3</v>
      </c>
    </row>
    <row r="1673">
      <c r="A1673" s="4" t="n">
        <v>33834</v>
      </c>
      <c r="B1673" s="4" t="inlineStr">
        <is>
          <t>clstdai-btr-oned-p30-sn0500</t>
        </is>
      </c>
      <c r="C1673" s="4" t="inlineStr">
        <is>
          <t>W00031886A</t>
        </is>
      </c>
      <c r="D1673" s="6">
        <f>IF(F1673&gt;=5, F1673-5, IF(F1673&lt;5, 0, F1673))</f>
        <v/>
      </c>
      <c r="E1673">
        <f>VLOOKUP(B1673,[1]Namshi!$A:$B,2,0)</f>
        <v/>
      </c>
      <c r="F1673" s="4">
        <f>SUMIFS('Dubai Stock'!I:I,'Dubai Stock'!H:H,Final_UAE!B:B)</f>
        <v/>
      </c>
      <c r="H1673" s="8" t="e">
        <v>#N/A</v>
      </c>
      <c r="I1673" s="8" t="n"/>
    </row>
    <row r="1674">
      <c r="A1674" s="4" t="n">
        <v>33834</v>
      </c>
      <c r="B1674" s="4" t="inlineStr">
        <is>
          <t>clstdai-eve-elit-p30-sp0375</t>
        </is>
      </c>
      <c r="C1674" s="4" t="inlineStr">
        <is>
          <t>W00031886A</t>
        </is>
      </c>
      <c r="D1674" s="6">
        <f>IF(F1674&gt;=5, F1674-5, IF(F1674&lt;5, 0, F1674))</f>
        <v/>
      </c>
      <c r="E1674">
        <f>VLOOKUP(B1674,[1]Namshi!$A:$B,2,0)</f>
        <v/>
      </c>
      <c r="F1674" s="4">
        <f>SUMIFS('Dubai Stock'!I:I,'Dubai Stock'!H:H,Final_UAE!B:B)</f>
        <v/>
      </c>
      <c r="H1674" s="8" t="n">
        <v>261</v>
      </c>
      <c r="I1674" s="8" t="n">
        <v>146.3</v>
      </c>
    </row>
    <row r="1675">
      <c r="A1675" s="4" t="n">
        <v>33834</v>
      </c>
      <c r="B1675" s="4" t="inlineStr">
        <is>
          <t>clstdai-acu-oasy-p30-sn0900</t>
        </is>
      </c>
      <c r="C1675" s="4" t="inlineStr">
        <is>
          <t>W00031886A</t>
        </is>
      </c>
      <c r="D1675" s="6">
        <f>IF(F1675&gt;=5, F1675-5, IF(F1675&lt;5, 0, F1675))</f>
        <v/>
      </c>
      <c r="E1675">
        <f>VLOOKUP(B1675,[1]Namshi!$A:$B,2,0)</f>
        <v/>
      </c>
      <c r="F1675" s="4">
        <f>SUMIFS('Dubai Stock'!I:I,'Dubai Stock'!H:H,Final_UAE!B:B)</f>
        <v/>
      </c>
      <c r="H1675" s="8" t="e">
        <v>#N/A</v>
      </c>
      <c r="I1675" s="8" t="n"/>
    </row>
    <row r="1676">
      <c r="A1676" s="4" t="n">
        <v>33834</v>
      </c>
      <c r="B1676" s="4" t="inlineStr">
        <is>
          <t>sw60107-bla-000203-0107-59</t>
        </is>
      </c>
      <c r="C1676" s="4" t="inlineStr">
        <is>
          <t>W00031886A</t>
        </is>
      </c>
      <c r="D1676" s="6">
        <f>IF(F1676&gt;=5, F1676-5, IF(F1676&lt;5, 0, F1676))</f>
        <v/>
      </c>
      <c r="E1676">
        <f>VLOOKUP(B1676,[1]Namshi!$A:$B,2,0)</f>
        <v/>
      </c>
      <c r="F1676" s="4">
        <f>SUMIFS('Dubai Stock'!I:I,'Dubai Stock'!H:H,Final_UAE!B:B)</f>
        <v/>
      </c>
      <c r="H1676" s="8" t="e">
        <v>#N/A</v>
      </c>
    </row>
    <row r="1677">
      <c r="A1677" s="4" t="n">
        <v>33834</v>
      </c>
      <c r="B1677" s="4" t="inlineStr">
        <is>
          <t>cost3mo-lay-2021-p02-skye-blue-sn0325</t>
        </is>
      </c>
      <c r="C1677" s="4" t="inlineStr">
        <is>
          <t>W00031886A</t>
        </is>
      </c>
      <c r="D1677" s="6">
        <f>IF(F1677&gt;=5, F1677-5, IF(F1677&lt;5, 0, F1677))</f>
        <v/>
      </c>
      <c r="E1677">
        <f>VLOOKUP(B1677,[1]Namshi!$A:$B,2,0)</f>
        <v/>
      </c>
      <c r="F1677" s="4">
        <f>SUMIFS('Dubai Stock'!I:I,'Dubai Stock'!H:H,Final_UAE!B:B)</f>
        <v/>
      </c>
      <c r="H1677" s="8" t="e">
        <v>#N/A</v>
      </c>
      <c r="I1677" s="8" t="n"/>
    </row>
    <row r="1678">
      <c r="A1678" s="4" t="n">
        <v>33834</v>
      </c>
      <c r="B1678" s="4" t="inlineStr">
        <is>
          <t>su101406-30s-000277-1406-52</t>
        </is>
      </c>
      <c r="C1678" s="4" t="inlineStr">
        <is>
          <t>W00031886A</t>
        </is>
      </c>
      <c r="D1678" s="6">
        <f>IF(F1678&gt;=5, F1678-5, IF(F1678&lt;5, 0, F1678))</f>
        <v/>
      </c>
      <c r="E1678">
        <f>VLOOKUP(B1678,[1]Namshi!$A:$B,2,0)</f>
        <v/>
      </c>
      <c r="F1678" s="4">
        <f>SUMIFS('Dubai Stock'!I:I,'Dubai Stock'!H:H,Final_UAE!B:B)</f>
        <v/>
      </c>
      <c r="H1678" s="8" t="e">
        <v>#N/A</v>
      </c>
    </row>
    <row r="1679">
      <c r="A1679" s="4" t="n">
        <v>33834</v>
      </c>
      <c r="B1679" s="4" t="inlineStr">
        <is>
          <t>cost3mo-lay-2025-p02-emerald-glow-sn0425</t>
        </is>
      </c>
      <c r="C1679" s="4" t="inlineStr">
        <is>
          <t>W00031886A</t>
        </is>
      </c>
      <c r="D1679" s="6">
        <f>IF(F1679&gt;=5, F1679-5, IF(F1679&lt;5, 0, F1679))</f>
        <v/>
      </c>
      <c r="E1679">
        <f>VLOOKUP(B1679,[1]Namshi!$A:$B,2,0)</f>
        <v/>
      </c>
      <c r="F1679" s="4">
        <f>SUMIFS('Dubai Stock'!I:I,'Dubai Stock'!H:H,Final_UAE!B:B)</f>
        <v/>
      </c>
      <c r="H1679" s="8" t="e">
        <v>#N/A</v>
      </c>
      <c r="I1679" s="8" t="n"/>
    </row>
    <row r="1680">
      <c r="A1680" s="4" t="n">
        <v>33834</v>
      </c>
      <c r="B1680" s="4" t="inlineStr">
        <is>
          <t>cost3mo-lay-2024-p02-terra-brown-sn0125</t>
        </is>
      </c>
      <c r="C1680" s="4" t="inlineStr">
        <is>
          <t>W00031886A</t>
        </is>
      </c>
      <c r="D1680" s="6">
        <f>IF(F1680&gt;=5, F1680-5, IF(F1680&lt;5, 0, F1680))</f>
        <v/>
      </c>
      <c r="E1680">
        <f>VLOOKUP(B1680,[1]Namshi!$A:$B,2,0)</f>
        <v/>
      </c>
      <c r="F1680" s="4">
        <f>SUMIFS('Dubai Stock'!I:I,'Dubai Stock'!H:H,Final_UAE!B:B)</f>
        <v/>
      </c>
      <c r="H1680" s="8" t="e">
        <v>#N/A</v>
      </c>
      <c r="I1680" s="8" t="n"/>
    </row>
    <row r="1681">
      <c r="A1681" s="4" t="n">
        <v>33834</v>
      </c>
      <c r="B1681" s="4" t="inlineStr">
        <is>
          <t>sw20508-bla-000106-2707-57</t>
        </is>
      </c>
      <c r="C1681" s="4" t="inlineStr">
        <is>
          <t>W00031886A</t>
        </is>
      </c>
      <c r="D1681" s="6">
        <f>IF(F1681&gt;=5, F1681-5, IF(F1681&lt;5, 0, F1681))</f>
        <v/>
      </c>
      <c r="E1681">
        <f>VLOOKUP(B1681,[1]Namshi!$A:$B,2,0)</f>
        <v/>
      </c>
      <c r="F1681" s="4">
        <f>SUMIFS('Dubai Stock'!I:I,'Dubai Stock'!H:H,Final_UAE!B:B)</f>
        <v/>
      </c>
      <c r="H1681" s="8" t="e">
        <v>#N/A</v>
      </c>
    </row>
    <row r="1682">
      <c r="A1682" s="4" t="n">
        <v>33834</v>
      </c>
      <c r="B1682" s="4" t="inlineStr">
        <is>
          <t>fw30918-spc-000556-0900-53</t>
        </is>
      </c>
      <c r="C1682" s="4" t="inlineStr">
        <is>
          <t>W00031886A</t>
        </is>
      </c>
      <c r="D1682" s="6">
        <f>IF(F1682&gt;=5, F1682-5, IF(F1682&lt;5, 0, F1682))</f>
        <v/>
      </c>
      <c r="E1682">
        <f>VLOOKUP(B1682,[1]Namshi!$A:$B,2,0)</f>
        <v/>
      </c>
      <c r="F1682" s="4">
        <f>SUMIFS('Dubai Stock'!I:I,'Dubai Stock'!H:H,Final_UAE!B:B)</f>
        <v/>
      </c>
      <c r="H1682" s="8" t="e">
        <v>#N/A</v>
      </c>
      <c r="I1682" s="8" t="n"/>
    </row>
    <row r="1683">
      <c r="A1683" s="4" t="n">
        <v>33834</v>
      </c>
      <c r="B1683" s="4" t="inlineStr">
        <is>
          <t>cost3mo-cel-natu-p01-hazelwood-sp0100</t>
        </is>
      </c>
      <c r="C1683" s="4" t="inlineStr">
        <is>
          <t>W00031886A</t>
        </is>
      </c>
      <c r="D1683" s="6">
        <f>IF(F1683&gt;=5, F1683-5, IF(F1683&lt;5, 0, F1683))</f>
        <v/>
      </c>
      <c r="E1683">
        <f>VLOOKUP(B1683,[1]Namshi!$A:$B,2,0)</f>
        <v/>
      </c>
      <c r="F1683" s="4">
        <f>SUMIFS('Dubai Stock'!I:I,'Dubai Stock'!H:H,Final_UAE!B:B)</f>
        <v/>
      </c>
      <c r="H1683" s="8" t="e">
        <v>#N/A</v>
      </c>
      <c r="I1683" s="8" t="n"/>
    </row>
    <row r="1684">
      <c r="A1684" s="4" t="n">
        <v>33834</v>
      </c>
      <c r="B1684" s="4" t="inlineStr">
        <is>
          <t>clstbiw-acu-0002-p06-sn0950</t>
        </is>
      </c>
      <c r="C1684" s="4" t="inlineStr">
        <is>
          <t>W00031886A</t>
        </is>
      </c>
      <c r="D1684" s="6">
        <f>IF(F1684&gt;=5, F1684-5, IF(F1684&lt;5, 0, F1684))</f>
        <v/>
      </c>
      <c r="E1684">
        <f>VLOOKUP(B1684,[1]Namshi!$A:$B,2,0)</f>
        <v/>
      </c>
      <c r="F1684" s="4">
        <f>SUMIFS('Dubai Stock'!I:I,'Dubai Stock'!H:H,Final_UAE!B:B)</f>
        <v/>
      </c>
      <c r="H1684" s="8" t="e">
        <v>#N/A</v>
      </c>
      <c r="I1684" s="8" t="n"/>
    </row>
    <row r="1685">
      <c r="A1685" s="4" t="n">
        <v>33834</v>
      </c>
      <c r="B1685" s="4" t="inlineStr">
        <is>
          <t>costmon-ama-2022-p02-dream-sn0225</t>
        </is>
      </c>
      <c r="C1685" s="4" t="inlineStr">
        <is>
          <t>W00031886A</t>
        </is>
      </c>
      <c r="D1685" s="6">
        <f>IF(F1685&gt;=5, F1685-5, IF(F1685&lt;5, 0, F1685))</f>
        <v/>
      </c>
      <c r="E1685">
        <f>VLOOKUP(B1685,[1]Namshi!$A:$B,2,0)</f>
        <v/>
      </c>
      <c r="F1685" s="4">
        <f>SUMIFS('Dubai Stock'!I:I,'Dubai Stock'!H:H,Final_UAE!B:B)</f>
        <v/>
      </c>
      <c r="H1685" s="8" t="e">
        <v>#N/A</v>
      </c>
      <c r="I1685" s="8" t="n"/>
    </row>
    <row r="1686">
      <c r="A1686" s="4" t="n">
        <v>33834</v>
      </c>
      <c r="B1686" s="4" t="inlineStr">
        <is>
          <t>cost3mo-lay-2024-p02-terra-brown-sn0150</t>
        </is>
      </c>
      <c r="C1686" s="4" t="inlineStr">
        <is>
          <t>W00031886A</t>
        </is>
      </c>
      <c r="D1686" s="6">
        <f>IF(F1686&gt;=5, F1686-5, IF(F1686&lt;5, 0, F1686))</f>
        <v/>
      </c>
      <c r="E1686">
        <f>VLOOKUP(B1686,[1]Namshi!$A:$B,2,0)</f>
        <v/>
      </c>
      <c r="F1686" s="4">
        <f>SUMIFS('Dubai Stock'!I:I,'Dubai Stock'!H:H,Final_UAE!B:B)</f>
        <v/>
      </c>
      <c r="H1686" s="8" t="e">
        <v>#N/A</v>
      </c>
      <c r="I1686" s="8" t="n"/>
    </row>
    <row r="1687">
      <c r="A1687" s="4" t="n">
        <v>33834</v>
      </c>
      <c r="B1687" s="4" t="inlineStr">
        <is>
          <t>clstdai-dai-tot1-p90-sn0950</t>
        </is>
      </c>
      <c r="C1687" s="4" t="inlineStr">
        <is>
          <t>W00031886A</t>
        </is>
      </c>
      <c r="D1687" s="6">
        <f>IF(F1687&gt;=5, F1687-5, IF(F1687&lt;5, 0, F1687))</f>
        <v/>
      </c>
      <c r="E1687">
        <f>VLOOKUP(B1687,[1]Namshi!$A:$B,2,0)</f>
        <v/>
      </c>
      <c r="F1687" s="4">
        <f>SUMIFS('Dubai Stock'!I:I,'Dubai Stock'!H:H,Final_UAE!B:B)</f>
        <v/>
      </c>
      <c r="H1687" s="8" t="e">
        <v>#N/A</v>
      </c>
      <c r="I1687" s="8" t="n"/>
    </row>
    <row r="1688">
      <c r="A1688" s="4" t="n">
        <v>33834</v>
      </c>
      <c r="B1688" s="4" t="inlineStr">
        <is>
          <t>costmon-ama-lens-p02-dark-sepia-sn0350</t>
        </is>
      </c>
      <c r="C1688" s="4" t="inlineStr">
        <is>
          <t>W00031886A</t>
        </is>
      </c>
      <c r="D1688" s="6">
        <f>IF(F1688&gt;=5, F1688-5, IF(F1688&lt;5, 0, F1688))</f>
        <v/>
      </c>
      <c r="E1688">
        <f>VLOOKUP(B1688,[1]Namshi!$A:$B,2,0)</f>
        <v/>
      </c>
      <c r="F1688" s="4">
        <f>SUMIFS('Dubai Stock'!I:I,'Dubai Stock'!H:H,Final_UAE!B:B)</f>
        <v/>
      </c>
      <c r="H1688" s="8" t="e">
        <v>#N/A</v>
      </c>
      <c r="I1688" s="8" t="n"/>
    </row>
    <row r="1689">
      <c r="A1689" s="4" t="n">
        <v>33834</v>
      </c>
      <c r="B1689" s="4" t="inlineStr">
        <is>
          <t>sc50202-bab-000504-0202-51</t>
        </is>
      </c>
      <c r="C1689" s="4" t="inlineStr">
        <is>
          <t>W00031886A</t>
        </is>
      </c>
      <c r="D1689" s="6">
        <f>IF(F1689&gt;=5, F1689-5, IF(F1689&lt;5, 0, F1689))</f>
        <v/>
      </c>
      <c r="E1689">
        <f>VLOOKUP(B1689,[1]Namshi!$A:$B,2,0)</f>
        <v/>
      </c>
      <c r="F1689" s="4">
        <f>SUMIFS('Dubai Stock'!I:I,'Dubai Stock'!H:H,Final_UAE!B:B)</f>
        <v/>
      </c>
      <c r="H1689" s="8" t="e">
        <v>#N/A</v>
      </c>
    </row>
    <row r="1690">
      <c r="A1690" s="4" t="n">
        <v>33834</v>
      </c>
      <c r="B1690" s="4" t="inlineStr">
        <is>
          <t>sw50506-bla-000214-2706-60</t>
        </is>
      </c>
      <c r="C1690" s="4" t="inlineStr">
        <is>
          <t>W00031886A</t>
        </is>
      </c>
      <c r="D1690" s="6">
        <f>IF(F1690&gt;=5, F1690-5, IF(F1690&lt;5, 0, F1690))</f>
        <v/>
      </c>
      <c r="E1690">
        <f>VLOOKUP(B1690,[1]Namshi!$A:$B,2,0)</f>
        <v/>
      </c>
      <c r="F1690" s="4">
        <f>SUMIFS('Dubai Stock'!I:I,'Dubai Stock'!H:H,Final_UAE!B:B)</f>
        <v/>
      </c>
      <c r="H1690" s="8" t="e">
        <v>#N/A</v>
      </c>
    </row>
    <row r="1691">
      <c r="A1691" s="4" t="n">
        <v>33834</v>
      </c>
      <c r="B1691" s="4" t="inlineStr">
        <is>
          <t>cost3mo-lay-2025-p02-emerald-glow-sn0450</t>
        </is>
      </c>
      <c r="C1691" s="4" t="inlineStr">
        <is>
          <t>W00031886A</t>
        </is>
      </c>
      <c r="D1691" s="6">
        <f>IF(F1691&gt;=5, F1691-5, IF(F1691&lt;5, 0, F1691))</f>
        <v/>
      </c>
      <c r="E1691">
        <f>VLOOKUP(B1691,[1]Namshi!$A:$B,2,0)</f>
        <v/>
      </c>
      <c r="F1691" s="4">
        <f>SUMIFS('Dubai Stock'!I:I,'Dubai Stock'!H:H,Final_UAE!B:B)</f>
        <v/>
      </c>
      <c r="H1691" s="8" t="e">
        <v>#N/A</v>
      </c>
      <c r="I1691" s="8" t="n"/>
    </row>
    <row r="1692">
      <c r="A1692" s="4" t="n">
        <v>33834</v>
      </c>
      <c r="B1692" s="4" t="inlineStr">
        <is>
          <t>cost3mo-cel-natu-p01-desert-grey-sp0250</t>
        </is>
      </c>
      <c r="C1692" s="4" t="inlineStr">
        <is>
          <t>W00031886A</t>
        </is>
      </c>
      <c r="D1692" s="6">
        <f>IF(F1692&gt;=5, F1692-5, IF(F1692&lt;5, 0, F1692))</f>
        <v/>
      </c>
      <c r="E1692">
        <f>VLOOKUP(B1692,[1]Namshi!$A:$B,2,0)</f>
        <v/>
      </c>
      <c r="F1692" s="4">
        <f>SUMIFS('Dubai Stock'!I:I,'Dubai Stock'!H:H,Final_UAE!B:B)</f>
        <v/>
      </c>
      <c r="H1692" s="8" t="e">
        <v>#N/A</v>
      </c>
      <c r="I1692" s="8" t="n"/>
    </row>
    <row r="1693">
      <c r="A1693" s="4" t="n">
        <v>33834</v>
      </c>
      <c r="B1693" s="4" t="inlineStr">
        <is>
          <t>clstdai-acu-dfna-p30-sn0650</t>
        </is>
      </c>
      <c r="C1693" s="4" t="inlineStr">
        <is>
          <t>W00031886A</t>
        </is>
      </c>
      <c r="D1693" s="6">
        <f>IF(F1693&gt;=5, F1693-5, IF(F1693&lt;5, 0, F1693))</f>
        <v/>
      </c>
      <c r="E1693">
        <f>VLOOKUP(B1693,[1]Namshi!$A:$B,2,0)</f>
        <v/>
      </c>
      <c r="F1693" s="4">
        <f>SUMIFS('Dubai Stock'!I:I,'Dubai Stock'!H:H,Final_UAE!B:B)</f>
        <v/>
      </c>
      <c r="H1693" s="8" t="e">
        <v>#N/A</v>
      </c>
      <c r="I1693" s="8" t="n"/>
    </row>
    <row r="1694">
      <c r="A1694" s="4" t="n">
        <v>33834</v>
      </c>
      <c r="B1694" s="4" t="inlineStr">
        <is>
          <t>costmon-ama-2022-p02-tan-sn0150</t>
        </is>
      </c>
      <c r="C1694" s="4" t="inlineStr">
        <is>
          <t>W00031886A</t>
        </is>
      </c>
      <c r="D1694" s="6">
        <f>IF(F1694&gt;=5, F1694-5, IF(F1694&lt;5, 0, F1694))</f>
        <v/>
      </c>
      <c r="E1694">
        <f>VLOOKUP(B1694,[1]Namshi!$A:$B,2,0)</f>
        <v/>
      </c>
      <c r="F1694" s="4">
        <f>SUMIFS('Dubai Stock'!I:I,'Dubai Stock'!H:H,Final_UAE!B:B)</f>
        <v/>
      </c>
      <c r="H1694" s="8" t="e">
        <v>#N/A</v>
      </c>
      <c r="I1694" s="8" t="n"/>
    </row>
    <row r="1695">
      <c r="A1695" s="4" t="n">
        <v>33834</v>
      </c>
      <c r="B1695" s="4" t="inlineStr">
        <is>
          <t>clstdai-lay-cont-p10-dazzle-black-sn0150</t>
        </is>
      </c>
      <c r="C1695" s="4" t="inlineStr">
        <is>
          <t>W00031886A</t>
        </is>
      </c>
      <c r="D1695" s="6">
        <f>IF(F1695&gt;=5, F1695-5, IF(F1695&lt;5, 0, F1695))</f>
        <v/>
      </c>
      <c r="E1695">
        <f>VLOOKUP(B1695,[1]Namshi!$A:$B,2,0)</f>
        <v/>
      </c>
      <c r="F1695" s="4">
        <f>SUMIFS('Dubai Stock'!I:I,'Dubai Stock'!H:H,Final_UAE!B:B)</f>
        <v/>
      </c>
      <c r="H1695" s="8" t="e">
        <v>#N/A</v>
      </c>
      <c r="I1695" s="8" t="n"/>
    </row>
    <row r="1696">
      <c r="A1696" s="4" t="n">
        <v>33834</v>
      </c>
      <c r="B1696" s="4" t="inlineStr">
        <is>
          <t>clstdai-acu-oasy-p90-sn0050</t>
        </is>
      </c>
      <c r="C1696" s="4" t="inlineStr">
        <is>
          <t>W00031886A</t>
        </is>
      </c>
      <c r="D1696" s="6">
        <f>IF(F1696&gt;=5, F1696-5, IF(F1696&lt;5, 0, F1696))</f>
        <v/>
      </c>
      <c r="E1696">
        <f>VLOOKUP(B1696,[1]Namshi!$A:$B,2,0)</f>
        <v/>
      </c>
      <c r="F1696" s="4">
        <f>SUMIFS('Dubai Stock'!I:I,'Dubai Stock'!H:H,Final_UAE!B:B)</f>
        <v/>
      </c>
      <c r="H1696" s="8" t="e">
        <v>#N/A</v>
      </c>
      <c r="I1696" s="8" t="n"/>
    </row>
    <row r="1697">
      <c r="A1697" s="4" t="n">
        <v>33834</v>
      </c>
      <c r="B1697" s="4" t="inlineStr">
        <is>
          <t>sw40504-bla-000202-2704-58</t>
        </is>
      </c>
      <c r="C1697" s="4" t="inlineStr">
        <is>
          <t>W00031886A</t>
        </is>
      </c>
      <c r="D1697" s="6">
        <f>IF(F1697&gt;=5, F1697-5, IF(F1697&lt;5, 0, F1697))</f>
        <v/>
      </c>
      <c r="E1697">
        <f>VLOOKUP(B1697,[1]Namshi!$A:$B,2,0)</f>
        <v/>
      </c>
      <c r="F1697" s="4">
        <f>SUMIFS('Dubai Stock'!I:I,'Dubai Stock'!H:H,Final_UAE!B:B)</f>
        <v/>
      </c>
      <c r="H1697" s="8" t="e">
        <v>#N/A</v>
      </c>
    </row>
    <row r="1698">
      <c r="A1698" s="4" t="n">
        <v>33834</v>
      </c>
      <c r="B1698" s="4" t="inlineStr">
        <is>
          <t>sm50404-30s-000223-0102-54</t>
        </is>
      </c>
      <c r="C1698" s="4" t="inlineStr">
        <is>
          <t>W00031886A</t>
        </is>
      </c>
      <c r="D1698" s="6">
        <f>IF(F1698&gt;=5, F1698-5, IF(F1698&lt;5, 0, F1698))</f>
        <v/>
      </c>
      <c r="E1698">
        <f>VLOOKUP(B1698,[1]Namshi!$A:$B,2,0)</f>
        <v/>
      </c>
      <c r="F1698" s="4">
        <f>SUMIFS('Dubai Stock'!I:I,'Dubai Stock'!H:H,Final_UAE!B:B)</f>
        <v/>
      </c>
      <c r="H1698" s="8" t="e">
        <v>#N/A</v>
      </c>
    </row>
    <row r="1699">
      <c r="A1699" s="4" t="n">
        <v>33834</v>
      </c>
      <c r="B1699" s="4" t="inlineStr">
        <is>
          <t>cost3mo-lay-2021-p02-willow-green-sn0150</t>
        </is>
      </c>
      <c r="C1699" s="4" t="inlineStr">
        <is>
          <t>W00031886A</t>
        </is>
      </c>
      <c r="D1699" s="6">
        <f>IF(F1699&gt;=5, F1699-5, IF(F1699&lt;5, 0, F1699))</f>
        <v/>
      </c>
      <c r="E1699">
        <f>VLOOKUP(B1699,[1]Namshi!$A:$B,2,0)</f>
        <v/>
      </c>
      <c r="F1699" s="4">
        <f>SUMIFS('Dubai Stock'!I:I,'Dubai Stock'!H:H,Final_UAE!B:B)</f>
        <v/>
      </c>
      <c r="H1699" s="8" t="e">
        <v>#N/A</v>
      </c>
      <c r="I1699" s="8" t="n"/>
    </row>
    <row r="1700">
      <c r="A1700" s="4" t="n">
        <v>33834</v>
      </c>
      <c r="B1700" s="4" t="inlineStr">
        <is>
          <t>fw20418-spc-000655-0418-49</t>
        </is>
      </c>
      <c r="C1700" s="4" t="inlineStr">
        <is>
          <t>W00031886A</t>
        </is>
      </c>
      <c r="D1700" s="6">
        <f>IF(F1700&gt;=5, F1700-5, IF(F1700&lt;5, 0, F1700))</f>
        <v/>
      </c>
      <c r="E1700">
        <f>VLOOKUP(B1700,[1]Namshi!$A:$B,2,0)</f>
        <v/>
      </c>
      <c r="F1700" s="4">
        <f>SUMIFS('Dubai Stock'!I:I,'Dubai Stock'!H:H,Final_UAE!B:B)</f>
        <v/>
      </c>
      <c r="H1700" s="8" t="e">
        <v>#N/A</v>
      </c>
      <c r="I1700" s="8" t="n"/>
    </row>
    <row r="1701">
      <c r="A1701" s="4" t="n">
        <v>33834</v>
      </c>
      <c r="B1701" s="4" t="inlineStr">
        <is>
          <t>sw40207-bla-000351-0207-52</t>
        </is>
      </c>
      <c r="C1701" s="4" t="inlineStr">
        <is>
          <t>W00031886A</t>
        </is>
      </c>
      <c r="D1701" s="6">
        <f>IF(F1701&gt;=5, F1701-5, IF(F1701&lt;5, 0, F1701))</f>
        <v/>
      </c>
      <c r="E1701">
        <f>VLOOKUP(B1701,[1]Namshi!$A:$B,2,0)</f>
        <v/>
      </c>
      <c r="F1701" s="4">
        <f>SUMIFS('Dubai Stock'!I:I,'Dubai Stock'!H:H,Final_UAE!B:B)</f>
        <v/>
      </c>
      <c r="H1701" s="8" t="e">
        <v>#N/A</v>
      </c>
    </row>
    <row r="1702">
      <c r="A1702" s="4" t="n">
        <v>33834</v>
      </c>
      <c r="B1702" s="4" t="inlineStr">
        <is>
          <t>su50404-30s-000231-0404-62</t>
        </is>
      </c>
      <c r="C1702" s="4" t="inlineStr">
        <is>
          <t>W00031886A</t>
        </is>
      </c>
      <c r="D1702" s="6">
        <f>IF(F1702&gt;=5, F1702-5, IF(F1702&lt;5, 0, F1702))</f>
        <v/>
      </c>
      <c r="E1702">
        <f>VLOOKUP(B1702,[1]Namshi!$A:$B,2,0)</f>
        <v/>
      </c>
      <c r="F1702" s="4">
        <f>SUMIFS('Dubai Stock'!I:I,'Dubai Stock'!H:H,Final_UAE!B:B)</f>
        <v/>
      </c>
      <c r="H1702" s="8" t="e">
        <v>#N/A</v>
      </c>
    </row>
    <row r="1703">
      <c r="A1703" s="4" t="n">
        <v>33834</v>
      </c>
      <c r="B1703" s="4" t="inlineStr">
        <is>
          <t>cost3mo-lay-2025-p02-emerald-glow-sn0125</t>
        </is>
      </c>
      <c r="C1703" s="4" t="inlineStr">
        <is>
          <t>W00031886A</t>
        </is>
      </c>
      <c r="D1703" s="6">
        <f>IF(F1703&gt;=5, F1703-5, IF(F1703&lt;5, 0, F1703))</f>
        <v/>
      </c>
      <c r="E1703">
        <f>VLOOKUP(B1703,[1]Namshi!$A:$B,2,0)</f>
        <v/>
      </c>
      <c r="F1703" s="4">
        <f>SUMIFS('Dubai Stock'!I:I,'Dubai Stock'!H:H,Final_UAE!B:B)</f>
        <v/>
      </c>
      <c r="H1703" s="8" t="e">
        <v>#N/A</v>
      </c>
      <c r="I1703" s="8" t="n"/>
    </row>
    <row r="1704">
      <c r="A1704" s="4" t="n">
        <v>33834</v>
      </c>
      <c r="B1704" s="4" t="inlineStr">
        <is>
          <t>cost3mo-lay-2021-p02-golden-gray-sn0275</t>
        </is>
      </c>
      <c r="C1704" s="4" t="inlineStr">
        <is>
          <t>W00031886A</t>
        </is>
      </c>
      <c r="D1704" s="6">
        <f>IF(F1704&gt;=5, F1704-5, IF(F1704&lt;5, 0, F1704))</f>
        <v/>
      </c>
      <c r="E1704">
        <f>VLOOKUP(B1704,[1]Namshi!$A:$B,2,0)</f>
        <v/>
      </c>
      <c r="F1704" s="4">
        <f>SUMIFS('Dubai Stock'!I:I,'Dubai Stock'!H:H,Final_UAE!B:B)</f>
        <v/>
      </c>
      <c r="H1704" s="8" t="e">
        <v>#N/A</v>
      </c>
      <c r="I1704" s="8" t="n"/>
    </row>
    <row r="1705">
      <c r="A1705" s="4" t="n">
        <v>33834</v>
      </c>
      <c r="B1705" s="4" t="inlineStr">
        <is>
          <t>cost3mo-lay-2025-p02-emerald-glow-sn0175</t>
        </is>
      </c>
      <c r="C1705" s="4" t="inlineStr">
        <is>
          <t>W00031886A</t>
        </is>
      </c>
      <c r="D1705" s="6">
        <f>IF(F1705&gt;=5, F1705-5, IF(F1705&lt;5, 0, F1705))</f>
        <v/>
      </c>
      <c r="E1705">
        <f>VLOOKUP(B1705,[1]Namshi!$A:$B,2,0)</f>
        <v/>
      </c>
      <c r="F1705" s="4">
        <f>SUMIFS('Dubai Stock'!I:I,'Dubai Stock'!H:H,Final_UAE!B:B)</f>
        <v/>
      </c>
      <c r="H1705" s="8" t="e">
        <v>#N/A</v>
      </c>
      <c r="I1705" s="8" t="n"/>
    </row>
    <row r="1706">
      <c r="A1706" s="4" t="n">
        <v>33834</v>
      </c>
      <c r="B1706" s="4" t="inlineStr">
        <is>
          <t>sw40202-bla-000232-0202-52</t>
        </is>
      </c>
      <c r="C1706" s="4" t="inlineStr">
        <is>
          <t>W00031886A</t>
        </is>
      </c>
      <c r="D1706" s="6">
        <f>IF(F1706&gt;=5, F1706-5, IF(F1706&lt;5, 0, F1706))</f>
        <v/>
      </c>
      <c r="E1706">
        <f>VLOOKUP(B1706,[1]Namshi!$A:$B,2,0)</f>
        <v/>
      </c>
      <c r="F1706" s="4">
        <f>SUMIFS('Dubai Stock'!I:I,'Dubai Stock'!H:H,Final_UAE!B:B)</f>
        <v/>
      </c>
      <c r="H1706" s="8" t="e">
        <v>#N/A</v>
      </c>
    </row>
    <row r="1707">
      <c r="A1707" s="4" t="n">
        <v>33834</v>
      </c>
      <c r="B1707" s="4" t="inlineStr">
        <is>
          <t>sw50904-bla-000233-2404-54</t>
        </is>
      </c>
      <c r="C1707" s="4" t="inlineStr">
        <is>
          <t>W00031886A</t>
        </is>
      </c>
      <c r="D1707" s="6">
        <f>IF(F1707&gt;=5, F1707-5, IF(F1707&lt;5, 0, F1707))</f>
        <v/>
      </c>
      <c r="E1707">
        <f>VLOOKUP(B1707,[1]Namshi!$A:$B,2,0)</f>
        <v/>
      </c>
      <c r="F1707" s="4">
        <f>SUMIFS('Dubai Stock'!I:I,'Dubai Stock'!H:H,Final_UAE!B:B)</f>
        <v/>
      </c>
      <c r="H1707" s="8" t="e">
        <v>#N/A</v>
      </c>
    </row>
    <row r="1708">
      <c r="A1708" s="4" t="n">
        <v>33834</v>
      </c>
      <c r="B1708" s="4" t="inlineStr">
        <is>
          <t>costdai-acu-dffr-p10-blue-sn0050</t>
        </is>
      </c>
      <c r="C1708" s="4" t="inlineStr">
        <is>
          <t>W00031886A</t>
        </is>
      </c>
      <c r="D1708" s="6">
        <f>IF(F1708&gt;=5, F1708-5, IF(F1708&lt;5, 0, F1708))</f>
        <v/>
      </c>
      <c r="E1708">
        <f>VLOOKUP(B1708,[1]Namshi!$A:$B,2,0)</f>
        <v/>
      </c>
      <c r="F1708" s="4">
        <f>SUMIFS('Dubai Stock'!I:I,'Dubai Stock'!H:H,Final_UAE!B:B)</f>
        <v/>
      </c>
      <c r="H1708" s="8" t="e">
        <v>#N/A</v>
      </c>
      <c r="I1708" s="8" t="n"/>
    </row>
    <row r="1709">
      <c r="A1709" s="4" t="n">
        <v>33834</v>
      </c>
      <c r="B1709" s="4" t="inlineStr">
        <is>
          <t>costdai-acu-dffr-p30-blue-sn0100</t>
        </is>
      </c>
      <c r="C1709" s="4" t="inlineStr">
        <is>
          <t>W00031886A</t>
        </is>
      </c>
      <c r="D1709" s="6">
        <f>IF(F1709&gt;=5, F1709-5, IF(F1709&lt;5, 0, F1709))</f>
        <v/>
      </c>
      <c r="E1709">
        <f>VLOOKUP(B1709,[1]Namshi!$A:$B,2,0)</f>
        <v/>
      </c>
      <c r="F1709" s="4">
        <f>SUMIFS('Dubai Stock'!I:I,'Dubai Stock'!H:H,Final_UAE!B:B)</f>
        <v/>
      </c>
      <c r="H1709" s="8" t="e">
        <v>#N/A</v>
      </c>
      <c r="I1709" s="8" t="n"/>
    </row>
    <row r="1710">
      <c r="A1710" s="4" t="n">
        <v>33834</v>
      </c>
      <c r="B1710" s="4" t="inlineStr">
        <is>
          <t>costdai-ama-dail-p10-sugar-sn0275</t>
        </is>
      </c>
      <c r="C1710" s="4" t="inlineStr">
        <is>
          <t>W00031886A</t>
        </is>
      </c>
      <c r="D1710" s="6">
        <f>IF(F1710&gt;=5, F1710-5, IF(F1710&lt;5, 0, F1710))</f>
        <v/>
      </c>
      <c r="E1710">
        <f>VLOOKUP(B1710,[1]Namshi!$A:$B,2,0)</f>
        <v/>
      </c>
      <c r="F1710" s="4">
        <f>SUMIFS('Dubai Stock'!I:I,'Dubai Stock'!H:H,Final_UAE!B:B)</f>
        <v/>
      </c>
      <c r="H1710" s="8" t="e">
        <v>#N/A</v>
      </c>
      <c r="I1710" s="8" t="n"/>
    </row>
    <row r="1711">
      <c r="A1711" s="4" t="n">
        <v>33834</v>
      </c>
      <c r="B1711" s="4" t="inlineStr">
        <is>
          <t>cost3mo-lay-2022-p02-crescent-gray-sn0050</t>
        </is>
      </c>
      <c r="C1711" s="4" t="inlineStr">
        <is>
          <t>W00031886A</t>
        </is>
      </c>
      <c r="D1711" s="6">
        <f>IF(F1711&gt;=5, F1711-5, IF(F1711&lt;5, 0, F1711))</f>
        <v/>
      </c>
      <c r="E1711">
        <f>VLOOKUP(B1711,[1]Namshi!$A:$B,2,0)</f>
        <v/>
      </c>
      <c r="F1711" s="4">
        <f>SUMIFS('Dubai Stock'!I:I,'Dubai Stock'!H:H,Final_UAE!B:B)</f>
        <v/>
      </c>
      <c r="H1711" s="8" t="e">
        <v>#N/A</v>
      </c>
      <c r="I1711" s="8" t="n"/>
    </row>
    <row r="1712">
      <c r="A1712" s="4" t="n">
        <v>33834</v>
      </c>
      <c r="B1712" s="4" t="inlineStr">
        <is>
          <t>clstdai-lay-cont-p60-dazzle-brown-sn0225</t>
        </is>
      </c>
      <c r="C1712" s="4" t="inlineStr">
        <is>
          <t>W00031886A</t>
        </is>
      </c>
      <c r="D1712" s="6">
        <f>IF(F1712&gt;=5, F1712-5, IF(F1712&lt;5, 0, F1712))</f>
        <v/>
      </c>
      <c r="E1712">
        <f>VLOOKUP(B1712,[1]Namshi!$A:$B,2,0)</f>
        <v/>
      </c>
      <c r="F1712" s="4">
        <f>SUMIFS('Dubai Stock'!I:I,'Dubai Stock'!H:H,Final_UAE!B:B)</f>
        <v/>
      </c>
      <c r="H1712" s="8" t="e">
        <v>#N/A</v>
      </c>
      <c r="I1712" s="8" t="n"/>
    </row>
    <row r="1713">
      <c r="A1713" s="4" t="n">
        <v>33834</v>
      </c>
      <c r="B1713" s="4" t="inlineStr">
        <is>
          <t>cltobiw-acu-oasy-p06-sn0500-cn0075-a040</t>
        </is>
      </c>
      <c r="C1713" s="4" t="inlineStr">
        <is>
          <t>W00031886A</t>
        </is>
      </c>
      <c r="D1713" s="6">
        <f>IF(F1713&gt;=5, F1713-5, IF(F1713&lt;5, 0, F1713))</f>
        <v/>
      </c>
      <c r="E1713">
        <f>VLOOKUP(B1713,[1]Namshi!$A:$B,2,0)</f>
        <v/>
      </c>
      <c r="F1713" s="4">
        <f>SUMIFS('Dubai Stock'!I:I,'Dubai Stock'!H:H,Final_UAE!B:B)</f>
        <v/>
      </c>
      <c r="H1713" s="8" t="e">
        <v>#N/A</v>
      </c>
      <c r="I1713" s="8" t="n"/>
    </row>
    <row r="1714">
      <c r="A1714" s="4" t="n">
        <v>33834</v>
      </c>
      <c r="B1714" s="4" t="inlineStr">
        <is>
          <t>fw102318-spc-000866-2318-49</t>
        </is>
      </c>
      <c r="C1714" s="4" t="inlineStr">
        <is>
          <t>W00031886A</t>
        </is>
      </c>
      <c r="D1714" s="6">
        <f>IF(F1714&gt;=5, F1714-5, IF(F1714&lt;5, 0, F1714))</f>
        <v/>
      </c>
      <c r="E1714">
        <f>VLOOKUP(B1714,[1]Namshi!$A:$B,2,0)</f>
        <v/>
      </c>
      <c r="F1714" s="4">
        <f>SUMIFS('Dubai Stock'!I:I,'Dubai Stock'!H:H,Final_UAE!B:B)</f>
        <v/>
      </c>
      <c r="H1714" s="8" t="e">
        <v>#N/A</v>
      </c>
      <c r="I1714" s="8" t="n"/>
    </row>
    <row r="1715">
      <c r="A1715" s="4" t="n">
        <v>33834</v>
      </c>
      <c r="B1715" s="4" t="inlineStr">
        <is>
          <t>sacchan-30s-emmy-silver</t>
        </is>
      </c>
      <c r="C1715" s="4" t="inlineStr">
        <is>
          <t>W00031886A</t>
        </is>
      </c>
      <c r="D1715" s="6">
        <f>IF(F1715&gt;=5, F1715-5, IF(F1715&lt;5, 0, F1715))</f>
        <v/>
      </c>
      <c r="E1715">
        <f>VLOOKUP(B1715,[1]Namshi!$A:$B,2,0)</f>
        <v/>
      </c>
      <c r="F1715" s="4">
        <f>SUMIFS('Dubai Stock'!I:I,'Dubai Stock'!H:H,Final_UAE!B:B)</f>
        <v/>
      </c>
      <c r="H1715" s="8" t="e">
        <v>#N/A</v>
      </c>
      <c r="I1715" s="8" t="n"/>
    </row>
    <row r="1716">
      <c r="A1716" s="4" t="n">
        <v>33834</v>
      </c>
      <c r="B1716" s="4" t="inlineStr">
        <is>
          <t>costmon-ama-lens-p02-mocca-sn0125</t>
        </is>
      </c>
      <c r="C1716" s="4" t="inlineStr">
        <is>
          <t>W00031886A</t>
        </is>
      </c>
      <c r="D1716" s="6">
        <f>IF(F1716&gt;=5, F1716-5, IF(F1716&lt;5, 0, F1716))</f>
        <v/>
      </c>
      <c r="E1716">
        <f>VLOOKUP(B1716,[1]Namshi!$A:$B,2,0)</f>
        <v/>
      </c>
      <c r="F1716" s="4">
        <f>SUMIFS('Dubai Stock'!I:I,'Dubai Stock'!H:H,Final_UAE!B:B)</f>
        <v/>
      </c>
      <c r="H1716" s="8" t="e">
        <v>#N/A</v>
      </c>
      <c r="I1716" s="8" t="n"/>
    </row>
    <row r="1717">
      <c r="A1717" s="4" t="n">
        <v>33834</v>
      </c>
      <c r="B1717" s="4" t="inlineStr">
        <is>
          <t>sm20702-30s-000207-0702-53</t>
        </is>
      </c>
      <c r="C1717" s="4" t="inlineStr">
        <is>
          <t>W00031886A</t>
        </is>
      </c>
      <c r="D1717" s="6">
        <f>IF(F1717&gt;=5, F1717-5, IF(F1717&lt;5, 0, F1717))</f>
        <v/>
      </c>
      <c r="E1717">
        <f>VLOOKUP(B1717,[1]Namshi!$A:$B,2,0)</f>
        <v/>
      </c>
      <c r="F1717" s="4">
        <f>SUMIFS('Dubai Stock'!I:I,'Dubai Stock'!H:H,Final_UAE!B:B)</f>
        <v/>
      </c>
      <c r="H1717" s="8" t="e">
        <v>#N/A</v>
      </c>
    </row>
    <row r="1718">
      <c r="A1718" s="4" t="n">
        <v>33834</v>
      </c>
      <c r="B1718" s="4" t="inlineStr">
        <is>
          <t>su60506-bla-000338-0506-55</t>
        </is>
      </c>
      <c r="C1718" s="4" t="inlineStr">
        <is>
          <t>W00031886A</t>
        </is>
      </c>
      <c r="D1718" s="6">
        <f>IF(F1718&gt;=5, F1718-5, IF(F1718&lt;5, 0, F1718))</f>
        <v/>
      </c>
      <c r="E1718">
        <f>VLOOKUP(B1718,[1]Namshi!$A:$B,2,0)</f>
        <v/>
      </c>
      <c r="F1718" s="4">
        <f>SUMIFS('Dubai Stock'!I:I,'Dubai Stock'!H:H,Final_UAE!B:B)</f>
        <v/>
      </c>
      <c r="H1718" s="8" t="e">
        <v>#N/A</v>
      </c>
    </row>
    <row r="1719">
      <c r="A1719" s="4" t="n">
        <v>33834</v>
      </c>
      <c r="B1719" s="4" t="inlineStr">
        <is>
          <t>sm20107-30s-000207-0101p-52</t>
        </is>
      </c>
      <c r="C1719" s="4" t="inlineStr">
        <is>
          <t>W00031886A</t>
        </is>
      </c>
      <c r="D1719" s="6">
        <f>IF(F1719&gt;=5, F1719-5, IF(F1719&lt;5, 0, F1719))</f>
        <v/>
      </c>
      <c r="E1719">
        <f>VLOOKUP(B1719,[1]Namshi!$A:$B,2,0)</f>
        <v/>
      </c>
      <c r="F1719" s="4">
        <f>SUMIFS('Dubai Stock'!I:I,'Dubai Stock'!H:H,Final_UAE!B:B)</f>
        <v/>
      </c>
      <c r="H1719" s="8" t="e">
        <v>#N/A</v>
      </c>
    </row>
    <row r="1720">
      <c r="A1720" s="4" t="n">
        <v>33834</v>
      </c>
      <c r="B1720" s="4" t="inlineStr">
        <is>
          <t>clstdai-eve-pure-p30-sn0350</t>
        </is>
      </c>
      <c r="C1720" s="4" t="inlineStr">
        <is>
          <t>W00031886A</t>
        </is>
      </c>
      <c r="D1720" s="6">
        <f>IF(F1720&gt;=5, F1720-5, IF(F1720&lt;5, 0, F1720))</f>
        <v/>
      </c>
      <c r="E1720">
        <f>VLOOKUP(B1720,[1]Namshi!$A:$B,2,0)</f>
        <v/>
      </c>
      <c r="F1720" s="4">
        <f>SUMIFS('Dubai Stock'!I:I,'Dubai Stock'!H:H,Final_UAE!B:B)</f>
        <v/>
      </c>
      <c r="H1720" s="8" t="n">
        <v>186</v>
      </c>
      <c r="I1720" s="8" t="n">
        <v>104.3</v>
      </c>
    </row>
    <row r="1721">
      <c r="A1721" s="4" t="n">
        <v>33834</v>
      </c>
      <c r="B1721" s="4" t="inlineStr">
        <is>
          <t>costmon-ama-lens-p02-crocodile-green-sn0450</t>
        </is>
      </c>
      <c r="C1721" s="4" t="inlineStr">
        <is>
          <t>W00031886A</t>
        </is>
      </c>
      <c r="D1721" s="6">
        <f>IF(F1721&gt;=5, F1721-5, IF(F1721&lt;5, 0, F1721))</f>
        <v/>
      </c>
      <c r="E1721">
        <f>VLOOKUP(B1721,[1]Namshi!$A:$B,2,0)</f>
        <v/>
      </c>
      <c r="F1721" s="4">
        <f>SUMIFS('Dubai Stock'!I:I,'Dubai Stock'!H:H,Final_UAE!B:B)</f>
        <v/>
      </c>
      <c r="H1721" s="8" t="e">
        <v>#N/A</v>
      </c>
      <c r="I1721" s="8" t="n"/>
    </row>
    <row r="1722">
      <c r="A1722" s="4" t="n">
        <v>33834</v>
      </c>
      <c r="B1722" s="4" t="inlineStr">
        <is>
          <t>sacchan-30s-chain126-gld-kai-gold</t>
        </is>
      </c>
      <c r="C1722" s="4" t="inlineStr">
        <is>
          <t>W00031886A</t>
        </is>
      </c>
      <c r="D1722" s="6">
        <f>IF(F1722&gt;=5, F1722-5, IF(F1722&lt;5, 0, F1722))</f>
        <v/>
      </c>
      <c r="E1722">
        <f>VLOOKUP(B1722,[1]Namshi!$A:$B,2,0)</f>
        <v/>
      </c>
      <c r="F1722" s="4">
        <f>SUMIFS('Dubai Stock'!I:I,'Dubai Stock'!H:H,Final_UAE!B:B)</f>
        <v/>
      </c>
      <c r="H1722" s="8" t="e">
        <v>#N/A</v>
      </c>
      <c r="I1722" s="8" t="n"/>
    </row>
    <row r="1723">
      <c r="A1723" s="4" t="n">
        <v>33834</v>
      </c>
      <c r="B1723" s="4" t="inlineStr">
        <is>
          <t>clstdai-eve-pure-p90-sn0450</t>
        </is>
      </c>
      <c r="C1723" s="4" t="inlineStr">
        <is>
          <t>W00031886A</t>
        </is>
      </c>
      <c r="D1723" s="6">
        <f>IF(F1723&gt;=5, F1723-5, IF(F1723&lt;5, 0, F1723))</f>
        <v/>
      </c>
      <c r="E1723">
        <f>VLOOKUP(B1723,[1]Namshi!$A:$B,2,0)</f>
        <v/>
      </c>
      <c r="F1723" s="4">
        <f>SUMIFS('Dubai Stock'!I:I,'Dubai Stock'!H:H,Final_UAE!B:B)</f>
        <v/>
      </c>
      <c r="H1723" s="8" t="n">
        <v>529</v>
      </c>
      <c r="I1723" s="8" t="n">
        <v>259</v>
      </c>
    </row>
    <row r="1724">
      <c r="A1724" s="4" t="n">
        <v>33834</v>
      </c>
      <c r="B1724" s="4" t="inlineStr">
        <is>
          <t>clstdai-acu-omax-p30-sn0100</t>
        </is>
      </c>
      <c r="C1724" s="4" t="inlineStr">
        <is>
          <t>W00031886A</t>
        </is>
      </c>
      <c r="D1724" s="6">
        <f>IF(F1724&gt;=5, F1724-5, IF(F1724&lt;5, 0, F1724))</f>
        <v/>
      </c>
      <c r="E1724">
        <f>VLOOKUP(B1724,[1]Namshi!$A:$B,2,0)</f>
        <v/>
      </c>
      <c r="F1724" s="4">
        <f>SUMIFS('Dubai Stock'!I:I,'Dubai Stock'!H:H,Final_UAE!B:B)</f>
        <v/>
      </c>
      <c r="H1724" s="8" t="e">
        <v>#N/A</v>
      </c>
      <c r="I1724" s="8" t="n"/>
    </row>
    <row r="1725">
      <c r="A1725" s="4" t="n">
        <v>33834</v>
      </c>
      <c r="B1725" s="4" t="inlineStr">
        <is>
          <t>costdai-ama-dail-p10-amber-sn0500</t>
        </is>
      </c>
      <c r="C1725" s="4" t="inlineStr">
        <is>
          <t>W00031886A</t>
        </is>
      </c>
      <c r="D1725" s="6">
        <f>IF(F1725&gt;=5, F1725-5, IF(F1725&lt;5, 0, F1725))</f>
        <v/>
      </c>
      <c r="E1725">
        <f>VLOOKUP(B1725,[1]Namshi!$A:$B,2,0)</f>
        <v/>
      </c>
      <c r="F1725" s="4">
        <f>SUMIFS('Dubai Stock'!I:I,'Dubai Stock'!H:H,Final_UAE!B:B)</f>
        <v/>
      </c>
      <c r="H1725" s="8" t="e">
        <v>#N/A</v>
      </c>
      <c r="I1725" s="8" t="n"/>
    </row>
    <row r="1726">
      <c r="A1726" s="4" t="n">
        <v>33834</v>
      </c>
      <c r="B1726" s="4" t="inlineStr">
        <is>
          <t>clstdai-lay-cont-p60-dazzle-brown-sn0575</t>
        </is>
      </c>
      <c r="C1726" s="4" t="inlineStr">
        <is>
          <t>W00031886A</t>
        </is>
      </c>
      <c r="D1726" s="6">
        <f>IF(F1726&gt;=5, F1726-5, IF(F1726&lt;5, 0, F1726))</f>
        <v/>
      </c>
      <c r="E1726">
        <f>VLOOKUP(B1726,[1]Namshi!$A:$B,2,0)</f>
        <v/>
      </c>
      <c r="F1726" s="4">
        <f>SUMIFS('Dubai Stock'!I:I,'Dubai Stock'!H:H,Final_UAE!B:B)</f>
        <v/>
      </c>
      <c r="H1726" s="8" t="e">
        <v>#N/A</v>
      </c>
      <c r="I1726" s="8" t="n"/>
    </row>
    <row r="1727">
      <c r="A1727" s="4" t="n">
        <v>33834</v>
      </c>
      <c r="B1727" s="4" t="inlineStr">
        <is>
          <t>su72906-bla-000237-2906-54</t>
        </is>
      </c>
      <c r="C1727" s="4" t="inlineStr">
        <is>
          <t>W00031886A</t>
        </is>
      </c>
      <c r="D1727" s="6">
        <f>IF(F1727&gt;=5, F1727-5, IF(F1727&lt;5, 0, F1727))</f>
        <v/>
      </c>
      <c r="E1727">
        <f>VLOOKUP(B1727,[1]Namshi!$A:$B,2,0)</f>
        <v/>
      </c>
      <c r="F1727" s="4">
        <f>SUMIFS('Dubai Stock'!I:I,'Dubai Stock'!H:H,Final_UAE!B:B)</f>
        <v/>
      </c>
      <c r="H1727" s="8" t="e">
        <v>#N/A</v>
      </c>
    </row>
    <row r="1728">
      <c r="A1728" s="4" t="n">
        <v>33834</v>
      </c>
      <c r="B1728" s="4" t="inlineStr">
        <is>
          <t>clstdai-lay-cont-p30-dazzle-black-sn0950</t>
        </is>
      </c>
      <c r="C1728" s="4" t="inlineStr">
        <is>
          <t>W00031886A</t>
        </is>
      </c>
      <c r="D1728" s="6">
        <f>IF(F1728&gt;=5, F1728-5, IF(F1728&lt;5, 0, F1728))</f>
        <v/>
      </c>
      <c r="E1728">
        <f>VLOOKUP(B1728,[1]Namshi!$A:$B,2,0)</f>
        <v/>
      </c>
      <c r="F1728" s="4">
        <f>SUMIFS('Dubai Stock'!I:I,'Dubai Stock'!H:H,Final_UAE!B:B)</f>
        <v/>
      </c>
      <c r="H1728" s="8" t="e">
        <v>#N/A</v>
      </c>
      <c r="I1728" s="8" t="n"/>
    </row>
    <row r="1729">
      <c r="A1729" s="4" t="n">
        <v>33834</v>
      </c>
      <c r="B1729" s="4" t="inlineStr">
        <is>
          <t>clstdai-acu-mois-p30-sn1150</t>
        </is>
      </c>
      <c r="C1729" s="4" t="inlineStr">
        <is>
          <t>W00031886A</t>
        </is>
      </c>
      <c r="D1729" s="6">
        <f>IF(F1729&gt;=5, F1729-5, IF(F1729&lt;5, 0, F1729))</f>
        <v/>
      </c>
      <c r="E1729">
        <f>VLOOKUP(B1729,[1]Namshi!$A:$B,2,0)</f>
        <v/>
      </c>
      <c r="F1729" s="4">
        <f>SUMIFS('Dubai Stock'!I:I,'Dubai Stock'!H:H,Final_UAE!B:B)</f>
        <v/>
      </c>
      <c r="H1729" s="8" t="e">
        <v>#N/A</v>
      </c>
      <c r="I1729" s="8" t="n"/>
    </row>
    <row r="1730">
      <c r="A1730" s="4" t="n">
        <v>33834</v>
      </c>
      <c r="B1730" s="4" t="inlineStr">
        <is>
          <t>clstbiw-acu-0002-p06-sn0350</t>
        </is>
      </c>
      <c r="C1730" s="4" t="inlineStr">
        <is>
          <t>W00031886A</t>
        </is>
      </c>
      <c r="D1730" s="6">
        <f>IF(F1730&gt;=5, F1730-5, IF(F1730&lt;5, 0, F1730))</f>
        <v/>
      </c>
      <c r="E1730">
        <f>VLOOKUP(B1730,[1]Namshi!$A:$B,2,0)</f>
        <v/>
      </c>
      <c r="F1730" s="4">
        <f>SUMIFS('Dubai Stock'!I:I,'Dubai Stock'!H:H,Final_UAE!B:B)</f>
        <v/>
      </c>
      <c r="H1730" s="8" t="e">
        <v>#N/A</v>
      </c>
      <c r="I1730" s="8" t="n"/>
    </row>
    <row r="1731">
      <c r="A1731" s="4" t="n">
        <v>33834</v>
      </c>
      <c r="B1731" s="4" t="inlineStr">
        <is>
          <t>clstdai-acu-dfvi-p90-sn0575</t>
        </is>
      </c>
      <c r="C1731" s="4" t="inlineStr">
        <is>
          <t>W00031886A</t>
        </is>
      </c>
      <c r="D1731" s="6">
        <f>IF(F1731&gt;=5, F1731-5, IF(F1731&lt;5, 0, F1731))</f>
        <v/>
      </c>
      <c r="E1731">
        <f>VLOOKUP(B1731,[1]Namshi!$A:$B,2,0)</f>
        <v/>
      </c>
      <c r="F1731" s="4">
        <f>SUMIFS('Dubai Stock'!I:I,'Dubai Stock'!H:H,Final_UAE!B:B)</f>
        <v/>
      </c>
      <c r="H1731" s="8" t="e">
        <v>#N/A</v>
      </c>
      <c r="I1731" s="8" t="n"/>
    </row>
    <row r="1732">
      <c r="A1732" s="4" t="n">
        <v>33834</v>
      </c>
      <c r="B1732" s="4" t="inlineStr">
        <is>
          <t>ru100618-spc-000882-0618-46-sp0100</t>
        </is>
      </c>
      <c r="C1732" s="4" t="inlineStr">
        <is>
          <t>W00031886A</t>
        </is>
      </c>
      <c r="D1732" s="6">
        <f>IF(F1732&gt;=5, F1732-5, IF(F1732&lt;5, 0, F1732))</f>
        <v/>
      </c>
      <c r="E1732">
        <f>VLOOKUP(B1732,[1]Namshi!$A:$B,2,0)</f>
        <v/>
      </c>
      <c r="F1732" s="4">
        <f>SUMIFS('Dubai Stock'!I:I,'Dubai Stock'!H:H,Final_UAE!B:B)</f>
        <v/>
      </c>
      <c r="H1732" s="8" t="e">
        <v>#N/A</v>
      </c>
      <c r="I1732" s="8" t="n"/>
    </row>
    <row r="1733">
      <c r="A1733" s="4" t="n">
        <v>33834</v>
      </c>
      <c r="B1733" s="4" t="inlineStr">
        <is>
          <t>sw30202-30s-000292-0202-53</t>
        </is>
      </c>
      <c r="C1733" s="4" t="inlineStr">
        <is>
          <t>W00031886A</t>
        </is>
      </c>
      <c r="D1733" s="6">
        <f>IF(F1733&gt;=5, F1733-5, IF(F1733&lt;5, 0, F1733))</f>
        <v/>
      </c>
      <c r="E1733">
        <f>VLOOKUP(B1733,[1]Namshi!$A:$B,2,0)</f>
        <v/>
      </c>
      <c r="F1733" s="4">
        <f>SUMIFS('Dubai Stock'!I:I,'Dubai Stock'!H:H,Final_UAE!B:B)</f>
        <v/>
      </c>
      <c r="H1733" s="8" t="e">
        <v>#N/A</v>
      </c>
    </row>
    <row r="1734">
      <c r="A1734" s="4" t="n">
        <v>33834</v>
      </c>
      <c r="B1734" s="4" t="inlineStr">
        <is>
          <t>costmon-ama-2022-p02-tiger-eyes-sp0000</t>
        </is>
      </c>
      <c r="C1734" s="4" t="inlineStr">
        <is>
          <t>W00031886A</t>
        </is>
      </c>
      <c r="D1734" s="6">
        <f>IF(F1734&gt;=5, F1734-5, IF(F1734&lt;5, 0, F1734))</f>
        <v/>
      </c>
      <c r="E1734">
        <f>VLOOKUP(B1734,[1]Namshi!$A:$B,2,0)</f>
        <v/>
      </c>
      <c r="F1734" s="4">
        <f>SUMIFS('Dubai Stock'!I:I,'Dubai Stock'!H:H,Final_UAE!B:B)</f>
        <v/>
      </c>
      <c r="H1734" s="8" t="e">
        <v>#N/A</v>
      </c>
      <c r="I1734" s="8" t="n"/>
    </row>
    <row r="1735">
      <c r="A1735" s="4" t="n">
        <v>33834</v>
      </c>
      <c r="B1735" s="4" t="inlineStr">
        <is>
          <t>cost3mo-lay-lens-p02-crystal-brown-sn0350</t>
        </is>
      </c>
      <c r="C1735" s="4" t="inlineStr">
        <is>
          <t>W00031886A</t>
        </is>
      </c>
      <c r="D1735" s="6">
        <f>IF(F1735&gt;=5, F1735-5, IF(F1735&lt;5, 0, F1735))</f>
        <v/>
      </c>
      <c r="E1735">
        <f>VLOOKUP(B1735,[1]Namshi!$A:$B,2,0)</f>
        <v/>
      </c>
      <c r="F1735" s="4">
        <f>SUMIFS('Dubai Stock'!I:I,'Dubai Stock'!H:H,Final_UAE!B:B)</f>
        <v/>
      </c>
      <c r="H1735" s="8" t="e">
        <v>#N/A</v>
      </c>
      <c r="I1735" s="8" t="n"/>
    </row>
    <row r="1736">
      <c r="A1736" s="4" t="n">
        <v>33834</v>
      </c>
      <c r="B1736" s="4" t="inlineStr">
        <is>
          <t>cost3mo-lay-lens-p02-forest-green-sn0050</t>
        </is>
      </c>
      <c r="C1736" s="4" t="inlineStr">
        <is>
          <t>W00031886A</t>
        </is>
      </c>
      <c r="D1736" s="6">
        <f>IF(F1736&gt;=5, F1736-5, IF(F1736&lt;5, 0, F1736))</f>
        <v/>
      </c>
      <c r="E1736">
        <f>VLOOKUP(B1736,[1]Namshi!$A:$B,2,0)</f>
        <v/>
      </c>
      <c r="F1736" s="4">
        <f>SUMIFS('Dubai Stock'!I:I,'Dubai Stock'!H:H,Final_UAE!B:B)</f>
        <v/>
      </c>
      <c r="H1736" s="8" t="e">
        <v>#N/A</v>
      </c>
      <c r="I1736" s="8" t="n"/>
    </row>
    <row r="1737">
      <c r="A1737" s="4" t="n">
        <v>33834</v>
      </c>
      <c r="B1737" s="4" t="inlineStr">
        <is>
          <t>costdai-acu-dffr-p10-grayzel-sn0200</t>
        </is>
      </c>
      <c r="C1737" s="4" t="inlineStr">
        <is>
          <t>W00031886A</t>
        </is>
      </c>
      <c r="D1737" s="6">
        <f>IF(F1737&gt;=5, F1737-5, IF(F1737&lt;5, 0, F1737))</f>
        <v/>
      </c>
      <c r="E1737">
        <f>VLOOKUP(B1737,[1]Namshi!$A:$B,2,0)</f>
        <v/>
      </c>
      <c r="F1737" s="4">
        <f>SUMIFS('Dubai Stock'!I:I,'Dubai Stock'!H:H,Final_UAE!B:B)</f>
        <v/>
      </c>
      <c r="H1737" s="8" t="e">
        <v>#N/A</v>
      </c>
      <c r="I1737" s="8" t="n"/>
    </row>
    <row r="1738">
      <c r="A1738" s="4" t="n">
        <v>33834</v>
      </c>
      <c r="B1738" s="4" t="inlineStr">
        <is>
          <t>costmon-ama-2024-p02-matcha-sn0400</t>
        </is>
      </c>
      <c r="C1738" s="4" t="inlineStr">
        <is>
          <t>W00031886A</t>
        </is>
      </c>
      <c r="D1738" s="6">
        <f>IF(F1738&gt;=5, F1738-5, IF(F1738&lt;5, 0, F1738))</f>
        <v/>
      </c>
      <c r="E1738">
        <f>VLOOKUP(B1738,[1]Namshi!$A:$B,2,0)</f>
        <v/>
      </c>
      <c r="F1738" s="4">
        <f>SUMIFS('Dubai Stock'!I:I,'Dubai Stock'!H:H,Final_UAE!B:B)</f>
        <v/>
      </c>
      <c r="H1738" s="8" t="e">
        <v>#N/A</v>
      </c>
      <c r="I1738" s="8" t="n"/>
    </row>
    <row r="1739">
      <c r="A1739" s="4" t="n">
        <v>33834</v>
      </c>
      <c r="B1739" s="4" t="inlineStr">
        <is>
          <t>clstdai-acu-mois-p60-sn0650</t>
        </is>
      </c>
      <c r="C1739" s="4" t="inlineStr">
        <is>
          <t>W00031886A</t>
        </is>
      </c>
      <c r="D1739" s="6">
        <f>IF(F1739&gt;=5, F1739-5, IF(F1739&lt;5, 0, F1739))</f>
        <v/>
      </c>
      <c r="E1739">
        <f>VLOOKUP(B1739,[1]Namshi!$A:$B,2,0)</f>
        <v/>
      </c>
      <c r="F1739" s="4">
        <f>SUMIFS('Dubai Stock'!I:I,'Dubai Stock'!H:H,Final_UAE!B:B)</f>
        <v/>
      </c>
      <c r="H1739" s="8" t="e">
        <v>#N/A</v>
      </c>
      <c r="I1739" s="8" t="n"/>
    </row>
    <row r="1740">
      <c r="A1740" s="4" t="n">
        <v>33834</v>
      </c>
      <c r="B1740" s="4" t="inlineStr">
        <is>
          <t>cost3mo-lay-2025-p02-emerald-glow-sn0400</t>
        </is>
      </c>
      <c r="C1740" s="4" t="inlineStr">
        <is>
          <t>W00031886A</t>
        </is>
      </c>
      <c r="D1740" s="6">
        <f>IF(F1740&gt;=5, F1740-5, IF(F1740&lt;5, 0, F1740))</f>
        <v/>
      </c>
      <c r="E1740">
        <f>VLOOKUP(B1740,[1]Namshi!$A:$B,2,0)</f>
        <v/>
      </c>
      <c r="F1740" s="4">
        <f>SUMIFS('Dubai Stock'!I:I,'Dubai Stock'!H:H,Final_UAE!B:B)</f>
        <v/>
      </c>
      <c r="H1740" s="8" t="e">
        <v>#N/A</v>
      </c>
      <c r="I1740" s="8" t="n"/>
    </row>
    <row r="1741">
      <c r="A1741" s="4" t="n">
        <v>33834</v>
      </c>
      <c r="B1741" s="4" t="inlineStr">
        <is>
          <t>su20702-30s-000229-0702-53</t>
        </is>
      </c>
      <c r="C1741" s="4" t="inlineStr">
        <is>
          <t>W00031886A</t>
        </is>
      </c>
      <c r="D1741" s="6">
        <f>IF(F1741&gt;=5, F1741-5, IF(F1741&lt;5, 0, F1741))</f>
        <v/>
      </c>
      <c r="E1741">
        <f>VLOOKUP(B1741,[1]Namshi!$A:$B,2,0)</f>
        <v/>
      </c>
      <c r="F1741" s="4">
        <f>SUMIFS('Dubai Stock'!I:I,'Dubai Stock'!H:H,Final_UAE!B:B)</f>
        <v/>
      </c>
      <c r="H1741" s="8" t="e">
        <v>#N/A</v>
      </c>
    </row>
    <row r="1742">
      <c r="A1742" s="4" t="n">
        <v>33834</v>
      </c>
      <c r="B1742" s="4" t="inlineStr">
        <is>
          <t>costdai-acu-dffr-p10-rose-sn0350</t>
        </is>
      </c>
      <c r="C1742" s="4" t="inlineStr">
        <is>
          <t>W00031886A</t>
        </is>
      </c>
      <c r="D1742" s="6">
        <f>IF(F1742&gt;=5, F1742-5, IF(F1742&lt;5, 0, F1742))</f>
        <v/>
      </c>
      <c r="E1742">
        <f>VLOOKUP(B1742,[1]Namshi!$A:$B,2,0)</f>
        <v/>
      </c>
      <c r="F1742" s="4">
        <f>SUMIFS('Dubai Stock'!I:I,'Dubai Stock'!H:H,Final_UAE!B:B)</f>
        <v/>
      </c>
      <c r="H1742" s="8" t="e">
        <v>#N/A</v>
      </c>
      <c r="I1742" s="8" t="n"/>
    </row>
    <row r="1743">
      <c r="A1743" s="4" t="n">
        <v>33834</v>
      </c>
      <c r="B1743" s="4" t="inlineStr">
        <is>
          <t>sm100106-30s-00439-0106p-50</t>
        </is>
      </c>
      <c r="C1743" s="4" t="inlineStr">
        <is>
          <t>W00031886A</t>
        </is>
      </c>
      <c r="D1743" s="6">
        <f>IF(F1743&gt;=5, F1743-5, IF(F1743&lt;5, 0, F1743))</f>
        <v/>
      </c>
      <c r="E1743">
        <f>VLOOKUP(B1743,[1]Namshi!$A:$B,2,0)</f>
        <v/>
      </c>
      <c r="F1743" s="4">
        <f>SUMIFS('Dubai Stock'!I:I,'Dubai Stock'!H:H,Final_UAE!B:B)</f>
        <v/>
      </c>
      <c r="H1743" s="8" t="e">
        <v>#N/A</v>
      </c>
    </row>
    <row r="1744">
      <c r="A1744" s="4" t="n">
        <v>33834</v>
      </c>
      <c r="B1744" s="4" t="inlineStr">
        <is>
          <t>sw52907-bla-000301-2907-53</t>
        </is>
      </c>
      <c r="C1744" s="4" t="inlineStr">
        <is>
          <t>W00031886A</t>
        </is>
      </c>
      <c r="D1744" s="6">
        <f>IF(F1744&gt;=5, F1744-5, IF(F1744&lt;5, 0, F1744))</f>
        <v/>
      </c>
      <c r="E1744">
        <f>VLOOKUP(B1744,[1]Namshi!$A:$B,2,0)</f>
        <v/>
      </c>
      <c r="F1744" s="4">
        <f>SUMIFS('Dubai Stock'!I:I,'Dubai Stock'!H:H,Final_UAE!B:B)</f>
        <v/>
      </c>
      <c r="H1744" s="8" t="e">
        <v>#N/A</v>
      </c>
      <c r="I1744" s="8" t="n"/>
    </row>
    <row r="1745">
      <c r="A1745" s="4" t="n">
        <v>33834</v>
      </c>
      <c r="B1745" s="4" t="inlineStr">
        <is>
          <t>clstdai-acu-dfna-p90-sn0100</t>
        </is>
      </c>
      <c r="C1745" s="4" t="inlineStr">
        <is>
          <t>W00031886A</t>
        </is>
      </c>
      <c r="D1745" s="6">
        <f>IF(F1745&gt;=5, F1745-5, IF(F1745&lt;5, 0, F1745))</f>
        <v/>
      </c>
      <c r="E1745">
        <f>VLOOKUP(B1745,[1]Namshi!$A:$B,2,0)</f>
        <v/>
      </c>
      <c r="F1745" s="4">
        <f>SUMIFS('Dubai Stock'!I:I,'Dubai Stock'!H:H,Final_UAE!B:B)</f>
        <v/>
      </c>
      <c r="H1745" s="8" t="e">
        <v>#N/A</v>
      </c>
      <c r="I1745" s="8" t="n"/>
    </row>
    <row r="1746">
      <c r="A1746" s="4" t="n">
        <v>33834</v>
      </c>
      <c r="B1746" s="4" t="inlineStr">
        <is>
          <t>cost3mo-lay-2022-p02-sage-gray-sn0225</t>
        </is>
      </c>
      <c r="C1746" s="4" t="inlineStr">
        <is>
          <t>W00031886A</t>
        </is>
      </c>
      <c r="D1746" s="6">
        <f>IF(F1746&gt;=5, F1746-5, IF(F1746&lt;5, 0, F1746))</f>
        <v/>
      </c>
      <c r="E1746">
        <f>VLOOKUP(B1746,[1]Namshi!$A:$B,2,0)</f>
        <v/>
      </c>
      <c r="F1746" s="4">
        <f>SUMIFS('Dubai Stock'!I:I,'Dubai Stock'!H:H,Final_UAE!B:B)</f>
        <v/>
      </c>
      <c r="H1746" s="8" t="e">
        <v>#N/A</v>
      </c>
      <c r="I1746" s="8" t="n"/>
    </row>
    <row r="1747">
      <c r="A1747" s="4" t="n">
        <v>33834</v>
      </c>
      <c r="B1747" s="4" t="inlineStr">
        <is>
          <t>clstdai-acu-mois-p120-sn0650</t>
        </is>
      </c>
      <c r="C1747" s="4" t="inlineStr">
        <is>
          <t>W00031886A</t>
        </is>
      </c>
      <c r="D1747" s="6">
        <f>IF(F1747&gt;=5, F1747-5, IF(F1747&lt;5, 0, F1747))</f>
        <v/>
      </c>
      <c r="E1747">
        <f>VLOOKUP(B1747,[1]Namshi!$A:$B,2,0)</f>
        <v/>
      </c>
      <c r="F1747" s="4">
        <f>SUMIFS('Dubai Stock'!I:I,'Dubai Stock'!H:H,Final_UAE!B:B)</f>
        <v/>
      </c>
      <c r="H1747" s="8" t="e">
        <v>#N/A</v>
      </c>
      <c r="I1747" s="8" t="n"/>
    </row>
    <row r="1748">
      <c r="A1748" s="4" t="n">
        <v>33834</v>
      </c>
      <c r="B1748" s="4" t="inlineStr">
        <is>
          <t>clstbiw-acu-oasy-p06-sn0800</t>
        </is>
      </c>
      <c r="C1748" s="4" t="inlineStr">
        <is>
          <t>W00031886A</t>
        </is>
      </c>
      <c r="D1748" s="6">
        <f>IF(F1748&gt;=5, F1748-5, IF(F1748&lt;5, 0, F1748))</f>
        <v/>
      </c>
      <c r="E1748">
        <f>VLOOKUP(B1748,[1]Namshi!$A:$B,2,0)</f>
        <v/>
      </c>
      <c r="F1748" s="4">
        <f>SUMIFS('Dubai Stock'!I:I,'Dubai Stock'!H:H,Final_UAE!B:B)</f>
        <v/>
      </c>
      <c r="H1748" s="8" t="e">
        <v>#N/A</v>
      </c>
      <c r="I1748" s="8" t="n"/>
    </row>
    <row r="1749">
      <c r="A1749" s="4" t="n">
        <v>33834</v>
      </c>
      <c r="B1749" s="4" t="inlineStr">
        <is>
          <t>clstbiw-acu-oasy-p18-sn0175</t>
        </is>
      </c>
      <c r="C1749" s="4" t="inlineStr">
        <is>
          <t>W00031886A</t>
        </is>
      </c>
      <c r="D1749" s="6">
        <f>IF(F1749&gt;=5, F1749-5, IF(F1749&lt;5, 0, F1749))</f>
        <v/>
      </c>
      <c r="E1749">
        <f>VLOOKUP(B1749,[1]Namshi!$A:$B,2,0)</f>
        <v/>
      </c>
      <c r="F1749" s="4">
        <f>SUMIFS('Dubai Stock'!I:I,'Dubai Stock'!H:H,Final_UAE!B:B)</f>
        <v/>
      </c>
      <c r="H1749" s="8" t="e">
        <v>#N/A</v>
      </c>
      <c r="I1749" s="8" t="n"/>
    </row>
    <row r="1750">
      <c r="A1750" s="4" t="n">
        <v>33834</v>
      </c>
      <c r="B1750" s="4" t="inlineStr">
        <is>
          <t>sc21007-opc-190007-1007-39</t>
        </is>
      </c>
      <c r="C1750" s="4" t="inlineStr">
        <is>
          <t>W00031886A</t>
        </is>
      </c>
      <c r="D1750" s="6">
        <f>IF(F1750&gt;=5, F1750-5, IF(F1750&lt;5, 0, F1750))</f>
        <v/>
      </c>
      <c r="E1750">
        <f>VLOOKUP(B1750,[1]Namshi!$A:$B,2,0)</f>
        <v/>
      </c>
      <c r="F1750" s="4">
        <f>SUMIFS('Dubai Stock'!I:I,'Dubai Stock'!H:H,Final_UAE!B:B)</f>
        <v/>
      </c>
      <c r="H1750" s="8" t="e">
        <v>#N/A</v>
      </c>
      <c r="I1750" s="8" t="n"/>
    </row>
    <row r="1751">
      <c r="A1751" s="4" t="n">
        <v>33834</v>
      </c>
      <c r="B1751" s="4" t="inlineStr">
        <is>
          <t>sm12506-30s-000201-2506-57</t>
        </is>
      </c>
      <c r="C1751" s="4" t="inlineStr">
        <is>
          <t>W00031886A</t>
        </is>
      </c>
      <c r="D1751" s="6">
        <f>IF(F1751&gt;=5, F1751-5, IF(F1751&lt;5, 0, F1751))</f>
        <v/>
      </c>
      <c r="E1751">
        <f>VLOOKUP(B1751,[1]Namshi!$A:$B,2,0)</f>
        <v/>
      </c>
      <c r="F1751" s="4">
        <f>SUMIFS('Dubai Stock'!I:I,'Dubai Stock'!H:H,Final_UAE!B:B)</f>
        <v/>
      </c>
      <c r="H1751" s="8" t="e">
        <v>#N/A</v>
      </c>
    </row>
    <row r="1752">
      <c r="A1752" s="4" t="n">
        <v>33834</v>
      </c>
      <c r="B1752" s="4" t="inlineStr">
        <is>
          <t>clstdai-bme-1day-p30-sn0450</t>
        </is>
      </c>
      <c r="C1752" s="4" t="inlineStr">
        <is>
          <t>W00031886A</t>
        </is>
      </c>
      <c r="D1752" s="6">
        <f>IF(F1752&gt;=5, F1752-5, IF(F1752&lt;5, 0, F1752))</f>
        <v/>
      </c>
      <c r="E1752">
        <f>VLOOKUP(B1752,[1]Namshi!$A:$B,2,0)</f>
        <v/>
      </c>
      <c r="F1752" s="4">
        <f>SUMIFS('Dubai Stock'!I:I,'Dubai Stock'!H:H,Final_UAE!B:B)</f>
        <v/>
      </c>
      <c r="H1752" s="8" t="e">
        <v>#N/A</v>
      </c>
      <c r="I1752" s="8" t="n"/>
    </row>
    <row r="1753">
      <c r="A1753" s="4" t="n">
        <v>33834</v>
      </c>
      <c r="B1753" s="4" t="inlineStr">
        <is>
          <t>clstdai-eve-elit-p90-sn0425</t>
        </is>
      </c>
      <c r="C1753" s="4" t="inlineStr">
        <is>
          <t>W00031886A</t>
        </is>
      </c>
      <c r="D1753" s="6">
        <f>IF(F1753&gt;=5, F1753-5, IF(F1753&lt;5, 0, F1753))</f>
        <v/>
      </c>
      <c r="E1753">
        <f>VLOOKUP(B1753,[1]Namshi!$A:$B,2,0)</f>
        <v/>
      </c>
      <c r="F1753" s="4">
        <f>SUMIFS('Dubai Stock'!I:I,'Dubai Stock'!H:H,Final_UAE!B:B)</f>
        <v/>
      </c>
      <c r="H1753" s="8" t="n">
        <v>729</v>
      </c>
      <c r="I1753" s="8" t="n">
        <v>357</v>
      </c>
    </row>
    <row r="1754">
      <c r="A1754" s="4" t="n">
        <v>33834</v>
      </c>
      <c r="B1754" s="4" t="inlineStr">
        <is>
          <t>clstdai-lay-cont-p60-dazzle-brown-sn0150</t>
        </is>
      </c>
      <c r="C1754" s="4" t="inlineStr">
        <is>
          <t>W00031886A</t>
        </is>
      </c>
      <c r="D1754" s="6">
        <f>IF(F1754&gt;=5, F1754-5, IF(F1754&lt;5, 0, F1754))</f>
        <v/>
      </c>
      <c r="E1754">
        <f>VLOOKUP(B1754,[1]Namshi!$A:$B,2,0)</f>
        <v/>
      </c>
      <c r="F1754" s="4">
        <f>SUMIFS('Dubai Stock'!I:I,'Dubai Stock'!H:H,Final_UAE!B:B)</f>
        <v/>
      </c>
      <c r="H1754" s="8" t="e">
        <v>#N/A</v>
      </c>
      <c r="I1754" s="8" t="n"/>
    </row>
    <row r="1755">
      <c r="A1755" s="4" t="n">
        <v>33834</v>
      </c>
      <c r="B1755" s="4" t="inlineStr">
        <is>
          <t>clstbiw-acu-0002-p18-sn0450</t>
        </is>
      </c>
      <c r="C1755" s="4" t="inlineStr">
        <is>
          <t>W00031886A</t>
        </is>
      </c>
      <c r="D1755" s="6">
        <f>IF(F1755&gt;=5, F1755-5, IF(F1755&lt;5, 0, F1755))</f>
        <v/>
      </c>
      <c r="E1755">
        <f>VLOOKUP(B1755,[1]Namshi!$A:$B,2,0)</f>
        <v/>
      </c>
      <c r="F1755" s="4">
        <f>SUMIFS('Dubai Stock'!I:I,'Dubai Stock'!H:H,Final_UAE!B:B)</f>
        <v/>
      </c>
      <c r="H1755" s="8" t="e">
        <v>#N/A</v>
      </c>
      <c r="I1755" s="8" t="n"/>
    </row>
    <row r="1756">
      <c r="A1756" s="4" t="n">
        <v>33834</v>
      </c>
      <c r="B1756" s="4" t="inlineStr">
        <is>
          <t>clstdai-acu-dfrb-p60-sn0350</t>
        </is>
      </c>
      <c r="C1756" s="4" t="inlineStr">
        <is>
          <t>W00031886A</t>
        </is>
      </c>
      <c r="D1756" s="6">
        <f>IF(F1756&gt;=5, F1756-5, IF(F1756&lt;5, 0, F1756))</f>
        <v/>
      </c>
      <c r="E1756">
        <f>VLOOKUP(B1756,[1]Namshi!$A:$B,2,0)</f>
        <v/>
      </c>
      <c r="F1756" s="4">
        <f>SUMIFS('Dubai Stock'!I:I,'Dubai Stock'!H:H,Final_UAE!B:B)</f>
        <v/>
      </c>
      <c r="H1756" s="8" t="e">
        <v>#N/A</v>
      </c>
      <c r="I1756" s="8" t="n"/>
    </row>
    <row r="1757">
      <c r="A1757" s="4" t="n">
        <v>33834</v>
      </c>
      <c r="B1757" s="4" t="inlineStr">
        <is>
          <t>clstdai-sof-sdai-p90-sn0625</t>
        </is>
      </c>
      <c r="C1757" s="4" t="inlineStr">
        <is>
          <t>W00031886A</t>
        </is>
      </c>
      <c r="D1757" s="6">
        <f>IF(F1757&gt;=5, F1757-5, IF(F1757&lt;5, 0, F1757))</f>
        <v/>
      </c>
      <c r="E1757">
        <f>VLOOKUP(B1757,[1]Namshi!$A:$B,2,0)</f>
        <v/>
      </c>
      <c r="F1757" s="4">
        <f>SUMIFS('Dubai Stock'!I:I,'Dubai Stock'!H:H,Final_UAE!B:B)</f>
        <v/>
      </c>
      <c r="H1757" s="8" t="e">
        <v>#N/A</v>
      </c>
      <c r="I1757" s="8" t="n"/>
    </row>
    <row r="1758">
      <c r="A1758" s="4" t="n">
        <v>33834</v>
      </c>
      <c r="B1758" s="4" t="inlineStr">
        <is>
          <t>clstdai-eve-elit-p90-sp0400</t>
        </is>
      </c>
      <c r="C1758" s="4" t="inlineStr">
        <is>
          <t>W00031886A</t>
        </is>
      </c>
      <c r="D1758" s="6">
        <f>IF(F1758&gt;=5, F1758-5, IF(F1758&lt;5, 0, F1758))</f>
        <v/>
      </c>
      <c r="E1758">
        <f>VLOOKUP(B1758,[1]Namshi!$A:$B,2,0)</f>
        <v/>
      </c>
      <c r="F1758" s="4">
        <f>SUMIFS('Dubai Stock'!I:I,'Dubai Stock'!H:H,Final_UAE!B:B)</f>
        <v/>
      </c>
      <c r="H1758" s="8" t="n">
        <v>729</v>
      </c>
      <c r="I1758" s="8" t="n">
        <v>357</v>
      </c>
    </row>
    <row r="1759">
      <c r="A1759" s="4" t="n">
        <v>33834</v>
      </c>
      <c r="B1759" s="4" t="inlineStr">
        <is>
          <t>clstdai-acu-mois-p90-sn0800</t>
        </is>
      </c>
      <c r="C1759" s="4" t="inlineStr">
        <is>
          <t>W00031886A</t>
        </is>
      </c>
      <c r="D1759" s="6">
        <f>IF(F1759&gt;=5, F1759-5, IF(F1759&lt;5, 0, F1759))</f>
        <v/>
      </c>
      <c r="E1759">
        <f>VLOOKUP(B1759,[1]Namshi!$A:$B,2,0)</f>
        <v/>
      </c>
      <c r="F1759" s="4">
        <f>SUMIFS('Dubai Stock'!I:I,'Dubai Stock'!H:H,Final_UAE!B:B)</f>
        <v/>
      </c>
      <c r="H1759" s="8" t="e">
        <v>#N/A</v>
      </c>
      <c r="I1759" s="8" t="n"/>
    </row>
    <row r="1760">
      <c r="A1760" s="4" t="n">
        <v>33834</v>
      </c>
      <c r="B1760" s="4" t="inlineStr">
        <is>
          <t>clstbiw-acu-cle-p06-sn1200</t>
        </is>
      </c>
      <c r="C1760" s="4" t="inlineStr">
        <is>
          <t>W00031886A</t>
        </is>
      </c>
      <c r="D1760" s="6">
        <f>IF(F1760&gt;=5, F1760-5, IF(F1760&lt;5, 0, F1760))</f>
        <v/>
      </c>
      <c r="E1760">
        <f>VLOOKUP(B1760,[1]Namshi!$A:$B,2,0)</f>
        <v/>
      </c>
      <c r="F1760" s="4">
        <f>SUMIFS('Dubai Stock'!I:I,'Dubai Stock'!H:H,Final_UAE!B:B)</f>
        <v/>
      </c>
      <c r="H1760" s="8" t="e">
        <v>#N/A</v>
      </c>
      <c r="I1760" s="8" t="n"/>
    </row>
    <row r="1761">
      <c r="A1761" s="4" t="n">
        <v>33834</v>
      </c>
      <c r="B1761" s="4" t="inlineStr">
        <is>
          <t>sw52901-bla-000306-2901-52</t>
        </is>
      </c>
      <c r="C1761" s="4" t="inlineStr">
        <is>
          <t>W00031886A</t>
        </is>
      </c>
      <c r="D1761" s="6">
        <f>IF(F1761&gt;=5, F1761-5, IF(F1761&lt;5, 0, F1761))</f>
        <v/>
      </c>
      <c r="E1761">
        <f>VLOOKUP(B1761,[1]Namshi!$A:$B,2,0)</f>
        <v/>
      </c>
      <c r="F1761" s="4">
        <f>SUMIFS('Dubai Stock'!I:I,'Dubai Stock'!H:H,Final_UAE!B:B)</f>
        <v/>
      </c>
      <c r="H1761" s="8" t="e">
        <v>#N/A</v>
      </c>
    </row>
    <row r="1762">
      <c r="A1762" s="4" t="n">
        <v>33834</v>
      </c>
      <c r="B1762" s="4" t="inlineStr">
        <is>
          <t>sw30702-bla-000273-0702-57</t>
        </is>
      </c>
      <c r="C1762" s="4" t="inlineStr">
        <is>
          <t>W00031886A</t>
        </is>
      </c>
      <c r="D1762" s="6">
        <f>IF(F1762&gt;=5, F1762-5, IF(F1762&lt;5, 0, F1762))</f>
        <v/>
      </c>
      <c r="E1762">
        <f>VLOOKUP(B1762,[1]Namshi!$A:$B,2,0)</f>
        <v/>
      </c>
      <c r="F1762" s="4">
        <f>SUMIFS('Dubai Stock'!I:I,'Dubai Stock'!H:H,Final_UAE!B:B)</f>
        <v/>
      </c>
      <c r="H1762" s="8" t="e">
        <v>#N/A</v>
      </c>
    </row>
    <row r="1763">
      <c r="A1763" s="4" t="n">
        <v>33834</v>
      </c>
      <c r="B1763" s="4" t="inlineStr">
        <is>
          <t>clstmon-sof-sl59-p06-sn0550</t>
        </is>
      </c>
      <c r="C1763" s="4" t="inlineStr">
        <is>
          <t>W00031886A</t>
        </is>
      </c>
      <c r="D1763" s="6">
        <f>IF(F1763&gt;=5, F1763-5, IF(F1763&lt;5, 0, F1763))</f>
        <v/>
      </c>
      <c r="E1763">
        <f>VLOOKUP(B1763,[1]Namshi!$A:$B,2,0)</f>
        <v/>
      </c>
      <c r="F1763" s="4">
        <f>SUMIFS('Dubai Stock'!I:I,'Dubai Stock'!H:H,Final_UAE!B:B)</f>
        <v/>
      </c>
      <c r="H1763" s="8" t="e">
        <v>#N/A</v>
      </c>
      <c r="I1763" s="8" t="n"/>
    </row>
    <row r="1764">
      <c r="A1764" s="4" t="n">
        <v>33834</v>
      </c>
      <c r="B1764" s="4" t="inlineStr">
        <is>
          <t>cost3mo-lay-lens-p02-platinum-gray-sn0150</t>
        </is>
      </c>
      <c r="C1764" s="4" t="inlineStr">
        <is>
          <t>W00031886A</t>
        </is>
      </c>
      <c r="D1764" s="6">
        <f>IF(F1764&gt;=5, F1764-5, IF(F1764&lt;5, 0, F1764))</f>
        <v/>
      </c>
      <c r="E1764">
        <f>VLOOKUP(B1764,[1]Namshi!$A:$B,2,0)</f>
        <v/>
      </c>
      <c r="F1764" s="4">
        <f>SUMIFS('Dubai Stock'!I:I,'Dubai Stock'!H:H,Final_UAE!B:B)</f>
        <v/>
      </c>
      <c r="H1764" s="8" t="e">
        <v>#N/A</v>
      </c>
      <c r="I1764" s="8" t="n"/>
    </row>
    <row r="1765">
      <c r="A1765" s="4" t="n">
        <v>33834</v>
      </c>
      <c r="B1765" s="4" t="inlineStr">
        <is>
          <t>fw30618-spc-000537-0600-53</t>
        </is>
      </c>
      <c r="C1765" s="4" t="inlineStr">
        <is>
          <t>W00031886A</t>
        </is>
      </c>
      <c r="D1765" s="6">
        <f>IF(F1765&gt;=5, F1765-5, IF(F1765&lt;5, 0, F1765))</f>
        <v/>
      </c>
      <c r="E1765">
        <f>VLOOKUP(B1765,[1]Namshi!$A:$B,2,0)</f>
        <v/>
      </c>
      <c r="F1765" s="4">
        <f>SUMIFS('Dubai Stock'!I:I,'Dubai Stock'!H:H,Final_UAE!B:B)</f>
        <v/>
      </c>
      <c r="H1765" s="8" t="e">
        <v>#N/A</v>
      </c>
      <c r="I1765" s="8" t="n"/>
    </row>
    <row r="1766">
      <c r="A1766" s="4" t="n">
        <v>33834</v>
      </c>
      <c r="B1766" s="4" t="inlineStr">
        <is>
          <t>clstdai-lay-cont-p30-dazzle-brown-sn0200</t>
        </is>
      </c>
      <c r="C1766" s="4" t="inlineStr">
        <is>
          <t>W00031886A</t>
        </is>
      </c>
      <c r="D1766" s="6">
        <f>IF(F1766&gt;=5, F1766-5, IF(F1766&lt;5, 0, F1766))</f>
        <v/>
      </c>
      <c r="E1766">
        <f>VLOOKUP(B1766,[1]Namshi!$A:$B,2,0)</f>
        <v/>
      </c>
      <c r="F1766" s="4">
        <f>SUMIFS('Dubai Stock'!I:I,'Dubai Stock'!H:H,Final_UAE!B:B)</f>
        <v/>
      </c>
      <c r="H1766" s="8" t="e">
        <v>#N/A</v>
      </c>
      <c r="I1766" s="8" t="n"/>
    </row>
    <row r="1767">
      <c r="A1767" s="4" t="n">
        <v>33834</v>
      </c>
      <c r="B1767" s="4" t="inlineStr">
        <is>
          <t>clstdai-acu-mois-p30-sp0400</t>
        </is>
      </c>
      <c r="C1767" s="4" t="inlineStr">
        <is>
          <t>W00031886A</t>
        </is>
      </c>
      <c r="D1767" s="6">
        <f>IF(F1767&gt;=5, F1767-5, IF(F1767&lt;5, 0, F1767))</f>
        <v/>
      </c>
      <c r="E1767">
        <f>VLOOKUP(B1767,[1]Namshi!$A:$B,2,0)</f>
        <v/>
      </c>
      <c r="F1767" s="4">
        <f>SUMIFS('Dubai Stock'!I:I,'Dubai Stock'!H:H,Final_UAE!B:B)</f>
        <v/>
      </c>
      <c r="H1767" s="8" t="e">
        <v>#N/A</v>
      </c>
      <c r="I1767" s="8" t="n"/>
    </row>
    <row r="1768">
      <c r="A1768" s="4" t="n">
        <v>33834</v>
      </c>
      <c r="B1768" s="4" t="inlineStr">
        <is>
          <t>sw30701-bla-000227-0701-57</t>
        </is>
      </c>
      <c r="C1768" s="4" t="inlineStr">
        <is>
          <t>W00031886A</t>
        </is>
      </c>
      <c r="D1768" s="6">
        <f>IF(F1768&gt;=5, F1768-5, IF(F1768&lt;5, 0, F1768))</f>
        <v/>
      </c>
      <c r="E1768">
        <f>VLOOKUP(B1768,[1]Namshi!$A:$B,2,0)</f>
        <v/>
      </c>
      <c r="F1768" s="4">
        <f>SUMIFS('Dubai Stock'!I:I,'Dubai Stock'!H:H,Final_UAE!B:B)</f>
        <v/>
      </c>
      <c r="H1768" s="8" t="e">
        <v>#N/A</v>
      </c>
    </row>
    <row r="1769">
      <c r="A1769" s="4" t="n">
        <v>33834</v>
      </c>
      <c r="B1769" s="4" t="inlineStr">
        <is>
          <t>clstdai-cla-iris-p30-alicia-brown-sn0100</t>
        </is>
      </c>
      <c r="C1769" s="4" t="inlineStr">
        <is>
          <t>W00031886A</t>
        </is>
      </c>
      <c r="D1769" s="6">
        <f>IF(F1769&gt;=5, F1769-5, IF(F1769&lt;5, 0, F1769))</f>
        <v/>
      </c>
      <c r="E1769">
        <f>VLOOKUP(B1769,[1]Namshi!$A:$B,2,0)</f>
        <v/>
      </c>
      <c r="F1769" s="4">
        <f>SUMIFS('Dubai Stock'!I:I,'Dubai Stock'!H:H,Final_UAE!B:B)</f>
        <v/>
      </c>
      <c r="H1769" s="8" t="e">
        <v>#N/A</v>
      </c>
      <c r="I1769" s="8" t="n"/>
    </row>
    <row r="1770">
      <c r="A1770" s="4" t="n">
        <v>33834</v>
      </c>
      <c r="B1770" s="4" t="inlineStr">
        <is>
          <t>cost3mo-lay-2025-p02-desert-topaz-sn0350</t>
        </is>
      </c>
      <c r="C1770" s="4" t="inlineStr">
        <is>
          <t>W00031886A</t>
        </is>
      </c>
      <c r="D1770" s="6">
        <f>IF(F1770&gt;=5, F1770-5, IF(F1770&lt;5, 0, F1770))</f>
        <v/>
      </c>
      <c r="E1770">
        <f>VLOOKUP(B1770,[1]Namshi!$A:$B,2,0)</f>
        <v/>
      </c>
      <c r="F1770" s="4">
        <f>SUMIFS('Dubai Stock'!I:I,'Dubai Stock'!H:H,Final_UAE!B:B)</f>
        <v/>
      </c>
      <c r="H1770" s="8" t="e">
        <v>#N/A</v>
      </c>
      <c r="I1770" s="8" t="n"/>
    </row>
    <row r="1771">
      <c r="A1771" s="4" t="n">
        <v>33834</v>
      </c>
      <c r="B1771" s="4" t="inlineStr">
        <is>
          <t>clstdai-dai-aqua-p30-sn0900</t>
        </is>
      </c>
      <c r="C1771" s="4" t="inlineStr">
        <is>
          <t>W00031886A</t>
        </is>
      </c>
      <c r="D1771" s="6">
        <f>IF(F1771&gt;=5, F1771-5, IF(F1771&lt;5, 0, F1771))</f>
        <v/>
      </c>
      <c r="E1771">
        <f>VLOOKUP(B1771,[1]Namshi!$A:$B,2,0)</f>
        <v/>
      </c>
      <c r="F1771" s="4">
        <f>SUMIFS('Dubai Stock'!I:I,'Dubai Stock'!H:H,Final_UAE!B:B)</f>
        <v/>
      </c>
      <c r="H1771" s="8" t="e">
        <v>#N/A</v>
      </c>
      <c r="I1771" s="8" t="n"/>
    </row>
    <row r="1772">
      <c r="A1772" s="4" t="n">
        <v>33834</v>
      </c>
      <c r="B1772" s="4" t="inlineStr">
        <is>
          <t>clstbiw-acu-oasy-p06-sp0350</t>
        </is>
      </c>
      <c r="C1772" s="4" t="inlineStr">
        <is>
          <t>W00031886A</t>
        </is>
      </c>
      <c r="D1772" s="6">
        <f>IF(F1772&gt;=5, F1772-5, IF(F1772&lt;5, 0, F1772))</f>
        <v/>
      </c>
      <c r="E1772">
        <f>VLOOKUP(B1772,[1]Namshi!$A:$B,2,0)</f>
        <v/>
      </c>
      <c r="F1772" s="4">
        <f>SUMIFS('Dubai Stock'!I:I,'Dubai Stock'!H:H,Final_UAE!B:B)</f>
        <v/>
      </c>
      <c r="H1772" s="8" t="e">
        <v>#N/A</v>
      </c>
      <c r="I1772" s="8" t="n"/>
    </row>
    <row r="1773">
      <c r="A1773" s="4" t="n">
        <v>33834</v>
      </c>
      <c r="B1773" s="4" t="inlineStr">
        <is>
          <t>costmon-ama-2020-p02-pure-hazel-sn0100</t>
        </is>
      </c>
      <c r="C1773" s="4" t="inlineStr">
        <is>
          <t>W00031886A</t>
        </is>
      </c>
      <c r="D1773" s="6">
        <f>IF(F1773&gt;=5, F1773-5, IF(F1773&lt;5, 0, F1773))</f>
        <v/>
      </c>
      <c r="E1773">
        <f>VLOOKUP(B1773,[1]Namshi!$A:$B,2,0)</f>
        <v/>
      </c>
      <c r="F1773" s="4">
        <f>SUMIFS('Dubai Stock'!I:I,'Dubai Stock'!H:H,Final_UAE!B:B)</f>
        <v/>
      </c>
      <c r="H1773" s="8" t="e">
        <v>#N/A</v>
      </c>
      <c r="I1773" s="8" t="n"/>
    </row>
    <row r="1774">
      <c r="A1774" s="4" t="n">
        <v>33834</v>
      </c>
      <c r="B1774" s="4" t="inlineStr">
        <is>
          <t>cost3mo-lay-lens-p02-crystal-brown-sn0325</t>
        </is>
      </c>
      <c r="C1774" s="4" t="inlineStr">
        <is>
          <t>W00031886A</t>
        </is>
      </c>
      <c r="D1774" s="6">
        <f>IF(F1774&gt;=5, F1774-5, IF(F1774&lt;5, 0, F1774))</f>
        <v/>
      </c>
      <c r="E1774">
        <f>VLOOKUP(B1774,[1]Namshi!$A:$B,2,0)</f>
        <v/>
      </c>
      <c r="F1774" s="4">
        <f>SUMIFS('Dubai Stock'!I:I,'Dubai Stock'!H:H,Final_UAE!B:B)</f>
        <v/>
      </c>
      <c r="H1774" s="8" t="e">
        <v>#N/A</v>
      </c>
      <c r="I1774" s="8" t="n"/>
    </row>
    <row r="1775">
      <c r="A1775" s="4" t="n">
        <v>33834</v>
      </c>
      <c r="B1775" s="4" t="inlineStr">
        <is>
          <t>costmon-ama-2024-p02-matcha-sn0225</t>
        </is>
      </c>
      <c r="C1775" s="4" t="inlineStr">
        <is>
          <t>W00031886A</t>
        </is>
      </c>
      <c r="D1775" s="6">
        <f>IF(F1775&gt;=5, F1775-5, IF(F1775&lt;5, 0, F1775))</f>
        <v/>
      </c>
      <c r="E1775">
        <f>VLOOKUP(B1775,[1]Namshi!$A:$B,2,0)</f>
        <v/>
      </c>
      <c r="F1775" s="4">
        <f>SUMIFS('Dubai Stock'!I:I,'Dubai Stock'!H:H,Final_UAE!B:B)</f>
        <v/>
      </c>
      <c r="H1775" s="8" t="e">
        <v>#N/A</v>
      </c>
      <c r="I1775" s="8" t="n"/>
    </row>
    <row r="1776">
      <c r="A1776" s="4" t="n">
        <v>33834</v>
      </c>
      <c r="B1776" s="4" t="inlineStr">
        <is>
          <t>sm53207-30s-000504-3207-58</t>
        </is>
      </c>
      <c r="C1776" s="4" t="inlineStr">
        <is>
          <t>W00031886A</t>
        </is>
      </c>
      <c r="D1776" s="6">
        <f>IF(F1776&gt;=5, F1776-5, IF(F1776&lt;5, 0, F1776))</f>
        <v/>
      </c>
      <c r="E1776">
        <f>VLOOKUP(B1776,[1]Namshi!$A:$B,2,0)</f>
        <v/>
      </c>
      <c r="F1776" s="4">
        <f>SUMIFS('Dubai Stock'!I:I,'Dubai Stock'!H:H,Final_UAE!B:B)</f>
        <v/>
      </c>
      <c r="H1776" s="8" t="e">
        <v>#N/A</v>
      </c>
      <c r="I1776" s="8" t="n"/>
    </row>
    <row r="1777">
      <c r="A1777" s="4" t="n">
        <v>33834</v>
      </c>
      <c r="B1777" s="4" t="inlineStr">
        <is>
          <t>sw32907-bla-000220-2901-65</t>
        </is>
      </c>
      <c r="C1777" s="4" t="inlineStr">
        <is>
          <t>W00031886A</t>
        </is>
      </c>
      <c r="D1777" s="6">
        <f>IF(F1777&gt;=5, F1777-5, IF(F1777&lt;5, 0, F1777))</f>
        <v/>
      </c>
      <c r="E1777">
        <f>VLOOKUP(B1777,[1]Namshi!$A:$B,2,0)</f>
        <v/>
      </c>
      <c r="F1777" s="4">
        <f>SUMIFS('Dubai Stock'!I:I,'Dubai Stock'!H:H,Final_UAE!B:B)</f>
        <v/>
      </c>
      <c r="H1777" s="8" t="e">
        <v>#N/A</v>
      </c>
    </row>
    <row r="1778">
      <c r="A1778" s="4" t="n">
        <v>33834</v>
      </c>
      <c r="B1778" s="4" t="inlineStr">
        <is>
          <t>sc50207-bab-000526-0207-43</t>
        </is>
      </c>
      <c r="C1778" s="4" t="inlineStr">
        <is>
          <t>W00031886A</t>
        </is>
      </c>
      <c r="D1778" s="6">
        <f>IF(F1778&gt;=5, F1778-5, IF(F1778&lt;5, 0, F1778))</f>
        <v/>
      </c>
      <c r="E1778">
        <f>VLOOKUP(B1778,[1]Namshi!$A:$B,2,0)</f>
        <v/>
      </c>
      <c r="F1778" s="4">
        <f>SUMIFS('Dubai Stock'!I:I,'Dubai Stock'!H:H,Final_UAE!B:B)</f>
        <v/>
      </c>
      <c r="H1778" s="8" t="e">
        <v>#N/A</v>
      </c>
    </row>
    <row r="1779">
      <c r="A1779" s="4" t="n">
        <v>33834</v>
      </c>
      <c r="B1779" s="4" t="inlineStr">
        <is>
          <t>clstbiw-acu-oasy-p06-sn0125</t>
        </is>
      </c>
      <c r="C1779" s="4" t="inlineStr">
        <is>
          <t>W00031886A</t>
        </is>
      </c>
      <c r="D1779" s="6">
        <f>IF(F1779&gt;=5, F1779-5, IF(F1779&lt;5, 0, F1779))</f>
        <v/>
      </c>
      <c r="E1779">
        <f>VLOOKUP(B1779,[1]Namshi!$A:$B,2,0)</f>
        <v/>
      </c>
      <c r="F1779" s="4">
        <f>SUMIFS('Dubai Stock'!I:I,'Dubai Stock'!H:H,Final_UAE!B:B)</f>
        <v/>
      </c>
      <c r="H1779" s="8" t="e">
        <v>#N/A</v>
      </c>
      <c r="I1779" s="8" t="n"/>
    </row>
    <row r="1780">
      <c r="A1780" s="4" t="n">
        <v>33834</v>
      </c>
      <c r="B1780" s="4" t="inlineStr">
        <is>
          <t>clstdai-eve-pure-p90-sn0300</t>
        </is>
      </c>
      <c r="C1780" s="4" t="inlineStr">
        <is>
          <t>W00031886A</t>
        </is>
      </c>
      <c r="D1780" s="6">
        <f>IF(F1780&gt;=5, F1780-5, IF(F1780&lt;5, 0, F1780))</f>
        <v/>
      </c>
      <c r="E1780">
        <f>VLOOKUP(B1780,[1]Namshi!$A:$B,2,0)</f>
        <v/>
      </c>
      <c r="F1780" s="4">
        <f>SUMIFS('Dubai Stock'!I:I,'Dubai Stock'!H:H,Final_UAE!B:B)</f>
        <v/>
      </c>
      <c r="H1780" s="8" t="n">
        <v>529</v>
      </c>
      <c r="I1780" s="8" t="n">
        <v>259</v>
      </c>
    </row>
    <row r="1781">
      <c r="A1781" s="4" t="n">
        <v>33834</v>
      </c>
      <c r="B1781" s="4" t="inlineStr">
        <is>
          <t>clstdai-acu-omax-p90-sn0850</t>
        </is>
      </c>
      <c r="C1781" s="4" t="inlineStr">
        <is>
          <t>W00031886A</t>
        </is>
      </c>
      <c r="D1781" s="6">
        <f>IF(F1781&gt;=5, F1781-5, IF(F1781&lt;5, 0, F1781))</f>
        <v/>
      </c>
      <c r="E1781">
        <f>VLOOKUP(B1781,[1]Namshi!$A:$B,2,0)</f>
        <v/>
      </c>
      <c r="F1781" s="4">
        <f>SUMIFS('Dubai Stock'!I:I,'Dubai Stock'!H:H,Final_UAE!B:B)</f>
        <v/>
      </c>
      <c r="H1781" s="8" t="e">
        <v>#N/A</v>
      </c>
      <c r="I1781" s="8" t="n"/>
    </row>
    <row r="1782">
      <c r="A1782" s="4" t="n">
        <v>33834</v>
      </c>
      <c r="B1782" s="4" t="inlineStr">
        <is>
          <t>clstdai-btr-oned-p30-sn0200</t>
        </is>
      </c>
      <c r="C1782" s="4" t="inlineStr">
        <is>
          <t>W00031886A</t>
        </is>
      </c>
      <c r="D1782" s="6">
        <f>IF(F1782&gt;=5, F1782-5, IF(F1782&lt;5, 0, F1782))</f>
        <v/>
      </c>
      <c r="E1782">
        <f>VLOOKUP(B1782,[1]Namshi!$A:$B,2,0)</f>
        <v/>
      </c>
      <c r="F1782" s="4">
        <f>SUMIFS('Dubai Stock'!I:I,'Dubai Stock'!H:H,Final_UAE!B:B)</f>
        <v/>
      </c>
      <c r="H1782" s="8" t="e">
        <v>#N/A</v>
      </c>
      <c r="I1782" s="8" t="n"/>
    </row>
    <row r="1783">
      <c r="A1783" s="4" t="n">
        <v>33834</v>
      </c>
      <c r="B1783" s="4" t="inlineStr">
        <is>
          <t>cost3mo-lay-2024-p02-moon-gray-sn0275</t>
        </is>
      </c>
      <c r="C1783" s="4" t="inlineStr">
        <is>
          <t>W00031886A</t>
        </is>
      </c>
      <c r="D1783" s="6">
        <f>IF(F1783&gt;=5, F1783-5, IF(F1783&lt;5, 0, F1783))</f>
        <v/>
      </c>
      <c r="E1783">
        <f>VLOOKUP(B1783,[1]Namshi!$A:$B,2,0)</f>
        <v/>
      </c>
      <c r="F1783" s="4">
        <f>SUMIFS('Dubai Stock'!I:I,'Dubai Stock'!H:H,Final_UAE!B:B)</f>
        <v/>
      </c>
      <c r="H1783" s="8" t="e">
        <v>#N/A</v>
      </c>
      <c r="I1783" s="8" t="n"/>
    </row>
    <row r="1784">
      <c r="A1784" s="4" t="n">
        <v>33834</v>
      </c>
      <c r="B1784" s="4" t="inlineStr">
        <is>
          <t>cost3mo-lay-lens-p02-forest-green-sn0200</t>
        </is>
      </c>
      <c r="C1784" s="4" t="inlineStr">
        <is>
          <t>W00031886A</t>
        </is>
      </c>
      <c r="D1784" s="6">
        <f>IF(F1784&gt;=5, F1784-5, IF(F1784&lt;5, 0, F1784))</f>
        <v/>
      </c>
      <c r="E1784">
        <f>VLOOKUP(B1784,[1]Namshi!$A:$B,2,0)</f>
        <v/>
      </c>
      <c r="F1784" s="4">
        <f>SUMIFS('Dubai Stock'!I:I,'Dubai Stock'!H:H,Final_UAE!B:B)</f>
        <v/>
      </c>
      <c r="H1784" s="8" t="e">
        <v>#N/A</v>
      </c>
      <c r="I1784" s="8" t="n"/>
    </row>
    <row r="1785">
      <c r="A1785" s="4" t="n">
        <v>33834</v>
      </c>
      <c r="B1785" s="4" t="inlineStr">
        <is>
          <t>clstdai-acu-dfna-p30-sn0050</t>
        </is>
      </c>
      <c r="C1785" s="4" t="inlineStr">
        <is>
          <t>W00031886A</t>
        </is>
      </c>
      <c r="D1785" s="6">
        <f>IF(F1785&gt;=5, F1785-5, IF(F1785&lt;5, 0, F1785))</f>
        <v/>
      </c>
      <c r="E1785">
        <f>VLOOKUP(B1785,[1]Namshi!$A:$B,2,0)</f>
        <v/>
      </c>
      <c r="F1785" s="4">
        <f>SUMIFS('Dubai Stock'!I:I,'Dubai Stock'!H:H,Final_UAE!B:B)</f>
        <v/>
      </c>
      <c r="H1785" s="8" t="e">
        <v>#N/A</v>
      </c>
      <c r="I1785" s="8" t="n"/>
    </row>
    <row r="1786">
      <c r="A1786" s="4" t="n">
        <v>33834</v>
      </c>
      <c r="B1786" s="4" t="inlineStr">
        <is>
          <t>fw60918-spc-000877-0918-51</t>
        </is>
      </c>
      <c r="C1786" s="4" t="inlineStr">
        <is>
          <t>W00031886A</t>
        </is>
      </c>
      <c r="D1786" s="6">
        <f>IF(F1786&gt;=5, F1786-5, IF(F1786&lt;5, 0, F1786))</f>
        <v/>
      </c>
      <c r="E1786">
        <f>VLOOKUP(B1786,[1]Namshi!$A:$B,2,0)</f>
        <v/>
      </c>
      <c r="F1786" s="4">
        <f>SUMIFS('Dubai Stock'!I:I,'Dubai Stock'!H:H,Final_UAE!B:B)</f>
        <v/>
      </c>
      <c r="H1786" s="8" t="e">
        <v>#N/A</v>
      </c>
      <c r="I1786" s="8" t="n"/>
    </row>
    <row r="1787">
      <c r="A1787" s="4" t="n">
        <v>33834</v>
      </c>
      <c r="B1787" s="4" t="inlineStr">
        <is>
          <t>clstdai-eve-pure-P30-Sn0100</t>
        </is>
      </c>
      <c r="C1787" s="4" t="inlineStr">
        <is>
          <t>W00031886A</t>
        </is>
      </c>
      <c r="D1787" s="6">
        <f>IF(F1787&gt;=5, F1787-5, IF(F1787&lt;5, 0, F1787))</f>
        <v/>
      </c>
      <c r="E1787">
        <f>VLOOKUP(B1787,[1]Namshi!$A:$B,2,0)</f>
        <v/>
      </c>
      <c r="F1787" s="4">
        <f>SUMIFS('Dubai Stock'!I:I,'Dubai Stock'!H:H,Final_UAE!B:B)</f>
        <v/>
      </c>
      <c r="H1787" s="8" t="n">
        <v>186</v>
      </c>
      <c r="I1787" s="8" t="n">
        <v>104.3</v>
      </c>
    </row>
    <row r="1788">
      <c r="A1788" s="4" t="n">
        <v>33834</v>
      </c>
      <c r="B1788" s="4" t="inlineStr">
        <is>
          <t>sw101010-bla-000316-1010-51</t>
        </is>
      </c>
      <c r="C1788" s="4" t="inlineStr">
        <is>
          <t>W00031886A</t>
        </is>
      </c>
      <c r="D1788" s="6">
        <f>IF(F1788&gt;=5, F1788-5, IF(F1788&lt;5, 0, F1788))</f>
        <v/>
      </c>
      <c r="E1788">
        <f>VLOOKUP(B1788,[1]Namshi!$A:$B,2,0)</f>
        <v/>
      </c>
      <c r="F1788" s="4">
        <f>SUMIFS('Dubai Stock'!I:I,'Dubai Stock'!H:H,Final_UAE!B:B)</f>
        <v/>
      </c>
      <c r="H1788" s="8" t="e">
        <v>#N/A</v>
      </c>
    </row>
    <row r="1789">
      <c r="A1789" s="4" t="n">
        <v>33834</v>
      </c>
      <c r="B1789" s="4" t="inlineStr">
        <is>
          <t>sw20107-30s-000129-0107-51</t>
        </is>
      </c>
      <c r="C1789" s="4" t="inlineStr">
        <is>
          <t>W00031886A</t>
        </is>
      </c>
      <c r="D1789" s="6">
        <f>IF(F1789&gt;=5, F1789-5, IF(F1789&lt;5, 0, F1789))</f>
        <v/>
      </c>
      <c r="E1789">
        <f>VLOOKUP(B1789,[1]Namshi!$A:$B,2,0)</f>
        <v/>
      </c>
      <c r="F1789" s="4">
        <f>SUMIFS('Dubai Stock'!I:I,'Dubai Stock'!H:H,Final_UAE!B:B)</f>
        <v/>
      </c>
      <c r="H1789" s="8" t="e">
        <v>#N/A</v>
      </c>
    </row>
    <row r="1790">
      <c r="A1790" s="4" t="n">
        <v>33834</v>
      </c>
      <c r="B1790" s="4" t="inlineStr">
        <is>
          <t>sacchan-30s-chain126-svr-kai-silver</t>
        </is>
      </c>
      <c r="C1790" s="4" t="inlineStr">
        <is>
          <t>W00031886A</t>
        </is>
      </c>
      <c r="D1790" s="6">
        <f>IF(F1790&gt;=5, F1790-5, IF(F1790&lt;5, 0, F1790))</f>
        <v/>
      </c>
      <c r="E1790">
        <f>VLOOKUP(B1790,[1]Namshi!$A:$B,2,0)</f>
        <v/>
      </c>
      <c r="F1790" s="4">
        <f>SUMIFS('Dubai Stock'!I:I,'Dubai Stock'!H:H,Final_UAE!B:B)</f>
        <v/>
      </c>
      <c r="H1790" s="8" t="e">
        <v>#N/A</v>
      </c>
      <c r="I1790" s="8" t="n"/>
    </row>
    <row r="1791">
      <c r="A1791" s="4" t="n">
        <v>33834</v>
      </c>
      <c r="B1791" s="4" t="inlineStr">
        <is>
          <t>clstdai-acu-omax-p30-sp0450</t>
        </is>
      </c>
      <c r="C1791" s="4" t="inlineStr">
        <is>
          <t>W00031886A</t>
        </is>
      </c>
      <c r="D1791" s="6">
        <f>IF(F1791&gt;=5, F1791-5, IF(F1791&lt;5, 0, F1791))</f>
        <v/>
      </c>
      <c r="E1791">
        <f>VLOOKUP(B1791,[1]Namshi!$A:$B,2,0)</f>
        <v/>
      </c>
      <c r="F1791" s="4">
        <f>SUMIFS('Dubai Stock'!I:I,'Dubai Stock'!H:H,Final_UAE!B:B)</f>
        <v/>
      </c>
      <c r="H1791" s="8" t="e">
        <v>#N/A</v>
      </c>
      <c r="I1791" s="8" t="n"/>
    </row>
    <row r="1792">
      <c r="A1792" s="4" t="n">
        <v>33834</v>
      </c>
      <c r="B1792" s="4" t="inlineStr">
        <is>
          <t>saccase-30s-case103-brn-bge-caramel-brown</t>
        </is>
      </c>
      <c r="C1792" s="4" t="inlineStr">
        <is>
          <t>W00031886A</t>
        </is>
      </c>
      <c r="D1792" s="6">
        <f>IF(F1792&gt;=5, F1792-5, IF(F1792&lt;5, 0, F1792))</f>
        <v/>
      </c>
      <c r="E1792">
        <f>VLOOKUP(B1792,[1]Namshi!$A:$B,2,0)</f>
        <v/>
      </c>
      <c r="F1792" s="4">
        <f>SUMIFS('Dubai Stock'!I:I,'Dubai Stock'!H:H,Final_UAE!B:B)</f>
        <v/>
      </c>
      <c r="H1792" s="8" t="e">
        <v>#N/A</v>
      </c>
      <c r="I1792" s="8" t="n"/>
    </row>
    <row r="1793">
      <c r="A1793" s="4" t="n">
        <v>33834</v>
      </c>
      <c r="B1793" s="4" t="inlineStr">
        <is>
          <t>costmon-ama-2022-p02-tan-sn0400</t>
        </is>
      </c>
      <c r="C1793" s="4" t="inlineStr">
        <is>
          <t>W00031886A</t>
        </is>
      </c>
      <c r="D1793" s="6">
        <f>IF(F1793&gt;=5, F1793-5, IF(F1793&lt;5, 0, F1793))</f>
        <v/>
      </c>
      <c r="E1793">
        <f>VLOOKUP(B1793,[1]Namshi!$A:$B,2,0)</f>
        <v/>
      </c>
      <c r="F1793" s="4">
        <f>SUMIFS('Dubai Stock'!I:I,'Dubai Stock'!H:H,Final_UAE!B:B)</f>
        <v/>
      </c>
      <c r="H1793" s="8" t="e">
        <v>#N/A</v>
      </c>
      <c r="I1793" s="8" t="n"/>
    </row>
    <row r="1794">
      <c r="A1794" s="4" t="n">
        <v>33834</v>
      </c>
      <c r="B1794" s="4" t="inlineStr">
        <is>
          <t>cost3mo-lay-2022-p02-sweet-hazel-sn0325</t>
        </is>
      </c>
      <c r="C1794" s="4" t="inlineStr">
        <is>
          <t>W00031886A</t>
        </is>
      </c>
      <c r="D1794" s="6">
        <f>IF(F1794&gt;=5, F1794-5, IF(F1794&lt;5, 0, F1794))</f>
        <v/>
      </c>
      <c r="E1794">
        <f>VLOOKUP(B1794,[1]Namshi!$A:$B,2,0)</f>
        <v/>
      </c>
      <c r="F1794" s="4">
        <f>SUMIFS('Dubai Stock'!I:I,'Dubai Stock'!H:H,Final_UAE!B:B)</f>
        <v/>
      </c>
      <c r="H1794" s="8" t="e">
        <v>#N/A</v>
      </c>
      <c r="I1794" s="8" t="n"/>
    </row>
    <row r="1795">
      <c r="A1795" s="4" t="n">
        <v>33834</v>
      </c>
      <c r="B1795" s="4" t="inlineStr">
        <is>
          <t>clstdai-acu-omax-p30-sp0400</t>
        </is>
      </c>
      <c r="C1795" s="4" t="inlineStr">
        <is>
          <t>W00031886A</t>
        </is>
      </c>
      <c r="D1795" s="6">
        <f>IF(F1795&gt;=5, F1795-5, IF(F1795&lt;5, 0, F1795))</f>
        <v/>
      </c>
      <c r="E1795">
        <f>VLOOKUP(B1795,[1]Namshi!$A:$B,2,0)</f>
        <v/>
      </c>
      <c r="F1795" s="4">
        <f>SUMIFS('Dubai Stock'!I:I,'Dubai Stock'!H:H,Final_UAE!B:B)</f>
        <v/>
      </c>
      <c r="H1795" s="8" t="e">
        <v>#N/A</v>
      </c>
      <c r="I1795" s="8" t="n"/>
    </row>
    <row r="1796">
      <c r="A1796" s="4" t="n">
        <v>33834</v>
      </c>
      <c r="B1796" s="4" t="inlineStr">
        <is>
          <t>fw31218-spc-000810-1218-58</t>
        </is>
      </c>
      <c r="C1796" s="4" t="inlineStr">
        <is>
          <t>W00031886A</t>
        </is>
      </c>
      <c r="D1796" s="6">
        <f>IF(F1796&gt;=5, F1796-5, IF(F1796&lt;5, 0, F1796))</f>
        <v/>
      </c>
      <c r="E1796">
        <f>VLOOKUP(B1796,[1]Namshi!$A:$B,2,0)</f>
        <v/>
      </c>
      <c r="F1796" s="4">
        <f>SUMIFS('Dubai Stock'!I:I,'Dubai Stock'!H:H,Final_UAE!B:B)</f>
        <v/>
      </c>
      <c r="H1796" s="8" t="e">
        <v>#N/A</v>
      </c>
      <c r="I1796" s="8" t="n"/>
    </row>
    <row r="1797">
      <c r="A1797" s="4" t="n">
        <v>33834</v>
      </c>
      <c r="B1797" s="4" t="inlineStr">
        <is>
          <t>cost3mo-lay-2022-p02-sweet-hazel-sn0150</t>
        </is>
      </c>
      <c r="C1797" s="4" t="inlineStr">
        <is>
          <t>W00031886A</t>
        </is>
      </c>
      <c r="D1797" s="6">
        <f>IF(F1797&gt;=5, F1797-5, IF(F1797&lt;5, 0, F1797))</f>
        <v/>
      </c>
      <c r="E1797">
        <f>VLOOKUP(B1797,[1]Namshi!$A:$B,2,0)</f>
        <v/>
      </c>
      <c r="F1797" s="4">
        <f>SUMIFS('Dubai Stock'!I:I,'Dubai Stock'!H:H,Final_UAE!B:B)</f>
        <v/>
      </c>
      <c r="H1797" s="8" t="e">
        <v>#N/A</v>
      </c>
      <c r="I1797" s="8" t="n"/>
    </row>
    <row r="1798">
      <c r="A1798" s="4" t="n">
        <v>33834</v>
      </c>
      <c r="B1798" s="4" t="inlineStr">
        <is>
          <t>clstdai-eve-elit-p30-sn0850</t>
        </is>
      </c>
      <c r="C1798" s="4" t="inlineStr">
        <is>
          <t>W00031886A</t>
        </is>
      </c>
      <c r="D1798" s="6">
        <f>IF(F1798&gt;=5, F1798-5, IF(F1798&lt;5, 0, F1798))</f>
        <v/>
      </c>
      <c r="E1798">
        <f>VLOOKUP(B1798,[1]Namshi!$A:$B,2,0)</f>
        <v/>
      </c>
      <c r="F1798" s="4">
        <f>SUMIFS('Dubai Stock'!I:I,'Dubai Stock'!H:H,Final_UAE!B:B)</f>
        <v/>
      </c>
      <c r="H1798" s="8" t="n">
        <v>261</v>
      </c>
      <c r="I1798" s="8" t="n">
        <v>146.3</v>
      </c>
    </row>
    <row r="1799">
      <c r="A1799" s="4" t="n">
        <v>33834</v>
      </c>
      <c r="B1799" s="4" t="inlineStr">
        <is>
          <t>fw32918-spc-000810-2918-58</t>
        </is>
      </c>
      <c r="C1799" s="4" t="inlineStr">
        <is>
          <t>W00031886A</t>
        </is>
      </c>
      <c r="D1799" s="6">
        <f>IF(F1799&gt;=5, F1799-5, IF(F1799&lt;5, 0, F1799))</f>
        <v/>
      </c>
      <c r="E1799">
        <f>VLOOKUP(B1799,[1]Namshi!$A:$B,2,0)</f>
        <v/>
      </c>
      <c r="F1799" s="4">
        <f>SUMIFS('Dubai Stock'!I:I,'Dubai Stock'!H:H,Final_UAE!B:B)</f>
        <v/>
      </c>
      <c r="H1799" s="8" t="e">
        <v>#N/A</v>
      </c>
      <c r="I1799" s="8" t="n"/>
    </row>
    <row r="1800">
      <c r="A1800" s="4" t="n">
        <v>33834</v>
      </c>
      <c r="B1800" s="4" t="inlineStr">
        <is>
          <t>sm100507-30s-000447-0507-53</t>
        </is>
      </c>
      <c r="C1800" s="4" t="inlineStr">
        <is>
          <t>W00031886A</t>
        </is>
      </c>
      <c r="D1800" s="6">
        <f>IF(F1800&gt;=5, F1800-5, IF(F1800&lt;5, 0, F1800))</f>
        <v/>
      </c>
      <c r="E1800">
        <f>VLOOKUP(B1800,[1]Namshi!$A:$B,2,0)</f>
        <v/>
      </c>
      <c r="F1800" s="4">
        <f>SUMIFS('Dubai Stock'!I:I,'Dubai Stock'!H:H,Final_UAE!B:B)</f>
        <v/>
      </c>
      <c r="H1800" s="8" t="e">
        <v>#N/A</v>
      </c>
    </row>
    <row r="1801">
      <c r="A1801" s="4" t="n">
        <v>33834</v>
      </c>
      <c r="B1801" s="4" t="inlineStr">
        <is>
          <t>clstdai-acu-mois-p90-sp0125</t>
        </is>
      </c>
      <c r="C1801" s="4" t="inlineStr">
        <is>
          <t>W00031886A</t>
        </is>
      </c>
      <c r="D1801" s="6">
        <f>IF(F1801&gt;=5, F1801-5, IF(F1801&lt;5, 0, F1801))</f>
        <v/>
      </c>
      <c r="E1801">
        <f>VLOOKUP(B1801,[1]Namshi!$A:$B,2,0)</f>
        <v/>
      </c>
      <c r="F1801" s="4">
        <f>SUMIFS('Dubai Stock'!I:I,'Dubai Stock'!H:H,Final_UAE!B:B)</f>
        <v/>
      </c>
      <c r="H1801" s="8" t="e">
        <v>#N/A</v>
      </c>
      <c r="I1801" s="8" t="n"/>
    </row>
    <row r="1802">
      <c r="A1802" s="4" t="n">
        <v>33834</v>
      </c>
      <c r="B1802" s="4" t="inlineStr">
        <is>
          <t>cost3mo-lay-2022-p02-sweet-hazel-sn0050</t>
        </is>
      </c>
      <c r="C1802" s="4" t="inlineStr">
        <is>
          <t>W00031886A</t>
        </is>
      </c>
      <c r="D1802" s="6">
        <f>IF(F1802&gt;=5, F1802-5, IF(F1802&lt;5, 0, F1802))</f>
        <v/>
      </c>
      <c r="E1802">
        <f>VLOOKUP(B1802,[1]Namshi!$A:$B,2,0)</f>
        <v/>
      </c>
      <c r="F1802" s="4">
        <f>SUMIFS('Dubai Stock'!I:I,'Dubai Stock'!H:H,Final_UAE!B:B)</f>
        <v/>
      </c>
      <c r="H1802" s="8" t="e">
        <v>#N/A</v>
      </c>
      <c r="I1802" s="8" t="n"/>
    </row>
    <row r="1803">
      <c r="A1803" s="4" t="n">
        <v>33834</v>
      </c>
      <c r="B1803" s="4" t="inlineStr">
        <is>
          <t>sw32604-30s-000108-2604-52</t>
        </is>
      </c>
      <c r="C1803" s="4" t="inlineStr">
        <is>
          <t>W00031886A</t>
        </is>
      </c>
      <c r="D1803" s="6">
        <f>IF(F1803&gt;=5, F1803-5, IF(F1803&lt;5, 0, F1803))</f>
        <v/>
      </c>
      <c r="E1803">
        <f>VLOOKUP(B1803,[1]Namshi!$A:$B,2,0)</f>
        <v/>
      </c>
      <c r="F1803" s="4">
        <f>SUMIFS('Dubai Stock'!I:I,'Dubai Stock'!H:H,Final_UAE!B:B)</f>
        <v/>
      </c>
      <c r="H1803" s="8" t="e">
        <v>#N/A</v>
      </c>
    </row>
    <row r="1804">
      <c r="A1804" s="4" t="n">
        <v>33834</v>
      </c>
      <c r="B1804" s="4" t="inlineStr">
        <is>
          <t>clstdai-btr-oned-p30-sn0150</t>
        </is>
      </c>
      <c r="C1804" s="4" t="inlineStr">
        <is>
          <t>W00031886A</t>
        </is>
      </c>
      <c r="D1804" s="6">
        <f>IF(F1804&gt;=5, F1804-5, IF(F1804&lt;5, 0, F1804))</f>
        <v/>
      </c>
      <c r="E1804">
        <f>VLOOKUP(B1804,[1]Namshi!$A:$B,2,0)</f>
        <v/>
      </c>
      <c r="F1804" s="4">
        <f>SUMIFS('Dubai Stock'!I:I,'Dubai Stock'!H:H,Final_UAE!B:B)</f>
        <v/>
      </c>
      <c r="H1804" s="8" t="e">
        <v>#N/A</v>
      </c>
      <c r="I1804" s="8" t="n"/>
    </row>
    <row r="1805">
      <c r="A1805" s="4" t="n">
        <v>33834</v>
      </c>
      <c r="B1805" s="4" t="inlineStr">
        <is>
          <t>clstdai-eve-pure-p30-sn1000</t>
        </is>
      </c>
      <c r="C1805" s="4" t="inlineStr">
        <is>
          <t>W00031886A</t>
        </is>
      </c>
      <c r="D1805" s="6">
        <f>IF(F1805&gt;=5, F1805-5, IF(F1805&lt;5, 0, F1805))</f>
        <v/>
      </c>
      <c r="E1805">
        <f>VLOOKUP(B1805,[1]Namshi!$A:$B,2,0)</f>
        <v/>
      </c>
      <c r="F1805" s="4">
        <f>SUMIFS('Dubai Stock'!I:I,'Dubai Stock'!H:H,Final_UAE!B:B)</f>
        <v/>
      </c>
      <c r="H1805" s="8" t="n">
        <v>186</v>
      </c>
      <c r="I1805" s="8" t="n">
        <v>104.3</v>
      </c>
    </row>
    <row r="1806">
      <c r="A1806" s="4" t="n">
        <v>33834</v>
      </c>
      <c r="B1806" s="4" t="inlineStr">
        <is>
          <t>fw50918-spc-000742-0918-52</t>
        </is>
      </c>
      <c r="C1806" s="4" t="inlineStr">
        <is>
          <t>W00031886A</t>
        </is>
      </c>
      <c r="D1806" s="6">
        <f>IF(F1806&gt;=5, F1806-5, IF(F1806&lt;5, 0, F1806))</f>
        <v/>
      </c>
      <c r="E1806">
        <f>VLOOKUP(B1806,[1]Namshi!$A:$B,2,0)</f>
        <v/>
      </c>
      <c r="F1806" s="4">
        <f>SUMIFS('Dubai Stock'!I:I,'Dubai Stock'!H:H,Final_UAE!B:B)</f>
        <v/>
      </c>
      <c r="H1806" s="8" t="e">
        <v>#N/A</v>
      </c>
      <c r="I1806" s="8" t="n"/>
    </row>
    <row r="1807">
      <c r="A1807" s="4" t="n">
        <v>33834</v>
      </c>
      <c r="B1807" s="4" t="inlineStr">
        <is>
          <t>clstmon-eve-prom-p06-sp0500</t>
        </is>
      </c>
      <c r="C1807" s="4" t="inlineStr">
        <is>
          <t>W00031886A</t>
        </is>
      </c>
      <c r="D1807" s="6">
        <f>IF(F1807&gt;=5, F1807-5, IF(F1807&lt;5, 0, F1807))</f>
        <v/>
      </c>
      <c r="E1807">
        <f>VLOOKUP(B1807,[1]Namshi!$A:$B,2,0)</f>
        <v/>
      </c>
      <c r="F1807" s="4">
        <f>SUMIFS('Dubai Stock'!I:I,'Dubai Stock'!H:H,Final_UAE!B:B)</f>
        <v/>
      </c>
      <c r="H1807" s="8" t="n">
        <v>212</v>
      </c>
      <c r="I1807" s="8" t="n">
        <v>111.3</v>
      </c>
    </row>
    <row r="1808">
      <c r="A1808" s="4" t="n">
        <v>33834</v>
      </c>
      <c r="B1808" s="4" t="inlineStr">
        <is>
          <t>sw32904-bla-000227-2904-57</t>
        </is>
      </c>
      <c r="C1808" s="4" t="inlineStr">
        <is>
          <t>W00031886A</t>
        </is>
      </c>
      <c r="D1808" s="6">
        <f>IF(F1808&gt;=5, F1808-5, IF(F1808&lt;5, 0, F1808))</f>
        <v/>
      </c>
      <c r="E1808">
        <f>VLOOKUP(B1808,[1]Namshi!$A:$B,2,0)</f>
        <v/>
      </c>
      <c r="F1808" s="4">
        <f>SUMIFS('Dubai Stock'!I:I,'Dubai Stock'!H:H,Final_UAE!B:B)</f>
        <v/>
      </c>
      <c r="H1808" s="8" t="e">
        <v>#N/A</v>
      </c>
    </row>
    <row r="1809">
      <c r="A1809" s="4" t="n">
        <v>33834</v>
      </c>
      <c r="B1809" s="4" t="inlineStr">
        <is>
          <t>sc20207-bab-000501-0207-46</t>
        </is>
      </c>
      <c r="C1809" s="4" t="inlineStr">
        <is>
          <t>W00031886A</t>
        </is>
      </c>
      <c r="D1809" s="6">
        <f>IF(F1809&gt;=5, F1809-5, IF(F1809&lt;5, 0, F1809))</f>
        <v/>
      </c>
      <c r="E1809">
        <f>VLOOKUP(B1809,[1]Namshi!$A:$B,2,0)</f>
        <v/>
      </c>
      <c r="F1809" s="4">
        <f>SUMIFS('Dubai Stock'!I:I,'Dubai Stock'!H:H,Final_UAE!B:B)</f>
        <v/>
      </c>
      <c r="H1809" s="8" t="e">
        <v>#N/A</v>
      </c>
    </row>
    <row r="1810">
      <c r="A1810" s="4" t="n">
        <v>33834</v>
      </c>
      <c r="B1810" s="4" t="inlineStr">
        <is>
          <t>sm22906-30s-000249-2906-53</t>
        </is>
      </c>
      <c r="C1810" s="4" t="inlineStr">
        <is>
          <t>W00031886A</t>
        </is>
      </c>
      <c r="D1810" s="6">
        <f>IF(F1810&gt;=5, F1810-5, IF(F1810&lt;5, 0, F1810))</f>
        <v/>
      </c>
      <c r="E1810">
        <f>VLOOKUP(B1810,[1]Namshi!$A:$B,2,0)</f>
        <v/>
      </c>
      <c r="F1810" s="4">
        <f>SUMIFS('Dubai Stock'!I:I,'Dubai Stock'!H:H,Final_UAE!B:B)</f>
        <v/>
      </c>
      <c r="H1810" s="8" t="e">
        <v>#N/A</v>
      </c>
    </row>
    <row r="1811">
      <c r="A1811" s="4" t="n">
        <v>33834</v>
      </c>
      <c r="B1811" s="4" t="inlineStr">
        <is>
          <t>clstbiw-acu-0002-p06-sn0425</t>
        </is>
      </c>
      <c r="C1811" s="4" t="inlineStr">
        <is>
          <t>W00031886A</t>
        </is>
      </c>
      <c r="D1811" s="6">
        <f>IF(F1811&gt;=5, F1811-5, IF(F1811&lt;5, 0, F1811))</f>
        <v/>
      </c>
      <c r="E1811">
        <f>VLOOKUP(B1811,[1]Namshi!$A:$B,2,0)</f>
        <v/>
      </c>
      <c r="F1811" s="4">
        <f>SUMIFS('Dubai Stock'!I:I,'Dubai Stock'!H:H,Final_UAE!B:B)</f>
        <v/>
      </c>
      <c r="H1811" s="8" t="e">
        <v>#N/A</v>
      </c>
      <c r="I1811" s="8" t="n"/>
    </row>
    <row r="1812">
      <c r="A1812" s="4" t="n">
        <v>33834</v>
      </c>
      <c r="B1812" s="4" t="inlineStr">
        <is>
          <t>costmon-ama-lens-p02-dark-sepia-sn0525</t>
        </is>
      </c>
      <c r="C1812" s="4" t="inlineStr">
        <is>
          <t>W00031886A</t>
        </is>
      </c>
      <c r="D1812" s="6">
        <f>IF(F1812&gt;=5, F1812-5, IF(F1812&lt;5, 0, F1812))</f>
        <v/>
      </c>
      <c r="E1812">
        <f>VLOOKUP(B1812,[1]Namshi!$A:$B,2,0)</f>
        <v/>
      </c>
      <c r="F1812" s="4">
        <f>SUMIFS('Dubai Stock'!I:I,'Dubai Stock'!H:H,Final_UAE!B:B)</f>
        <v/>
      </c>
      <c r="H1812" s="8" t="e">
        <v>#N/A</v>
      </c>
      <c r="I1812" s="8" t="n"/>
    </row>
    <row r="1813">
      <c r="A1813" s="4" t="n">
        <v>33834</v>
      </c>
      <c r="B1813" s="4" t="inlineStr">
        <is>
          <t>sw50504-bla-000214-2704-60</t>
        </is>
      </c>
      <c r="C1813" s="4" t="inlineStr">
        <is>
          <t>W00031886A</t>
        </is>
      </c>
      <c r="D1813" s="6">
        <f>IF(F1813&gt;=5, F1813-5, IF(F1813&lt;5, 0, F1813))</f>
        <v/>
      </c>
      <c r="E1813">
        <f>VLOOKUP(B1813,[1]Namshi!$A:$B,2,0)</f>
        <v/>
      </c>
      <c r="F1813" s="4">
        <f>SUMIFS('Dubai Stock'!I:I,'Dubai Stock'!H:H,Final_UAE!B:B)</f>
        <v/>
      </c>
      <c r="H1813" s="8" t="e">
        <v>#N/A</v>
      </c>
    </row>
    <row r="1814">
      <c r="A1814" s="4" t="n">
        <v>33834</v>
      </c>
      <c r="B1814" s="4" t="inlineStr">
        <is>
          <t>cost3mo-lay-lens-p02-cloudy-gray-sn0150</t>
        </is>
      </c>
      <c r="C1814" s="4" t="inlineStr">
        <is>
          <t>W00031886A</t>
        </is>
      </c>
      <c r="D1814" s="6">
        <f>IF(F1814&gt;=5, F1814-5, IF(F1814&lt;5, 0, F1814))</f>
        <v/>
      </c>
      <c r="E1814">
        <f>VLOOKUP(B1814,[1]Namshi!$A:$B,2,0)</f>
        <v/>
      </c>
      <c r="F1814" s="4">
        <f>SUMIFS('Dubai Stock'!I:I,'Dubai Stock'!H:H,Final_UAE!B:B)</f>
        <v/>
      </c>
      <c r="H1814" s="8" t="e">
        <v>#N/A</v>
      </c>
      <c r="I1814" s="8" t="n"/>
    </row>
    <row r="1815">
      <c r="A1815" s="4" t="n">
        <v>33834</v>
      </c>
      <c r="B1815" s="4" t="inlineStr">
        <is>
          <t>fw31118-spc-000640-1118-52</t>
        </is>
      </c>
      <c r="C1815" s="4" t="inlineStr">
        <is>
          <t>W00031886A</t>
        </is>
      </c>
      <c r="D1815" s="6">
        <f>IF(F1815&gt;=5, F1815-5, IF(F1815&lt;5, 0, F1815))</f>
        <v/>
      </c>
      <c r="E1815">
        <f>VLOOKUP(B1815,[1]Namshi!$A:$B,2,0)</f>
        <v/>
      </c>
      <c r="F1815" s="4">
        <f>SUMIFS('Dubai Stock'!I:I,'Dubai Stock'!H:H,Final_UAE!B:B)</f>
        <v/>
      </c>
      <c r="H1815" s="8" t="e">
        <v>#N/A</v>
      </c>
      <c r="I1815" s="8" t="n"/>
    </row>
    <row r="1816">
      <c r="A1816" s="4" t="n">
        <v>33834</v>
      </c>
      <c r="B1816" s="4" t="inlineStr">
        <is>
          <t>sunglasses-30Sundays-30s-00453-0606p</t>
        </is>
      </c>
      <c r="C1816" s="4" t="inlineStr">
        <is>
          <t>W00031886A</t>
        </is>
      </c>
      <c r="D1816" s="6">
        <f>IF(F1816&gt;=5, F1816-5, IF(F1816&lt;5, 0, F1816))</f>
        <v/>
      </c>
      <c r="E1816">
        <f>VLOOKUP(B1816,[1]Namshi!$A:$B,2,0)</f>
        <v/>
      </c>
      <c r="F1816" s="4">
        <f>SUMIFS('Dubai Stock'!I:I,'Dubai Stock'!H:H,Final_UAE!B:B)</f>
        <v/>
      </c>
      <c r="H1816" s="8" t="e">
        <v>#N/A</v>
      </c>
      <c r="I1816" s="8" t="n"/>
    </row>
    <row r="1817">
      <c r="A1817" s="4" t="n">
        <v>33834</v>
      </c>
      <c r="B1817" s="4" t="inlineStr">
        <is>
          <t>costmon-ama-2024-p02-matcha-sn0125</t>
        </is>
      </c>
      <c r="C1817" s="4" t="inlineStr">
        <is>
          <t>W00031886A</t>
        </is>
      </c>
      <c r="D1817" s="6">
        <f>IF(F1817&gt;=5, F1817-5, IF(F1817&lt;5, 0, F1817))</f>
        <v/>
      </c>
      <c r="E1817">
        <f>VLOOKUP(B1817,[1]Namshi!$A:$B,2,0)</f>
        <v/>
      </c>
      <c r="F1817" s="4">
        <f>SUMIFS('Dubai Stock'!I:I,'Dubai Stock'!H:H,Final_UAE!B:B)</f>
        <v/>
      </c>
      <c r="H1817" s="8" t="e">
        <v>#N/A</v>
      </c>
      <c r="I1817" s="8" t="n"/>
    </row>
    <row r="1818">
      <c r="A1818" s="4" t="n">
        <v>33834</v>
      </c>
      <c r="B1818" s="4" t="inlineStr">
        <is>
          <t>fc50118-bab-000503-0118-46</t>
        </is>
      </c>
      <c r="C1818" s="4" t="inlineStr">
        <is>
          <t>W00031886A</t>
        </is>
      </c>
      <c r="D1818" s="6">
        <f>IF(F1818&gt;=5, F1818-5, IF(F1818&lt;5, 0, F1818))</f>
        <v/>
      </c>
      <c r="E1818">
        <f>VLOOKUP(B1818,[1]Namshi!$A:$B,2,0)</f>
        <v/>
      </c>
      <c r="F1818" s="4">
        <f>SUMIFS('Dubai Stock'!I:I,'Dubai Stock'!H:H,Final_UAE!B:B)</f>
        <v/>
      </c>
      <c r="H1818" s="8" t="e">
        <v>#N/A</v>
      </c>
      <c r="I1818" s="8" t="n"/>
    </row>
    <row r="1819">
      <c r="A1819" s="4" t="n">
        <v>33834</v>
      </c>
      <c r="B1819" s="4" t="inlineStr">
        <is>
          <t>clstdai-acu-oasy-p60-sn0225</t>
        </is>
      </c>
      <c r="C1819" s="4" t="inlineStr">
        <is>
          <t>W00031886A</t>
        </is>
      </c>
      <c r="D1819" s="6">
        <f>IF(F1819&gt;=5, F1819-5, IF(F1819&lt;5, 0, F1819))</f>
        <v/>
      </c>
      <c r="E1819">
        <f>VLOOKUP(B1819,[1]Namshi!$A:$B,2,0)</f>
        <v/>
      </c>
      <c r="F1819" s="4">
        <f>SUMIFS('Dubai Stock'!I:I,'Dubai Stock'!H:H,Final_UAE!B:B)</f>
        <v/>
      </c>
      <c r="H1819" s="8" t="e">
        <v>#N/A</v>
      </c>
      <c r="I1819" s="8" t="n"/>
    </row>
    <row r="1820">
      <c r="A1820" s="4" t="n">
        <v>33834</v>
      </c>
      <c r="B1820" s="4" t="inlineStr">
        <is>
          <t>clstdai-acu-mois-p90-sn0050</t>
        </is>
      </c>
      <c r="C1820" s="4" t="inlineStr">
        <is>
          <t>W00031886A</t>
        </is>
      </c>
      <c r="D1820" s="6">
        <f>IF(F1820&gt;=5, F1820-5, IF(F1820&lt;5, 0, F1820))</f>
        <v/>
      </c>
      <c r="E1820">
        <f>VLOOKUP(B1820,[1]Namshi!$A:$B,2,0)</f>
        <v/>
      </c>
      <c r="F1820" s="4">
        <f>SUMIFS('Dubai Stock'!I:I,'Dubai Stock'!H:H,Final_UAE!B:B)</f>
        <v/>
      </c>
      <c r="H1820" s="8" t="e">
        <v>#N/A</v>
      </c>
      <c r="I1820" s="8" t="n"/>
    </row>
    <row r="1821">
      <c r="A1821" s="4" t="n">
        <v>33834</v>
      </c>
      <c r="B1821" s="4" t="inlineStr">
        <is>
          <t>clstdai-acu-mois-p120-sn0250</t>
        </is>
      </c>
      <c r="C1821" s="4" t="inlineStr">
        <is>
          <t>W00031886A</t>
        </is>
      </c>
      <c r="D1821" s="6">
        <f>IF(F1821&gt;=5, F1821-5, IF(F1821&lt;5, 0, F1821))</f>
        <v/>
      </c>
      <c r="E1821">
        <f>VLOOKUP(B1821,[1]Namshi!$A:$B,2,0)</f>
        <v/>
      </c>
      <c r="F1821" s="4">
        <f>SUMIFS('Dubai Stock'!I:I,'Dubai Stock'!H:H,Final_UAE!B:B)</f>
        <v/>
      </c>
      <c r="H1821" s="8" t="e">
        <v>#N/A</v>
      </c>
      <c r="I1821" s="8" t="n"/>
    </row>
    <row r="1822">
      <c r="A1822" s="4" t="n">
        <v>33834</v>
      </c>
      <c r="B1822" s="4" t="inlineStr">
        <is>
          <t>clstbiw-acu-0002-p06-sn0400</t>
        </is>
      </c>
      <c r="C1822" s="4" t="inlineStr">
        <is>
          <t>W00031886A</t>
        </is>
      </c>
      <c r="D1822" s="6">
        <f>IF(F1822&gt;=5, F1822-5, IF(F1822&lt;5, 0, F1822))</f>
        <v/>
      </c>
      <c r="E1822">
        <f>VLOOKUP(B1822,[1]Namshi!$A:$B,2,0)</f>
        <v/>
      </c>
      <c r="F1822" s="4">
        <f>SUMIFS('Dubai Stock'!I:I,'Dubai Stock'!H:H,Final_UAE!B:B)</f>
        <v/>
      </c>
      <c r="H1822" s="8" t="e">
        <v>#N/A</v>
      </c>
      <c r="I1822" s="8" t="n"/>
    </row>
    <row r="1823">
      <c r="A1823" s="4" t="n">
        <v>33834</v>
      </c>
      <c r="B1823" s="4" t="inlineStr">
        <is>
          <t>clstdai-acu-oasy-p60-sn0375</t>
        </is>
      </c>
      <c r="C1823" s="4" t="inlineStr">
        <is>
          <t>W00031886A</t>
        </is>
      </c>
      <c r="D1823" s="6">
        <f>IF(F1823&gt;=5, F1823-5, IF(F1823&lt;5, 0, F1823))</f>
        <v/>
      </c>
      <c r="E1823">
        <f>VLOOKUP(B1823,[1]Namshi!$A:$B,2,0)</f>
        <v/>
      </c>
      <c r="F1823" s="4">
        <f>SUMIFS('Dubai Stock'!I:I,'Dubai Stock'!H:H,Final_UAE!B:B)</f>
        <v/>
      </c>
      <c r="H1823" s="8" t="e">
        <v>#N/A</v>
      </c>
      <c r="I1823" s="8" t="n"/>
    </row>
    <row r="1824">
      <c r="A1824" s="4" t="n">
        <v>33834</v>
      </c>
      <c r="B1824" s="4" t="inlineStr">
        <is>
          <t>clstmon-eve-prom-p06-sn0750</t>
        </is>
      </c>
      <c r="C1824" s="4" t="inlineStr">
        <is>
          <t>W00031886A</t>
        </is>
      </c>
      <c r="D1824" s="6">
        <f>IF(F1824&gt;=5, F1824-5, IF(F1824&lt;5, 0, F1824))</f>
        <v/>
      </c>
      <c r="E1824">
        <f>VLOOKUP(B1824,[1]Namshi!$A:$B,2,0)</f>
        <v/>
      </c>
      <c r="F1824" s="4">
        <f>SUMIFS('Dubai Stock'!I:I,'Dubai Stock'!H:H,Final_UAE!B:B)</f>
        <v/>
      </c>
      <c r="H1824" s="8" t="n">
        <v>212</v>
      </c>
      <c r="I1824" s="8" t="n">
        <v>111.3</v>
      </c>
    </row>
    <row r="1825">
      <c r="A1825" s="4" t="n">
        <v>33834</v>
      </c>
      <c r="B1825" s="4" t="inlineStr">
        <is>
          <t>clstdai-lay-cont-p10-dazzle-brown-sn0400</t>
        </is>
      </c>
      <c r="C1825" s="4" t="inlineStr">
        <is>
          <t>W00031886A</t>
        </is>
      </c>
      <c r="D1825" s="6">
        <f>IF(F1825&gt;=5, F1825-5, IF(F1825&lt;5, 0, F1825))</f>
        <v/>
      </c>
      <c r="E1825">
        <f>VLOOKUP(B1825,[1]Namshi!$A:$B,2,0)</f>
        <v/>
      </c>
      <c r="F1825" s="4">
        <f>SUMIFS('Dubai Stock'!I:I,'Dubai Stock'!H:H,Final_UAE!B:B)</f>
        <v/>
      </c>
      <c r="H1825" s="8" t="e">
        <v>#N/A</v>
      </c>
      <c r="I1825" s="8" t="n"/>
    </row>
    <row r="1826">
      <c r="A1826" s="4" t="n">
        <v>33834</v>
      </c>
      <c r="B1826" s="4" t="inlineStr">
        <is>
          <t>costmon-ama-lens-p02-crocodile-green-sn0125</t>
        </is>
      </c>
      <c r="C1826" s="4" t="inlineStr">
        <is>
          <t>W00031886A</t>
        </is>
      </c>
      <c r="D1826" s="6">
        <f>IF(F1826&gt;=5, F1826-5, IF(F1826&lt;5, 0, F1826))</f>
        <v/>
      </c>
      <c r="E1826">
        <f>VLOOKUP(B1826,[1]Namshi!$A:$B,2,0)</f>
        <v/>
      </c>
      <c r="F1826" s="4">
        <f>SUMIFS('Dubai Stock'!I:I,'Dubai Stock'!H:H,Final_UAE!B:B)</f>
        <v/>
      </c>
      <c r="H1826" s="8" t="e">
        <v>#N/A</v>
      </c>
      <c r="I1826" s="8" t="n"/>
    </row>
    <row r="1827">
      <c r="A1827" s="4" t="n">
        <v>33834</v>
      </c>
      <c r="B1827" s="4" t="inlineStr">
        <is>
          <t>sm71202-30s-000255-1202-54</t>
        </is>
      </c>
      <c r="C1827" s="4" t="inlineStr">
        <is>
          <t>W00031886A</t>
        </is>
      </c>
      <c r="D1827" s="6">
        <f>IF(F1827&gt;=5, F1827-5, IF(F1827&lt;5, 0, F1827))</f>
        <v/>
      </c>
      <c r="E1827">
        <f>VLOOKUP(B1827,[1]Namshi!$A:$B,2,0)</f>
        <v/>
      </c>
      <c r="F1827" s="4">
        <f>SUMIFS('Dubai Stock'!I:I,'Dubai Stock'!H:H,Final_UAE!B:B)</f>
        <v/>
      </c>
      <c r="H1827" s="8" t="e">
        <v>#N/A</v>
      </c>
    </row>
    <row r="1828">
      <c r="A1828" s="4" t="n">
        <v>33834</v>
      </c>
      <c r="B1828" s="4" t="inlineStr">
        <is>
          <t>sm50606-30s-000220-0102-55</t>
        </is>
      </c>
      <c r="C1828" s="4" t="inlineStr">
        <is>
          <t>W00031886A</t>
        </is>
      </c>
      <c r="D1828" s="6">
        <f>IF(F1828&gt;=5, F1828-5, IF(F1828&lt;5, 0, F1828))</f>
        <v/>
      </c>
      <c r="E1828">
        <f>VLOOKUP(B1828,[1]Namshi!$A:$B,2,0)</f>
        <v/>
      </c>
      <c r="F1828" s="4">
        <f>SUMIFS('Dubai Stock'!I:I,'Dubai Stock'!H:H,Final_UAE!B:B)</f>
        <v/>
      </c>
      <c r="H1828" s="8" t="e">
        <v>#N/A</v>
      </c>
    </row>
    <row r="1829">
      <c r="A1829" s="4" t="n">
        <v>33834</v>
      </c>
      <c r="B1829" s="4" t="inlineStr">
        <is>
          <t>sw30107-bla-000328-0107-52</t>
        </is>
      </c>
      <c r="C1829" s="4" t="inlineStr">
        <is>
          <t>W00031886A</t>
        </is>
      </c>
      <c r="D1829" s="6">
        <f>IF(F1829&gt;=5, F1829-5, IF(F1829&lt;5, 0, F1829))</f>
        <v/>
      </c>
      <c r="E1829">
        <f>VLOOKUP(B1829,[1]Namshi!$A:$B,2,0)</f>
        <v/>
      </c>
      <c r="F1829" s="4">
        <f>SUMIFS('Dubai Stock'!I:I,'Dubai Stock'!H:H,Final_UAE!B:B)</f>
        <v/>
      </c>
      <c r="H1829" s="8" t="e">
        <v>#N/A</v>
      </c>
    </row>
    <row r="1830">
      <c r="A1830" s="4" t="n">
        <v>33834</v>
      </c>
      <c r="B1830" s="4" t="inlineStr">
        <is>
          <t>sc50907-bab-000503-0907-46</t>
        </is>
      </c>
      <c r="C1830" s="4" t="inlineStr">
        <is>
          <t>W00031886A</t>
        </is>
      </c>
      <c r="D1830" s="6">
        <f>IF(F1830&gt;=5, F1830-5, IF(F1830&lt;5, 0, F1830))</f>
        <v/>
      </c>
      <c r="E1830">
        <f>VLOOKUP(B1830,[1]Namshi!$A:$B,2,0)</f>
        <v/>
      </c>
      <c r="F1830" s="4">
        <f>SUMIFS('Dubai Stock'!I:I,'Dubai Stock'!H:H,Final_UAE!B:B)</f>
        <v/>
      </c>
      <c r="H1830" s="8" t="e">
        <v>#N/A</v>
      </c>
    </row>
    <row r="1831">
      <c r="A1831" s="4" t="n">
        <v>33834</v>
      </c>
      <c r="B1831" s="4" t="inlineStr">
        <is>
          <t>sc20207-bab-000502-2807-50</t>
        </is>
      </c>
      <c r="C1831" s="4" t="inlineStr">
        <is>
          <t>W00031886A</t>
        </is>
      </c>
      <c r="D1831" s="6">
        <f>IF(F1831&gt;=5, F1831-5, IF(F1831&lt;5, 0, F1831))</f>
        <v/>
      </c>
      <c r="E1831">
        <f>VLOOKUP(B1831,[1]Namshi!$A:$B,2,0)</f>
        <v/>
      </c>
      <c r="F1831" s="4">
        <f>SUMIFS('Dubai Stock'!I:I,'Dubai Stock'!H:H,Final_UAE!B:B)</f>
        <v/>
      </c>
      <c r="H1831" s="8" t="e">
        <v>#N/A</v>
      </c>
    </row>
    <row r="1832">
      <c r="A1832" s="4" t="n">
        <v>33834</v>
      </c>
      <c r="B1832" s="4" t="inlineStr">
        <is>
          <t>bc22018-bab-000502-2018-50</t>
        </is>
      </c>
      <c r="C1832" s="4" t="inlineStr">
        <is>
          <t>W00031886A</t>
        </is>
      </c>
      <c r="D1832" s="6">
        <f>IF(F1832&gt;=5, F1832-5, IF(F1832&lt;5, 0, F1832))</f>
        <v/>
      </c>
      <c r="E1832">
        <f>VLOOKUP(B1832,[1]Namshi!$A:$B,2,0)</f>
        <v/>
      </c>
      <c r="F1832" s="4">
        <f>SUMIFS('Dubai Stock'!I:I,'Dubai Stock'!H:H,Final_UAE!B:B)</f>
        <v/>
      </c>
      <c r="H1832" s="8" t="e">
        <v>#N/A</v>
      </c>
    </row>
    <row r="1833">
      <c r="A1833" s="4" t="n">
        <v>33834</v>
      </c>
      <c r="B1833" s="4" t="inlineStr">
        <is>
          <t>cost3mo-lay-2021-p02-golden-gray-sn0050</t>
        </is>
      </c>
      <c r="C1833" s="4" t="inlineStr">
        <is>
          <t>W00031886A</t>
        </is>
      </c>
      <c r="D1833" s="6">
        <f>IF(F1833&gt;=5, F1833-5, IF(F1833&lt;5, 0, F1833))</f>
        <v/>
      </c>
      <c r="E1833">
        <f>VLOOKUP(B1833,[1]Namshi!$A:$B,2,0)</f>
        <v/>
      </c>
      <c r="F1833" s="4">
        <f>SUMIFS('Dubai Stock'!I:I,'Dubai Stock'!H:H,Final_UAE!B:B)</f>
        <v/>
      </c>
      <c r="H1833" s="8" t="e">
        <v>#N/A</v>
      </c>
      <c r="I1833" s="8" t="n"/>
    </row>
    <row r="1834">
      <c r="A1834" s="4" t="n">
        <v>33834</v>
      </c>
      <c r="B1834" s="4" t="inlineStr">
        <is>
          <t>costdai-ama-dail-p10-amber-sn0125</t>
        </is>
      </c>
      <c r="C1834" s="4" t="inlineStr">
        <is>
          <t>W00031886A</t>
        </is>
      </c>
      <c r="D1834" s="6">
        <f>IF(F1834&gt;=5, F1834-5, IF(F1834&lt;5, 0, F1834))</f>
        <v/>
      </c>
      <c r="E1834">
        <f>VLOOKUP(B1834,[1]Namshi!$A:$B,2,0)</f>
        <v/>
      </c>
      <c r="F1834" s="4">
        <f>SUMIFS('Dubai Stock'!I:I,'Dubai Stock'!H:H,Final_UAE!B:B)</f>
        <v/>
      </c>
      <c r="H1834" s="8" t="e">
        <v>#N/A</v>
      </c>
      <c r="I1834" s="8" t="n"/>
    </row>
    <row r="1835">
      <c r="A1835" s="4" t="n">
        <v>33834</v>
      </c>
      <c r="B1835" s="4" t="inlineStr">
        <is>
          <t>cost3mo-lay-2021-p02-stardust-gray-sn0250</t>
        </is>
      </c>
      <c r="C1835" s="4" t="inlineStr">
        <is>
          <t>W00031886A</t>
        </is>
      </c>
      <c r="D1835" s="6">
        <f>IF(F1835&gt;=5, F1835-5, IF(F1835&lt;5, 0, F1835))</f>
        <v/>
      </c>
      <c r="E1835">
        <f>VLOOKUP(B1835,[1]Namshi!$A:$B,2,0)</f>
        <v/>
      </c>
      <c r="F1835" s="4">
        <f>SUMIFS('Dubai Stock'!I:I,'Dubai Stock'!H:H,Final_UAE!B:B)</f>
        <v/>
      </c>
      <c r="H1835" s="8" t="e">
        <v>#N/A</v>
      </c>
      <c r="I1835" s="8" t="n"/>
    </row>
    <row r="1836">
      <c r="A1836" s="4" t="n">
        <v>33834</v>
      </c>
      <c r="B1836" s="4" t="inlineStr">
        <is>
          <t>sw22904-bla-000217-2904-57</t>
        </is>
      </c>
      <c r="C1836" s="4" t="inlineStr">
        <is>
          <t>W00031886A</t>
        </is>
      </c>
      <c r="D1836" s="6">
        <f>IF(F1836&gt;=5, F1836-5, IF(F1836&lt;5, 0, F1836))</f>
        <v/>
      </c>
      <c r="E1836">
        <f>VLOOKUP(B1836,[1]Namshi!$A:$B,2,0)</f>
        <v/>
      </c>
      <c r="F1836" s="4">
        <f>SUMIFS('Dubai Stock'!I:I,'Dubai Stock'!H:H,Final_UAE!B:B)</f>
        <v/>
      </c>
      <c r="H1836" s="8" t="e">
        <v>#N/A</v>
      </c>
    </row>
    <row r="1837">
      <c r="A1837" s="4" t="n">
        <v>33834</v>
      </c>
      <c r="B1837" s="4" t="inlineStr">
        <is>
          <t>clstdai-lay-cont-p10-dazzle-brown-sn0350</t>
        </is>
      </c>
      <c r="C1837" s="4" t="inlineStr">
        <is>
          <t>W00031886A</t>
        </is>
      </c>
      <c r="D1837" s="6">
        <f>IF(F1837&gt;=5, F1837-5, IF(F1837&lt;5, 0, F1837))</f>
        <v/>
      </c>
      <c r="E1837">
        <f>VLOOKUP(B1837,[1]Namshi!$A:$B,2,0)</f>
        <v/>
      </c>
      <c r="F1837" s="4">
        <f>SUMIFS('Dubai Stock'!I:I,'Dubai Stock'!H:H,Final_UAE!B:B)</f>
        <v/>
      </c>
      <c r="H1837" s="8" t="e">
        <v>#N/A</v>
      </c>
      <c r="I1837" s="8" t="n"/>
    </row>
    <row r="1838">
      <c r="A1838" s="4" t="n">
        <v>33834</v>
      </c>
      <c r="B1838" s="4" t="inlineStr">
        <is>
          <t>cost3mo-lay-2021-p02-polar-gray-sn0100</t>
        </is>
      </c>
      <c r="C1838" s="4" t="inlineStr">
        <is>
          <t>W00031886A</t>
        </is>
      </c>
      <c r="D1838" s="6">
        <f>IF(F1838&gt;=5, F1838-5, IF(F1838&lt;5, 0, F1838))</f>
        <v/>
      </c>
      <c r="E1838">
        <f>VLOOKUP(B1838,[1]Namshi!$A:$B,2,0)</f>
        <v/>
      </c>
      <c r="F1838" s="4">
        <f>SUMIFS('Dubai Stock'!I:I,'Dubai Stock'!H:H,Final_UAE!B:B)</f>
        <v/>
      </c>
      <c r="H1838" s="8" t="e">
        <v>#N/A</v>
      </c>
      <c r="I1838" s="8" t="n"/>
    </row>
    <row r="1839">
      <c r="A1839" s="4" t="n">
        <v>33834</v>
      </c>
      <c r="B1839" s="4" t="inlineStr">
        <is>
          <t>clstdai-acu-mois-p30-sp0200</t>
        </is>
      </c>
      <c r="C1839" s="4" t="inlineStr">
        <is>
          <t>W00031886A</t>
        </is>
      </c>
      <c r="D1839" s="6">
        <f>IF(F1839&gt;=5, F1839-5, IF(F1839&lt;5, 0, F1839))</f>
        <v/>
      </c>
      <c r="E1839">
        <f>VLOOKUP(B1839,[1]Namshi!$A:$B,2,0)</f>
        <v/>
      </c>
      <c r="F1839" s="4">
        <f>SUMIFS('Dubai Stock'!I:I,'Dubai Stock'!H:H,Final_UAE!B:B)</f>
        <v/>
      </c>
      <c r="H1839" s="8" t="e">
        <v>#N/A</v>
      </c>
      <c r="I1839" s="8" t="n"/>
    </row>
    <row r="1840">
      <c r="A1840" s="4" t="n">
        <v>33834</v>
      </c>
      <c r="B1840" s="4" t="inlineStr">
        <is>
          <t>sc41007-bab-000503-1007-46</t>
        </is>
      </c>
      <c r="C1840" s="4" t="inlineStr">
        <is>
          <t>W00031886A</t>
        </is>
      </c>
      <c r="D1840" s="6">
        <f>IF(F1840&gt;=5, F1840-5, IF(F1840&lt;5, 0, F1840))</f>
        <v/>
      </c>
      <c r="E1840">
        <f>VLOOKUP(B1840,[1]Namshi!$A:$B,2,0)</f>
        <v/>
      </c>
      <c r="F1840" s="4">
        <f>SUMIFS('Dubai Stock'!I:I,'Dubai Stock'!H:H,Final_UAE!B:B)</f>
        <v/>
      </c>
      <c r="H1840" s="8" t="e">
        <v>#N/A</v>
      </c>
    </row>
    <row r="1841">
      <c r="A1841" s="4" t="n">
        <v>33834</v>
      </c>
      <c r="B1841" s="4" t="inlineStr">
        <is>
          <t>sw22907-bla-000106-2901-57</t>
        </is>
      </c>
      <c r="C1841" s="4" t="inlineStr">
        <is>
          <t>W00031886A</t>
        </is>
      </c>
      <c r="D1841" s="6">
        <f>IF(F1841&gt;=5, F1841-5, IF(F1841&lt;5, 0, F1841))</f>
        <v/>
      </c>
      <c r="E1841">
        <f>VLOOKUP(B1841,[1]Namshi!$A:$B,2,0)</f>
        <v/>
      </c>
      <c r="F1841" s="4">
        <f>SUMIFS('Dubai Stock'!I:I,'Dubai Stock'!H:H,Final_UAE!B:B)</f>
        <v/>
      </c>
      <c r="H1841" s="8" t="e">
        <v>#N/A</v>
      </c>
    </row>
    <row r="1842">
      <c r="A1842" s="4" t="n">
        <v>33834</v>
      </c>
      <c r="B1842" s="4" t="inlineStr">
        <is>
          <t>sc51402-bab-000527-1402-48</t>
        </is>
      </c>
      <c r="C1842" s="4" t="inlineStr">
        <is>
          <t>W00031886A</t>
        </is>
      </c>
      <c r="D1842" s="6">
        <f>IF(F1842&gt;=5, F1842-5, IF(F1842&lt;5, 0, F1842))</f>
        <v/>
      </c>
      <c r="E1842">
        <f>VLOOKUP(B1842,[1]Namshi!$A:$B,2,0)</f>
        <v/>
      </c>
      <c r="F1842" s="4">
        <f>SUMIFS('Dubai Stock'!I:I,'Dubai Stock'!H:H,Final_UAE!B:B)</f>
        <v/>
      </c>
      <c r="H1842" s="8" t="e">
        <v>#N/A</v>
      </c>
    </row>
    <row r="1843">
      <c r="A1843" s="4" t="n">
        <v>33834</v>
      </c>
      <c r="B1843" s="4" t="inlineStr">
        <is>
          <t>clstdai-lay-cont-p30-dazzle-brown-sn0300</t>
        </is>
      </c>
      <c r="C1843" s="4" t="inlineStr">
        <is>
          <t>W00031886A</t>
        </is>
      </c>
      <c r="D1843" s="6">
        <f>IF(F1843&gt;=5, F1843-5, IF(F1843&lt;5, 0, F1843))</f>
        <v/>
      </c>
      <c r="E1843">
        <f>VLOOKUP(B1843,[1]Namshi!$A:$B,2,0)</f>
        <v/>
      </c>
      <c r="F1843" s="4">
        <f>SUMIFS('Dubai Stock'!I:I,'Dubai Stock'!H:H,Final_UAE!B:B)</f>
        <v/>
      </c>
      <c r="H1843" s="8" t="e">
        <v>#N/A</v>
      </c>
      <c r="I1843" s="8" t="n"/>
    </row>
    <row r="1844">
      <c r="A1844" s="4" t="n">
        <v>33834</v>
      </c>
      <c r="B1844" s="4" t="inlineStr">
        <is>
          <t>clstmon-bme-bm55-p06-sn0575</t>
        </is>
      </c>
      <c r="C1844" s="4" t="inlineStr">
        <is>
          <t>W00031886A</t>
        </is>
      </c>
      <c r="D1844" s="6">
        <f>IF(F1844&gt;=5, F1844-5, IF(F1844&lt;5, 0, F1844))</f>
        <v/>
      </c>
      <c r="E1844">
        <f>VLOOKUP(B1844,[1]Namshi!$A:$B,2,0)</f>
        <v/>
      </c>
      <c r="F1844" s="4">
        <f>SUMIFS('Dubai Stock'!I:I,'Dubai Stock'!H:H,Final_UAE!B:B)</f>
        <v/>
      </c>
      <c r="H1844" s="8" t="e">
        <v>#N/A</v>
      </c>
      <c r="I1844" s="8" t="n"/>
    </row>
    <row r="1845">
      <c r="A1845" s="4" t="n">
        <v>33834</v>
      </c>
      <c r="B1845" s="4" t="inlineStr">
        <is>
          <t>clstdai-cti-cla1-p30-sn0150</t>
        </is>
      </c>
      <c r="C1845" s="4" t="inlineStr">
        <is>
          <t>W00031886A</t>
        </is>
      </c>
      <c r="D1845" s="6">
        <f>IF(F1845&gt;=5, F1845-5, IF(F1845&lt;5, 0, F1845))</f>
        <v/>
      </c>
      <c r="E1845">
        <f>VLOOKUP(B1845,[1]Namshi!$A:$B,2,0)</f>
        <v/>
      </c>
      <c r="F1845" s="4">
        <f>SUMIFS('Dubai Stock'!I:I,'Dubai Stock'!H:H,Final_UAE!B:B)</f>
        <v/>
      </c>
      <c r="H1845" s="8" t="e">
        <v>#N/A</v>
      </c>
      <c r="I1845" s="8" t="n"/>
    </row>
    <row r="1846">
      <c r="A1846" s="4" t="n">
        <v>33834</v>
      </c>
      <c r="B1846" s="4" t="inlineStr">
        <is>
          <t>cost3mo-lay-2023-p02-sable-brown-sn0250</t>
        </is>
      </c>
      <c r="C1846" s="4" t="inlineStr">
        <is>
          <t>W00031886A</t>
        </is>
      </c>
      <c r="D1846" s="6">
        <f>IF(F1846&gt;=5, F1846-5, IF(F1846&lt;5, 0, F1846))</f>
        <v/>
      </c>
      <c r="E1846">
        <f>VLOOKUP(B1846,[1]Namshi!$A:$B,2,0)</f>
        <v/>
      </c>
      <c r="F1846" s="4">
        <f>SUMIFS('Dubai Stock'!I:I,'Dubai Stock'!H:H,Final_UAE!B:B)</f>
        <v/>
      </c>
      <c r="H1846" s="8" t="e">
        <v>#N/A</v>
      </c>
      <c r="I1846" s="8" t="n"/>
    </row>
    <row r="1847">
      <c r="A1847" s="4" t="n">
        <v>33834</v>
      </c>
      <c r="B1847" s="4" t="inlineStr">
        <is>
          <t>clstdai-acu-dfvi-p60-sn0125</t>
        </is>
      </c>
      <c r="C1847" s="4" t="inlineStr">
        <is>
          <t>W00031886A</t>
        </is>
      </c>
      <c r="D1847" s="6">
        <f>IF(F1847&gt;=5, F1847-5, IF(F1847&lt;5, 0, F1847))</f>
        <v/>
      </c>
      <c r="E1847">
        <f>VLOOKUP(B1847,[1]Namshi!$A:$B,2,0)</f>
        <v/>
      </c>
      <c r="F1847" s="4">
        <f>SUMIFS('Dubai Stock'!I:I,'Dubai Stock'!H:H,Final_UAE!B:B)</f>
        <v/>
      </c>
      <c r="H1847" s="8" t="e">
        <v>#N/A</v>
      </c>
      <c r="I1847" s="8" t="n"/>
    </row>
    <row r="1848">
      <c r="A1848" s="4" t="n">
        <v>33834</v>
      </c>
      <c r="B1848" s="4" t="inlineStr">
        <is>
          <t>sw30107-30s-000108-0107-52</t>
        </is>
      </c>
      <c r="C1848" s="4" t="inlineStr">
        <is>
          <t>W00031886A</t>
        </is>
      </c>
      <c r="D1848" s="6">
        <f>IF(F1848&gt;=5, F1848-5, IF(F1848&lt;5, 0, F1848))</f>
        <v/>
      </c>
      <c r="E1848">
        <f>VLOOKUP(B1848,[1]Namshi!$A:$B,2,0)</f>
        <v/>
      </c>
      <c r="F1848" s="4">
        <f>SUMIFS('Dubai Stock'!I:I,'Dubai Stock'!H:H,Final_UAE!B:B)</f>
        <v/>
      </c>
      <c r="H1848" s="8" t="e">
        <v>#N/A</v>
      </c>
    </row>
    <row r="1849">
      <c r="A1849" s="4" t="n">
        <v>33834</v>
      </c>
      <c r="B1849" s="4" t="inlineStr">
        <is>
          <t>costmon-ama-2023-p02-chai-sn0250</t>
        </is>
      </c>
      <c r="C1849" s="4" t="inlineStr">
        <is>
          <t>W00031886A</t>
        </is>
      </c>
      <c r="D1849" s="6">
        <f>IF(F1849&gt;=5, F1849-5, IF(F1849&lt;5, 0, F1849))</f>
        <v/>
      </c>
      <c r="E1849">
        <f>VLOOKUP(B1849,[1]Namshi!$A:$B,2,0)</f>
        <v/>
      </c>
      <c r="F1849" s="4">
        <f>SUMIFS('Dubai Stock'!I:I,'Dubai Stock'!H:H,Final_UAE!B:B)</f>
        <v/>
      </c>
      <c r="H1849" s="8" t="e">
        <v>#N/A</v>
      </c>
      <c r="I1849" s="8" t="n"/>
    </row>
    <row r="1850">
      <c r="A1850" s="4" t="n">
        <v>33834</v>
      </c>
      <c r="B1850" s="4" t="inlineStr">
        <is>
          <t>clstdai-lay-cont-p90-dazzle-brown-sn0600</t>
        </is>
      </c>
      <c r="C1850" s="4" t="inlineStr">
        <is>
          <t>W00031886A</t>
        </is>
      </c>
      <c r="D1850" s="6">
        <f>IF(F1850&gt;=5, F1850-5, IF(F1850&lt;5, 0, F1850))</f>
        <v/>
      </c>
      <c r="E1850">
        <f>VLOOKUP(B1850,[1]Namshi!$A:$B,2,0)</f>
        <v/>
      </c>
      <c r="F1850" s="4">
        <f>SUMIFS('Dubai Stock'!I:I,'Dubai Stock'!H:H,Final_UAE!B:B)</f>
        <v/>
      </c>
      <c r="H1850" s="8" t="e">
        <v>#N/A</v>
      </c>
      <c r="I1850" s="8" t="n"/>
    </row>
    <row r="1851">
      <c r="A1851" s="4" t="n">
        <v>33834</v>
      </c>
      <c r="B1851" s="4" t="inlineStr">
        <is>
          <t>costdai-acu-dffr-p10-rose-sn0500</t>
        </is>
      </c>
      <c r="C1851" s="4" t="inlineStr">
        <is>
          <t>W00031886A</t>
        </is>
      </c>
      <c r="D1851" s="6">
        <f>IF(F1851&gt;=5, F1851-5, IF(F1851&lt;5, 0, F1851))</f>
        <v/>
      </c>
      <c r="E1851">
        <f>VLOOKUP(B1851,[1]Namshi!$A:$B,2,0)</f>
        <v/>
      </c>
      <c r="F1851" s="4">
        <f>SUMIFS('Dubai Stock'!I:I,'Dubai Stock'!H:H,Final_UAE!B:B)</f>
        <v/>
      </c>
      <c r="H1851" s="8" t="e">
        <v>#N/A</v>
      </c>
      <c r="I1851" s="8" t="n"/>
    </row>
    <row r="1852">
      <c r="A1852" s="4" t="n">
        <v>33834</v>
      </c>
      <c r="B1852" s="4" t="inlineStr">
        <is>
          <t>sm70702-30s-000250-0702-55</t>
        </is>
      </c>
      <c r="C1852" s="4" t="inlineStr">
        <is>
          <t>W00031886A</t>
        </is>
      </c>
      <c r="D1852" s="6">
        <f>IF(F1852&gt;=5, F1852-5, IF(F1852&lt;5, 0, F1852))</f>
        <v/>
      </c>
      <c r="E1852">
        <f>VLOOKUP(B1852,[1]Namshi!$A:$B,2,0)</f>
        <v/>
      </c>
      <c r="F1852" s="4">
        <f>SUMIFS('Dubai Stock'!I:I,'Dubai Stock'!H:H,Final_UAE!B:B)</f>
        <v/>
      </c>
      <c r="H1852" s="8" t="e">
        <v>#N/A</v>
      </c>
    </row>
    <row r="1853">
      <c r="A1853" s="4" t="n">
        <v>33834</v>
      </c>
      <c r="B1853" s="4" t="inlineStr">
        <is>
          <t>clstdai-acu-mois-p120-sn0475</t>
        </is>
      </c>
      <c r="C1853" s="4" t="inlineStr">
        <is>
          <t>W00031886A</t>
        </is>
      </c>
      <c r="D1853" s="6">
        <f>IF(F1853&gt;=5, F1853-5, IF(F1853&lt;5, 0, F1853))</f>
        <v/>
      </c>
      <c r="E1853">
        <f>VLOOKUP(B1853,[1]Namshi!$A:$B,2,0)</f>
        <v/>
      </c>
      <c r="F1853" s="4">
        <f>SUMIFS('Dubai Stock'!I:I,'Dubai Stock'!H:H,Final_UAE!B:B)</f>
        <v/>
      </c>
      <c r="H1853" s="8" t="e">
        <v>#N/A</v>
      </c>
      <c r="I1853" s="8" t="n"/>
    </row>
    <row r="1854">
      <c r="A1854" s="4" t="n">
        <v>33834</v>
      </c>
      <c r="B1854" s="4" t="inlineStr">
        <is>
          <t>costdai-acu-dffr-p10-rose-sn0200</t>
        </is>
      </c>
      <c r="C1854" s="4" t="inlineStr">
        <is>
          <t>W00031886A</t>
        </is>
      </c>
      <c r="D1854" s="6">
        <f>IF(F1854&gt;=5, F1854-5, IF(F1854&lt;5, 0, F1854))</f>
        <v/>
      </c>
      <c r="E1854">
        <f>VLOOKUP(B1854,[1]Namshi!$A:$B,2,0)</f>
        <v/>
      </c>
      <c r="F1854" s="4">
        <f>SUMIFS('Dubai Stock'!I:I,'Dubai Stock'!H:H,Final_UAE!B:B)</f>
        <v/>
      </c>
      <c r="H1854" s="8" t="e">
        <v>#N/A</v>
      </c>
      <c r="I1854" s="8" t="n"/>
    </row>
    <row r="1855">
      <c r="A1855" s="4" t="n">
        <v>33834</v>
      </c>
      <c r="B1855" s="4" t="inlineStr">
        <is>
          <t>sw22404-30s-000112-2404-50</t>
        </is>
      </c>
      <c r="C1855" s="4" t="inlineStr">
        <is>
          <t>W00031886A</t>
        </is>
      </c>
      <c r="D1855" s="6">
        <f>IF(F1855&gt;=5, F1855-5, IF(F1855&lt;5, 0, F1855))</f>
        <v/>
      </c>
      <c r="E1855">
        <f>VLOOKUP(B1855,[1]Namshi!$A:$B,2,0)</f>
        <v/>
      </c>
      <c r="F1855" s="4">
        <f>SUMIFS('Dubai Stock'!I:I,'Dubai Stock'!H:H,Final_UAE!B:B)</f>
        <v/>
      </c>
      <c r="H1855" s="8" t="e">
        <v>#N/A</v>
      </c>
    </row>
    <row r="1856">
      <c r="A1856" s="4" t="n">
        <v>33834</v>
      </c>
      <c r="B1856" s="4" t="inlineStr">
        <is>
          <t>sw40107-bla-000305-0107-54</t>
        </is>
      </c>
      <c r="C1856" s="4" t="inlineStr">
        <is>
          <t>W00031886A</t>
        </is>
      </c>
      <c r="D1856" s="6">
        <f>IF(F1856&gt;=5, F1856-5, IF(F1856&lt;5, 0, F1856))</f>
        <v/>
      </c>
      <c r="E1856">
        <f>VLOOKUP(B1856,[1]Namshi!$A:$B,2,0)</f>
        <v/>
      </c>
      <c r="F1856" s="4">
        <f>SUMIFS('Dubai Stock'!I:I,'Dubai Stock'!H:H,Final_UAE!B:B)</f>
        <v/>
      </c>
      <c r="H1856" s="8" t="e">
        <v>#N/A</v>
      </c>
    </row>
    <row r="1857">
      <c r="A1857" s="4" t="n">
        <v>33834</v>
      </c>
      <c r="B1857" s="4" t="inlineStr">
        <is>
          <t>costmon-ama-2020-p02-charcoal-gray-sn0300</t>
        </is>
      </c>
      <c r="C1857" s="4" t="inlineStr">
        <is>
          <t>W00031886A</t>
        </is>
      </c>
      <c r="D1857" s="6">
        <f>IF(F1857&gt;=5, F1857-5, IF(F1857&lt;5, 0, F1857))</f>
        <v/>
      </c>
      <c r="E1857">
        <f>VLOOKUP(B1857,[1]Namshi!$A:$B,2,0)</f>
        <v/>
      </c>
      <c r="F1857" s="4">
        <f>SUMIFS('Dubai Stock'!I:I,'Dubai Stock'!H:H,Final_UAE!B:B)</f>
        <v/>
      </c>
      <c r="H1857" s="8" t="e">
        <v>#N/A</v>
      </c>
      <c r="I1857" s="8" t="n"/>
    </row>
    <row r="1858">
      <c r="A1858" s="4" t="n">
        <v>33834</v>
      </c>
      <c r="B1858" s="4" t="inlineStr">
        <is>
          <t>cost3mo-lay-lens-p02-chocolate-brown-sn0375</t>
        </is>
      </c>
      <c r="C1858" s="4" t="inlineStr">
        <is>
          <t>W00031886A</t>
        </is>
      </c>
      <c r="D1858" s="6">
        <f>IF(F1858&gt;=5, F1858-5, IF(F1858&lt;5, 0, F1858))</f>
        <v/>
      </c>
      <c r="E1858">
        <f>VLOOKUP(B1858,[1]Namshi!$A:$B,2,0)</f>
        <v/>
      </c>
      <c r="F1858" s="4">
        <f>SUMIFS('Dubai Stock'!I:I,'Dubai Stock'!H:H,Final_UAE!B:B)</f>
        <v/>
      </c>
      <c r="H1858" s="8" t="e">
        <v>#N/A</v>
      </c>
      <c r="I1858" s="8" t="n"/>
    </row>
    <row r="1859">
      <c r="A1859" s="4" t="n">
        <v>33834</v>
      </c>
      <c r="B1859" s="4" t="inlineStr">
        <is>
          <t>clstdai-acu-oasy-p120-sn0125</t>
        </is>
      </c>
      <c r="C1859" s="4" t="inlineStr">
        <is>
          <t>W00031886A</t>
        </is>
      </c>
      <c r="D1859" s="6">
        <f>IF(F1859&gt;=5, F1859-5, IF(F1859&lt;5, 0, F1859))</f>
        <v/>
      </c>
      <c r="E1859">
        <f>VLOOKUP(B1859,[1]Namshi!$A:$B,2,0)</f>
        <v/>
      </c>
      <c r="F1859" s="4">
        <f>SUMIFS('Dubai Stock'!I:I,'Dubai Stock'!H:H,Final_UAE!B:B)</f>
        <v/>
      </c>
      <c r="H1859" s="8" t="e">
        <v>#N/A</v>
      </c>
      <c r="I1859" s="8" t="n"/>
    </row>
    <row r="1860">
      <c r="A1860" s="4" t="n">
        <v>33834</v>
      </c>
      <c r="B1860" s="4" t="inlineStr">
        <is>
          <t>sw103207-30s-000493-3207-56</t>
        </is>
      </c>
      <c r="C1860" s="4" t="inlineStr">
        <is>
          <t>W00031886A</t>
        </is>
      </c>
      <c r="D1860" s="6">
        <f>IF(F1860&gt;=5, F1860-5, IF(F1860&lt;5, 0, F1860))</f>
        <v/>
      </c>
      <c r="E1860">
        <f>VLOOKUP(B1860,[1]Namshi!$A:$B,2,0)</f>
        <v/>
      </c>
      <c r="F1860" s="4">
        <f>SUMIFS('Dubai Stock'!I:I,'Dubai Stock'!H:H,Final_UAE!B:B)</f>
        <v/>
      </c>
      <c r="H1860" s="8" t="e">
        <v>#N/A</v>
      </c>
      <c r="I1860" s="8" t="n"/>
    </row>
    <row r="1861">
      <c r="A1861" s="4" t="n">
        <v>33834</v>
      </c>
      <c r="B1861" s="4" t="inlineStr">
        <is>
          <t>sw30107-bla-000255-0101-52</t>
        </is>
      </c>
      <c r="C1861" s="4" t="inlineStr">
        <is>
          <t>W00031886A</t>
        </is>
      </c>
      <c r="D1861" s="6">
        <f>IF(F1861&gt;=5, F1861-5, IF(F1861&lt;5, 0, F1861))</f>
        <v/>
      </c>
      <c r="E1861">
        <f>VLOOKUP(B1861,[1]Namshi!$A:$B,2,0)</f>
        <v/>
      </c>
      <c r="F1861" s="4">
        <f>SUMIFS('Dubai Stock'!I:I,'Dubai Stock'!H:H,Final_UAE!B:B)</f>
        <v/>
      </c>
      <c r="H1861" s="8" t="e">
        <v>#N/A</v>
      </c>
    </row>
    <row r="1862">
      <c r="A1862" s="4" t="n">
        <v>33834</v>
      </c>
      <c r="B1862" s="4" t="inlineStr">
        <is>
          <t>sw60104-bla-000377-0104-52</t>
        </is>
      </c>
      <c r="C1862" s="4" t="inlineStr">
        <is>
          <t>W00031886A</t>
        </is>
      </c>
      <c r="D1862" s="6">
        <f>IF(F1862&gt;=5, F1862-5, IF(F1862&lt;5, 0, F1862))</f>
        <v/>
      </c>
      <c r="E1862">
        <f>VLOOKUP(B1862,[1]Namshi!$A:$B,2,0)</f>
        <v/>
      </c>
      <c r="F1862" s="4">
        <f>SUMIFS('Dubai Stock'!I:I,'Dubai Stock'!H:H,Final_UAE!B:B)</f>
        <v/>
      </c>
      <c r="H1862" s="8" t="e">
        <v>#N/A</v>
      </c>
    </row>
    <row r="1863">
      <c r="A1863" s="4" t="n">
        <v>33834</v>
      </c>
      <c r="B1863" s="4" t="inlineStr">
        <is>
          <t>clstdai-acu-oasy-p30-sn0650</t>
        </is>
      </c>
      <c r="C1863" s="4" t="inlineStr">
        <is>
          <t>W00031886A</t>
        </is>
      </c>
      <c r="D1863" s="6">
        <f>IF(F1863&gt;=5, F1863-5, IF(F1863&lt;5, 0, F1863))</f>
        <v/>
      </c>
      <c r="E1863">
        <f>VLOOKUP(B1863,[1]Namshi!$A:$B,2,0)</f>
        <v/>
      </c>
      <c r="F1863" s="4">
        <f>SUMIFS('Dubai Stock'!I:I,'Dubai Stock'!H:H,Final_UAE!B:B)</f>
        <v/>
      </c>
      <c r="H1863" s="8" t="e">
        <v>#N/A</v>
      </c>
      <c r="I1863" s="8" t="n"/>
    </row>
    <row r="1864">
      <c r="A1864" s="4" t="n">
        <v>33834</v>
      </c>
      <c r="B1864" s="4" t="inlineStr">
        <is>
          <t>sw31202-bla-000250-1202-54</t>
        </is>
      </c>
      <c r="C1864" s="4" t="inlineStr">
        <is>
          <t>W00031886A</t>
        </is>
      </c>
      <c r="D1864" s="6">
        <f>IF(F1864&gt;=5, F1864-5, IF(F1864&lt;5, 0, F1864))</f>
        <v/>
      </c>
      <c r="E1864">
        <f>VLOOKUP(B1864,[1]Namshi!$A:$B,2,0)</f>
        <v/>
      </c>
      <c r="F1864" s="4">
        <f>SUMIFS('Dubai Stock'!I:I,'Dubai Stock'!H:H,Final_UAE!B:B)</f>
        <v/>
      </c>
      <c r="H1864" s="8" t="e">
        <v>#N/A</v>
      </c>
    </row>
    <row r="1865">
      <c r="A1865" s="4" t="n">
        <v>33834</v>
      </c>
      <c r="B1865" s="4" t="inlineStr">
        <is>
          <t>costdai-ama-dail-p10-honey-sn0100</t>
        </is>
      </c>
      <c r="C1865" s="4" t="inlineStr">
        <is>
          <t>W00031886A</t>
        </is>
      </c>
      <c r="D1865" s="6">
        <f>IF(F1865&gt;=5, F1865-5, IF(F1865&lt;5, 0, F1865))</f>
        <v/>
      </c>
      <c r="E1865">
        <f>VLOOKUP(B1865,[1]Namshi!$A:$B,2,0)</f>
        <v/>
      </c>
      <c r="F1865" s="4">
        <f>SUMIFS('Dubai Stock'!I:I,'Dubai Stock'!H:H,Final_UAE!B:B)</f>
        <v/>
      </c>
      <c r="H1865" s="8" t="e">
        <v>#N/A</v>
      </c>
      <c r="I1865" s="8" t="n"/>
    </row>
    <row r="1866">
      <c r="A1866" s="4" t="n">
        <v>33834</v>
      </c>
      <c r="B1866" s="4" t="inlineStr">
        <is>
          <t>costmon-ama-lens-p02-dark-sepia-sn0225</t>
        </is>
      </c>
      <c r="C1866" s="4" t="inlineStr">
        <is>
          <t>W00031886A</t>
        </is>
      </c>
      <c r="D1866" s="6">
        <f>IF(F1866&gt;=5, F1866-5, IF(F1866&lt;5, 0, F1866))</f>
        <v/>
      </c>
      <c r="E1866">
        <f>VLOOKUP(B1866,[1]Namshi!$A:$B,2,0)</f>
        <v/>
      </c>
      <c r="F1866" s="4">
        <f>SUMIFS('Dubai Stock'!I:I,'Dubai Stock'!H:H,Final_UAE!B:B)</f>
        <v/>
      </c>
      <c r="H1866" s="8" t="e">
        <v>#N/A</v>
      </c>
      <c r="I1866" s="8" t="n"/>
    </row>
    <row r="1867">
      <c r="A1867" s="4" t="n">
        <v>33834</v>
      </c>
      <c r="B1867" s="4" t="inlineStr">
        <is>
          <t>clstdai-acu-mois-p30-sn0200</t>
        </is>
      </c>
      <c r="C1867" s="4" t="inlineStr">
        <is>
          <t>W00031886A</t>
        </is>
      </c>
      <c r="D1867" s="6">
        <f>IF(F1867&gt;=5, F1867-5, IF(F1867&lt;5, 0, F1867))</f>
        <v/>
      </c>
      <c r="E1867">
        <f>VLOOKUP(B1867,[1]Namshi!$A:$B,2,0)</f>
        <v/>
      </c>
      <c r="F1867" s="4">
        <f>SUMIFS('Dubai Stock'!I:I,'Dubai Stock'!H:H,Final_UAE!B:B)</f>
        <v/>
      </c>
      <c r="H1867" s="8" t="e">
        <v>#N/A</v>
      </c>
      <c r="I1867" s="8" t="n"/>
    </row>
    <row r="1868">
      <c r="A1868" s="4" t="n">
        <v>33834</v>
      </c>
      <c r="B1868" s="4" t="inlineStr">
        <is>
          <t>clstdai-eve-elit-p30-sn0800</t>
        </is>
      </c>
      <c r="C1868" s="4" t="inlineStr">
        <is>
          <t>W00031886A</t>
        </is>
      </c>
      <c r="D1868" s="6">
        <f>IF(F1868&gt;=5, F1868-5, IF(F1868&lt;5, 0, F1868))</f>
        <v/>
      </c>
      <c r="E1868">
        <f>VLOOKUP(B1868,[1]Namshi!$A:$B,2,0)</f>
        <v/>
      </c>
      <c r="F1868" s="4">
        <f>SUMIFS('Dubai Stock'!I:I,'Dubai Stock'!H:H,Final_UAE!B:B)</f>
        <v/>
      </c>
      <c r="H1868" s="8" t="n">
        <v>261</v>
      </c>
      <c r="I1868" s="8" t="n">
        <v>146.3</v>
      </c>
    </row>
    <row r="1869">
      <c r="A1869" s="4" t="n">
        <v>33834</v>
      </c>
      <c r="B1869" s="4" t="inlineStr">
        <is>
          <t>cltodai-acu-mois-p30-sn0375-cn0075-a010</t>
        </is>
      </c>
      <c r="C1869" s="4" t="inlineStr">
        <is>
          <t>W00031886A</t>
        </is>
      </c>
      <c r="D1869" s="6">
        <f>IF(F1869&gt;=5, F1869-5, IF(F1869&lt;5, 0, F1869))</f>
        <v/>
      </c>
      <c r="E1869">
        <f>VLOOKUP(B1869,[1]Namshi!$A:$B,2,0)</f>
        <v/>
      </c>
      <c r="F1869" s="4">
        <f>SUMIFS('Dubai Stock'!I:I,'Dubai Stock'!H:H,Final_UAE!B:B)</f>
        <v/>
      </c>
      <c r="H1869" s="8" t="e">
        <v>#N/A</v>
      </c>
      <c r="I1869" s="8" t="n"/>
    </row>
    <row r="1870">
      <c r="A1870" s="4" t="n">
        <v>33834</v>
      </c>
      <c r="B1870" s="4" t="inlineStr">
        <is>
          <t>clstdai-acu-oasy-p120-sn0325</t>
        </is>
      </c>
      <c r="C1870" s="4" t="inlineStr">
        <is>
          <t>W00031886A</t>
        </is>
      </c>
      <c r="D1870" s="6">
        <f>IF(F1870&gt;=5, F1870-5, IF(F1870&lt;5, 0, F1870))</f>
        <v/>
      </c>
      <c r="E1870">
        <f>VLOOKUP(B1870,[1]Namshi!$A:$B,2,0)</f>
        <v/>
      </c>
      <c r="F1870" s="4">
        <f>SUMIFS('Dubai Stock'!I:I,'Dubai Stock'!H:H,Final_UAE!B:B)</f>
        <v/>
      </c>
      <c r="H1870" s="8" t="e">
        <v>#N/A</v>
      </c>
      <c r="I1870" s="8" t="n"/>
    </row>
    <row r="1871">
      <c r="A1871" s="4" t="n">
        <v>33834</v>
      </c>
      <c r="B1871" s="4" t="inlineStr">
        <is>
          <t>sunglasses-30Sundays-30s-000447-0107</t>
        </is>
      </c>
      <c r="C1871" s="4" t="inlineStr">
        <is>
          <t>W00031886A</t>
        </is>
      </c>
      <c r="D1871" s="6">
        <f>IF(F1871&gt;=5, F1871-5, IF(F1871&lt;5, 0, F1871))</f>
        <v/>
      </c>
      <c r="E1871">
        <f>VLOOKUP(B1871,[1]Namshi!$A:$B,2,0)</f>
        <v/>
      </c>
      <c r="F1871" s="4">
        <f>SUMIFS('Dubai Stock'!I:I,'Dubai Stock'!H:H,Final_UAE!B:B)</f>
        <v/>
      </c>
      <c r="H1871" s="8" t="e">
        <v>#N/A</v>
      </c>
      <c r="I1871" s="8" t="n"/>
    </row>
    <row r="1872">
      <c r="A1872" s="4" t="n">
        <v>33834</v>
      </c>
      <c r="B1872" s="4" t="inlineStr">
        <is>
          <t>su20107-30s-000218-0107-51</t>
        </is>
      </c>
      <c r="C1872" s="4" t="inlineStr">
        <is>
          <t>W00031886A</t>
        </is>
      </c>
      <c r="D1872" s="6">
        <f>IF(F1872&gt;=5, F1872-5, IF(F1872&lt;5, 0, F1872))</f>
        <v/>
      </c>
      <c r="E1872">
        <f>VLOOKUP(B1872,[1]Namshi!$A:$B,2,0)</f>
        <v/>
      </c>
      <c r="F1872" s="4">
        <f>SUMIFS('Dubai Stock'!I:I,'Dubai Stock'!H:H,Final_UAE!B:B)</f>
        <v/>
      </c>
      <c r="H1872" s="8" t="e">
        <v>#N/A</v>
      </c>
    </row>
    <row r="1873">
      <c r="A1873" s="4" t="n">
        <v>33834</v>
      </c>
      <c r="B1873" s="4" t="inlineStr">
        <is>
          <t>costmon-ama-lens-p02-crocodile-green-sn0800</t>
        </is>
      </c>
      <c r="C1873" s="4" t="inlineStr">
        <is>
          <t>W00031886A</t>
        </is>
      </c>
      <c r="D1873" s="6">
        <f>IF(F1873&gt;=5, F1873-5, IF(F1873&lt;5, 0, F1873))</f>
        <v/>
      </c>
      <c r="E1873">
        <f>VLOOKUP(B1873,[1]Namshi!$A:$B,2,0)</f>
        <v/>
      </c>
      <c r="F1873" s="4">
        <f>SUMIFS('Dubai Stock'!I:I,'Dubai Stock'!H:H,Final_UAE!B:B)</f>
        <v/>
      </c>
      <c r="H1873" s="8" t="e">
        <v>#N/A</v>
      </c>
      <c r="I1873" s="8" t="n"/>
    </row>
    <row r="1874">
      <c r="A1874" s="4" t="n">
        <v>33834</v>
      </c>
      <c r="B1874" s="4" t="inlineStr">
        <is>
          <t>clstdai-eve-elit-p90-sn0025</t>
        </is>
      </c>
      <c r="C1874" s="4" t="inlineStr">
        <is>
          <t>W00031886A</t>
        </is>
      </c>
      <c r="D1874" s="6">
        <f>IF(F1874&gt;=5, F1874-5, IF(F1874&lt;5, 0, F1874))</f>
        <v/>
      </c>
      <c r="E1874">
        <f>VLOOKUP(B1874,[1]Namshi!$A:$B,2,0)</f>
        <v/>
      </c>
      <c r="F1874" s="4">
        <f>SUMIFS('Dubai Stock'!I:I,'Dubai Stock'!H:H,Final_UAE!B:B)</f>
        <v/>
      </c>
      <c r="H1874" s="8" t="n">
        <v>729</v>
      </c>
      <c r="I1874" s="8" t="n">
        <v>357</v>
      </c>
    </row>
    <row r="1875">
      <c r="A1875" s="4" t="n">
        <v>33834</v>
      </c>
      <c r="B1875" s="4" t="inlineStr">
        <is>
          <t>clstmon-eve-prom-p06-sp0400</t>
        </is>
      </c>
      <c r="C1875" s="4" t="inlineStr">
        <is>
          <t>W00031886A</t>
        </is>
      </c>
      <c r="D1875" s="6">
        <f>IF(F1875&gt;=5, F1875-5, IF(F1875&lt;5, 0, F1875))</f>
        <v/>
      </c>
      <c r="E1875">
        <f>VLOOKUP(B1875,[1]Namshi!$A:$B,2,0)</f>
        <v/>
      </c>
      <c r="F1875" s="4">
        <f>SUMIFS('Dubai Stock'!I:I,'Dubai Stock'!H:H,Final_UAE!B:B)</f>
        <v/>
      </c>
      <c r="H1875" s="8" t="n">
        <v>212</v>
      </c>
      <c r="I1875" s="8" t="n">
        <v>111.3</v>
      </c>
    </row>
    <row r="1876">
      <c r="A1876" s="4" t="n">
        <v>33834</v>
      </c>
      <c r="B1876" s="4" t="inlineStr">
        <is>
          <t>sm110202-30s-000451-0202-49</t>
        </is>
      </c>
      <c r="C1876" s="4" t="inlineStr">
        <is>
          <t>W00031886A</t>
        </is>
      </c>
      <c r="D1876" s="6">
        <f>IF(F1876&gt;=5, F1876-5, IF(F1876&lt;5, 0, F1876))</f>
        <v/>
      </c>
      <c r="E1876">
        <f>VLOOKUP(B1876,[1]Namshi!$A:$B,2,0)</f>
        <v/>
      </c>
      <c r="F1876" s="4">
        <f>SUMIFS('Dubai Stock'!I:I,'Dubai Stock'!H:H,Final_UAE!B:B)</f>
        <v/>
      </c>
      <c r="H1876" s="8" t="e">
        <v>#N/A</v>
      </c>
    </row>
    <row r="1877">
      <c r="A1877" s="4" t="n">
        <v>33834</v>
      </c>
      <c r="B1877" s="4" t="inlineStr">
        <is>
          <t>sm100107-30s-00407-0107p-52</t>
        </is>
      </c>
      <c r="C1877" s="4" t="inlineStr">
        <is>
          <t>W00031886A</t>
        </is>
      </c>
      <c r="D1877" s="6">
        <f>IF(F1877&gt;=5, F1877-5, IF(F1877&lt;5, 0, F1877))</f>
        <v/>
      </c>
      <c r="E1877">
        <f>VLOOKUP(B1877,[1]Namshi!$A:$B,2,0)</f>
        <v/>
      </c>
      <c r="F1877" s="4">
        <f>SUMIFS('Dubai Stock'!I:I,'Dubai Stock'!H:H,Final_UAE!B:B)</f>
        <v/>
      </c>
      <c r="H1877" s="8" t="e">
        <v>#N/A</v>
      </c>
    </row>
    <row r="1878">
      <c r="A1878" s="4" t="n">
        <v>33834</v>
      </c>
      <c r="B1878" s="4" t="inlineStr">
        <is>
          <t>sc22507-bab-000500-0207-40</t>
        </is>
      </c>
      <c r="C1878" s="4" t="inlineStr">
        <is>
          <t>W00031886A</t>
        </is>
      </c>
      <c r="D1878" s="6">
        <f>IF(F1878&gt;=5, F1878-5, IF(F1878&lt;5, 0, F1878))</f>
        <v/>
      </c>
      <c r="E1878">
        <f>VLOOKUP(B1878,[1]Namshi!$A:$B,2,0)</f>
        <v/>
      </c>
      <c r="F1878" s="4">
        <f>SUMIFS('Dubai Stock'!I:I,'Dubai Stock'!H:H,Final_UAE!B:B)</f>
        <v/>
      </c>
      <c r="H1878" s="8" t="e">
        <v>#N/A</v>
      </c>
    </row>
    <row r="1879">
      <c r="A1879" s="4" t="n">
        <v>33834</v>
      </c>
      <c r="B1879" s="4" t="inlineStr">
        <is>
          <t>costdai-ama-dail-p10-honey-sn0425</t>
        </is>
      </c>
      <c r="C1879" s="4" t="inlineStr">
        <is>
          <t>W00031886A</t>
        </is>
      </c>
      <c r="D1879" s="6">
        <f>IF(F1879&gt;=5, F1879-5, IF(F1879&lt;5, 0, F1879))</f>
        <v/>
      </c>
      <c r="E1879">
        <f>VLOOKUP(B1879,[1]Namshi!$A:$B,2,0)</f>
        <v/>
      </c>
      <c r="F1879" s="4">
        <f>SUMIFS('Dubai Stock'!I:I,'Dubai Stock'!H:H,Final_UAE!B:B)</f>
        <v/>
      </c>
      <c r="H1879" s="8" t="e">
        <v>#N/A</v>
      </c>
      <c r="I1879" s="8" t="n"/>
    </row>
    <row r="1880">
      <c r="A1880" s="4" t="n">
        <v>33834</v>
      </c>
      <c r="B1880" s="4" t="inlineStr">
        <is>
          <t>su100304-bla-000380-0304-54</t>
        </is>
      </c>
      <c r="C1880" s="4" t="inlineStr">
        <is>
          <t>W00031886A</t>
        </is>
      </c>
      <c r="D1880" s="6">
        <f>IF(F1880&gt;=5, F1880-5, IF(F1880&lt;5, 0, F1880))</f>
        <v/>
      </c>
      <c r="E1880">
        <f>VLOOKUP(B1880,[1]Namshi!$A:$B,2,0)</f>
        <v/>
      </c>
      <c r="F1880" s="4">
        <f>SUMIFS('Dubai Stock'!I:I,'Dubai Stock'!H:H,Final_UAE!B:B)</f>
        <v/>
      </c>
      <c r="H1880" s="8" t="e">
        <v>#N/A</v>
      </c>
    </row>
    <row r="1881">
      <c r="A1881" s="4" t="n">
        <v>33834</v>
      </c>
      <c r="B1881" s="4" t="inlineStr">
        <is>
          <t>clstdai-acu-oasy-p60-sn0600</t>
        </is>
      </c>
      <c r="C1881" s="4" t="inlineStr">
        <is>
          <t>W00031886A</t>
        </is>
      </c>
      <c r="D1881" s="6">
        <f>IF(F1881&gt;=5, F1881-5, IF(F1881&lt;5, 0, F1881))</f>
        <v/>
      </c>
      <c r="E1881">
        <f>VLOOKUP(B1881,[1]Namshi!$A:$B,2,0)</f>
        <v/>
      </c>
      <c r="F1881" s="4">
        <f>SUMIFS('Dubai Stock'!I:I,'Dubai Stock'!H:H,Final_UAE!B:B)</f>
        <v/>
      </c>
      <c r="H1881" s="8" t="e">
        <v>#N/A</v>
      </c>
      <c r="I1881" s="8" t="n"/>
    </row>
    <row r="1882">
      <c r="A1882" s="4" t="n">
        <v>33834</v>
      </c>
      <c r="B1882" s="4" t="inlineStr">
        <is>
          <t>sw101207-bla-000321-1207-52</t>
        </is>
      </c>
      <c r="C1882" s="4" t="inlineStr">
        <is>
          <t>W00031886A</t>
        </is>
      </c>
      <c r="D1882" s="6">
        <f>IF(F1882&gt;=5, F1882-5, IF(F1882&lt;5, 0, F1882))</f>
        <v/>
      </c>
      <c r="E1882">
        <f>VLOOKUP(B1882,[1]Namshi!$A:$B,2,0)</f>
        <v/>
      </c>
      <c r="F1882" s="4">
        <f>SUMIFS('Dubai Stock'!I:I,'Dubai Stock'!H:H,Final_UAE!B:B)</f>
        <v/>
      </c>
      <c r="H1882" s="8" t="e">
        <v>#N/A</v>
      </c>
    </row>
    <row r="1883">
      <c r="A1883" s="4" t="n">
        <v>33834</v>
      </c>
      <c r="B1883" s="4" t="inlineStr">
        <is>
          <t>sw32904-bla-000311-2904-58</t>
        </is>
      </c>
      <c r="C1883" s="4" t="inlineStr">
        <is>
          <t>W00031886A</t>
        </is>
      </c>
      <c r="D1883" s="6">
        <f>IF(F1883&gt;=5, F1883-5, IF(F1883&lt;5, 0, F1883))</f>
        <v/>
      </c>
      <c r="E1883">
        <f>VLOOKUP(B1883,[1]Namshi!$A:$B,2,0)</f>
        <v/>
      </c>
      <c r="F1883" s="4">
        <f>SUMIFS('Dubai Stock'!I:I,'Dubai Stock'!H:H,Final_UAE!B:B)</f>
        <v/>
      </c>
      <c r="H1883" s="8" t="e">
        <v>#N/A</v>
      </c>
    </row>
    <row r="1884">
      <c r="A1884" s="4" t="n">
        <v>33834</v>
      </c>
      <c r="B1884" s="4" t="inlineStr">
        <is>
          <t>costdai-acu-dffr-p10-grayzel-sn0450</t>
        </is>
      </c>
      <c r="C1884" s="4" t="inlineStr">
        <is>
          <t>W00031886A</t>
        </is>
      </c>
      <c r="D1884" s="6">
        <f>IF(F1884&gt;=5, F1884-5, IF(F1884&lt;5, 0, F1884))</f>
        <v/>
      </c>
      <c r="E1884">
        <f>VLOOKUP(B1884,[1]Namshi!$A:$B,2,0)</f>
        <v/>
      </c>
      <c r="F1884" s="4">
        <f>SUMIFS('Dubai Stock'!I:I,'Dubai Stock'!H:H,Final_UAE!B:B)</f>
        <v/>
      </c>
      <c r="H1884" s="8" t="e">
        <v>#N/A</v>
      </c>
      <c r="I1884" s="8" t="n"/>
    </row>
    <row r="1885">
      <c r="A1885" s="4" t="n">
        <v>33834</v>
      </c>
      <c r="B1885" s="4" t="inlineStr">
        <is>
          <t>sw100507-30s-000295-0101-53</t>
        </is>
      </c>
      <c r="C1885" s="4" t="inlineStr">
        <is>
          <t>W00031886A</t>
        </is>
      </c>
      <c r="D1885" s="6">
        <f>IF(F1885&gt;=5, F1885-5, IF(F1885&lt;5, 0, F1885))</f>
        <v/>
      </c>
      <c r="E1885">
        <f>VLOOKUP(B1885,[1]Namshi!$A:$B,2,0)</f>
        <v/>
      </c>
      <c r="F1885" s="4">
        <f>SUMIFS('Dubai Stock'!I:I,'Dubai Stock'!H:H,Final_UAE!B:B)</f>
        <v/>
      </c>
      <c r="H1885" s="8" t="e">
        <v>#N/A</v>
      </c>
    </row>
    <row r="1886">
      <c r="A1886" s="4" t="n">
        <v>33834</v>
      </c>
      <c r="B1886" s="4" t="inlineStr">
        <is>
          <t>clstdai-eve-elit-p30-sn0150</t>
        </is>
      </c>
      <c r="C1886" s="4" t="inlineStr">
        <is>
          <t>W00031886A</t>
        </is>
      </c>
      <c r="D1886" s="6">
        <f>IF(F1886&gt;=5, F1886-5, IF(F1886&lt;5, 0, F1886))</f>
        <v/>
      </c>
      <c r="E1886">
        <f>VLOOKUP(B1886,[1]Namshi!$A:$B,2,0)</f>
        <v/>
      </c>
      <c r="F1886" s="4">
        <f>SUMIFS('Dubai Stock'!I:I,'Dubai Stock'!H:H,Final_UAE!B:B)</f>
        <v/>
      </c>
      <c r="H1886" s="8" t="n">
        <v>261</v>
      </c>
      <c r="I1886" s="8" t="n">
        <v>146.3</v>
      </c>
    </row>
    <row r="1887">
      <c r="A1887" s="4" t="n">
        <v>33834</v>
      </c>
      <c r="B1887" s="4" t="inlineStr">
        <is>
          <t>cost3mo-lay-2021-p02-polar-gray-sn0125</t>
        </is>
      </c>
      <c r="C1887" s="4" t="inlineStr">
        <is>
          <t>W00031886A</t>
        </is>
      </c>
      <c r="D1887" s="6">
        <f>IF(F1887&gt;=5, F1887-5, IF(F1887&lt;5, 0, F1887))</f>
        <v/>
      </c>
      <c r="E1887">
        <f>VLOOKUP(B1887,[1]Namshi!$A:$B,2,0)</f>
        <v/>
      </c>
      <c r="F1887" s="4">
        <f>SUMIFS('Dubai Stock'!I:I,'Dubai Stock'!H:H,Final_UAE!B:B)</f>
        <v/>
      </c>
      <c r="H1887" s="8" t="e">
        <v>#N/A</v>
      </c>
      <c r="I1887" s="8" t="n"/>
    </row>
    <row r="1888">
      <c r="A1888" s="4" t="n">
        <v>33834</v>
      </c>
      <c r="B1888" s="4" t="inlineStr">
        <is>
          <t>clstdai-eve-pure-P30-Sn0525</t>
        </is>
      </c>
      <c r="C1888" s="4" t="inlineStr">
        <is>
          <t>W00031886A</t>
        </is>
      </c>
      <c r="D1888" s="6">
        <f>IF(F1888&gt;=5, F1888-5, IF(F1888&lt;5, 0, F1888))</f>
        <v/>
      </c>
      <c r="E1888">
        <f>VLOOKUP(B1888,[1]Namshi!$A:$B,2,0)</f>
        <v/>
      </c>
      <c r="F1888" s="4">
        <f>SUMIFS('Dubai Stock'!I:I,'Dubai Stock'!H:H,Final_UAE!B:B)</f>
        <v/>
      </c>
      <c r="H1888" s="8" t="n">
        <v>186</v>
      </c>
      <c r="I1888" s="8" t="n">
        <v>104.3</v>
      </c>
    </row>
    <row r="1889">
      <c r="A1889" s="4" t="n">
        <v>33834</v>
      </c>
      <c r="B1889" s="4" t="inlineStr">
        <is>
          <t>cltodai-acu-mois-p30-sn0500-cn0075-a070</t>
        </is>
      </c>
      <c r="C1889" s="4" t="inlineStr">
        <is>
          <t>W00031886A</t>
        </is>
      </c>
      <c r="D1889" s="6">
        <f>IF(F1889&gt;=5, F1889-5, IF(F1889&lt;5, 0, F1889))</f>
        <v/>
      </c>
      <c r="E1889">
        <f>VLOOKUP(B1889,[1]Namshi!$A:$B,2,0)</f>
        <v/>
      </c>
      <c r="F1889" s="4">
        <f>SUMIFS('Dubai Stock'!I:I,'Dubai Stock'!H:H,Final_UAE!B:B)</f>
        <v/>
      </c>
      <c r="H1889" s="8" t="e">
        <v>#N/A</v>
      </c>
      <c r="I1889" s="8" t="n"/>
    </row>
    <row r="1890">
      <c r="A1890" s="4" t="n">
        <v>33834</v>
      </c>
      <c r="B1890" s="4" t="inlineStr">
        <is>
          <t>sm100406-30s-000266-0406-59</t>
        </is>
      </c>
      <c r="C1890" s="4" t="inlineStr">
        <is>
          <t>W00031886A</t>
        </is>
      </c>
      <c r="D1890" s="6">
        <f>IF(F1890&gt;=5, F1890-5, IF(F1890&lt;5, 0, F1890))</f>
        <v/>
      </c>
      <c r="E1890">
        <f>VLOOKUP(B1890,[1]Namshi!$A:$B,2,0)</f>
        <v/>
      </c>
      <c r="F1890" s="4">
        <f>SUMIFS('Dubai Stock'!I:I,'Dubai Stock'!H:H,Final_UAE!B:B)</f>
        <v/>
      </c>
      <c r="H1890" s="8" t="e">
        <v>#N/A</v>
      </c>
    </row>
    <row r="1891">
      <c r="A1891" s="4" t="n">
        <v>33834</v>
      </c>
      <c r="B1891" s="4" t="inlineStr">
        <is>
          <t>clstdai-eve-elit-p30-sn1150</t>
        </is>
      </c>
      <c r="C1891" s="4" t="inlineStr">
        <is>
          <t>W00031886A</t>
        </is>
      </c>
      <c r="D1891" s="6">
        <f>IF(F1891&gt;=5, F1891-5, IF(F1891&lt;5, 0, F1891))</f>
        <v/>
      </c>
      <c r="E1891">
        <f>VLOOKUP(B1891,[1]Namshi!$A:$B,2,0)</f>
        <v/>
      </c>
      <c r="F1891" s="4">
        <f>SUMIFS('Dubai Stock'!I:I,'Dubai Stock'!H:H,Final_UAE!B:B)</f>
        <v/>
      </c>
      <c r="H1891" s="8" t="n">
        <v>261</v>
      </c>
      <c r="I1891" s="8" t="n">
        <v>146.3</v>
      </c>
    </row>
    <row r="1892">
      <c r="A1892" s="4" t="n">
        <v>33834</v>
      </c>
      <c r="B1892" s="4" t="inlineStr">
        <is>
          <t>sunglasses-30Sundays-30s-000455-0104</t>
        </is>
      </c>
      <c r="C1892" s="4" t="inlineStr">
        <is>
          <t>W00031886A</t>
        </is>
      </c>
      <c r="D1892" s="6">
        <f>IF(F1892&gt;=5, F1892-5, IF(F1892&lt;5, 0, F1892))</f>
        <v/>
      </c>
      <c r="E1892">
        <f>VLOOKUP(B1892,[1]Namshi!$A:$B,2,0)</f>
        <v/>
      </c>
      <c r="F1892" s="4">
        <f>SUMIFS('Dubai Stock'!I:I,'Dubai Stock'!H:H,Final_UAE!B:B)</f>
        <v/>
      </c>
      <c r="H1892" s="8" t="e">
        <v>#N/A</v>
      </c>
      <c r="I1892" s="8" t="n"/>
    </row>
    <row r="1893">
      <c r="A1893" s="4" t="n">
        <v>33834</v>
      </c>
      <c r="B1893" s="4" t="inlineStr">
        <is>
          <t>clstdai-lay-cont-p90-dazzle-brown-sn0550</t>
        </is>
      </c>
      <c r="C1893" s="4" t="inlineStr">
        <is>
          <t>W00031886A</t>
        </is>
      </c>
      <c r="D1893" s="6">
        <f>IF(F1893&gt;=5, F1893-5, IF(F1893&lt;5, 0, F1893))</f>
        <v/>
      </c>
      <c r="E1893">
        <f>VLOOKUP(B1893,[1]Namshi!$A:$B,2,0)</f>
        <v/>
      </c>
      <c r="F1893" s="4">
        <f>SUMIFS('Dubai Stock'!I:I,'Dubai Stock'!H:H,Final_UAE!B:B)</f>
        <v/>
      </c>
      <c r="H1893" s="8" t="e">
        <v>#N/A</v>
      </c>
      <c r="I1893" s="8" t="n"/>
    </row>
    <row r="1894">
      <c r="A1894" s="4" t="n">
        <v>33834</v>
      </c>
      <c r="B1894" s="4" t="inlineStr">
        <is>
          <t>clstdai-lay-cont-p60-dazzle-black-sn0900</t>
        </is>
      </c>
      <c r="C1894" s="4" t="inlineStr">
        <is>
          <t>W00031886A</t>
        </is>
      </c>
      <c r="D1894" s="6">
        <f>IF(F1894&gt;=5, F1894-5, IF(F1894&lt;5, 0, F1894))</f>
        <v/>
      </c>
      <c r="E1894">
        <f>VLOOKUP(B1894,[1]Namshi!$A:$B,2,0)</f>
        <v/>
      </c>
      <c r="F1894" s="4">
        <f>SUMIFS('Dubai Stock'!I:I,'Dubai Stock'!H:H,Final_UAE!B:B)</f>
        <v/>
      </c>
      <c r="H1894" s="8" t="e">
        <v>#N/A</v>
      </c>
      <c r="I1894" s="8" t="n"/>
    </row>
    <row r="1895">
      <c r="A1895" s="4" t="n">
        <v>33834</v>
      </c>
      <c r="B1895" s="4" t="inlineStr">
        <is>
          <t>clstdai-dai-aqua-p30-sp0400</t>
        </is>
      </c>
      <c r="C1895" s="4" t="inlineStr">
        <is>
          <t>W00031886A</t>
        </is>
      </c>
      <c r="D1895" s="6">
        <f>IF(F1895&gt;=5, F1895-5, IF(F1895&lt;5, 0, F1895))</f>
        <v/>
      </c>
      <c r="E1895">
        <f>VLOOKUP(B1895,[1]Namshi!$A:$B,2,0)</f>
        <v/>
      </c>
      <c r="F1895" s="4">
        <f>SUMIFS('Dubai Stock'!I:I,'Dubai Stock'!H:H,Final_UAE!B:B)</f>
        <v/>
      </c>
      <c r="H1895" s="8" t="e">
        <v>#N/A</v>
      </c>
      <c r="I1895" s="8" t="n"/>
    </row>
    <row r="1896">
      <c r="A1896" s="4" t="n">
        <v>33834</v>
      </c>
      <c r="B1896" s="4" t="inlineStr">
        <is>
          <t>sw50107-bla-000219-2901-57</t>
        </is>
      </c>
      <c r="C1896" s="4" t="inlineStr">
        <is>
          <t>W00031886A</t>
        </is>
      </c>
      <c r="D1896" s="6">
        <f>IF(F1896&gt;=5, F1896-5, IF(F1896&lt;5, 0, F1896))</f>
        <v/>
      </c>
      <c r="E1896">
        <f>VLOOKUP(B1896,[1]Namshi!$A:$B,2,0)</f>
        <v/>
      </c>
      <c r="F1896" s="4">
        <f>SUMIFS('Dubai Stock'!I:I,'Dubai Stock'!H:H,Final_UAE!B:B)</f>
        <v/>
      </c>
      <c r="H1896" s="8" t="e">
        <v>#N/A</v>
      </c>
    </row>
    <row r="1897">
      <c r="A1897" s="4" t="n">
        <v>33834</v>
      </c>
      <c r="B1897" s="4" t="inlineStr">
        <is>
          <t>sw30404-bla-000323-0404-49</t>
        </is>
      </c>
      <c r="C1897" s="4" t="inlineStr">
        <is>
          <t>W00031886A</t>
        </is>
      </c>
      <c r="D1897" s="6">
        <f>IF(F1897&gt;=5, F1897-5, IF(F1897&lt;5, 0, F1897))</f>
        <v/>
      </c>
      <c r="E1897">
        <f>VLOOKUP(B1897,[1]Namshi!$A:$B,2,0)</f>
        <v/>
      </c>
      <c r="F1897" s="4">
        <f>SUMIFS('Dubai Stock'!I:I,'Dubai Stock'!H:H,Final_UAE!B:B)</f>
        <v/>
      </c>
      <c r="H1897" s="8" t="e">
        <v>#N/A</v>
      </c>
    </row>
    <row r="1898">
      <c r="A1898" s="4" t="n">
        <v>33834</v>
      </c>
      <c r="B1898" s="4" t="inlineStr">
        <is>
          <t>sm10702-bla-000342-0702-57</t>
        </is>
      </c>
      <c r="C1898" s="4" t="inlineStr">
        <is>
          <t>W00031886A</t>
        </is>
      </c>
      <c r="D1898" s="6">
        <f>IF(F1898&gt;=5, F1898-5, IF(F1898&lt;5, 0, F1898))</f>
        <v/>
      </c>
      <c r="E1898">
        <f>VLOOKUP(B1898,[1]Namshi!$A:$B,2,0)</f>
        <v/>
      </c>
      <c r="F1898" s="4">
        <f>SUMIFS('Dubai Stock'!I:I,'Dubai Stock'!H:H,Final_UAE!B:B)</f>
        <v/>
      </c>
      <c r="H1898" s="8" t="e">
        <v>#N/A</v>
      </c>
    </row>
    <row r="1899">
      <c r="A1899" s="4" t="n">
        <v>33834</v>
      </c>
      <c r="B1899" s="4" t="inlineStr">
        <is>
          <t>clstdai-eve-pure-p30-sn0950</t>
        </is>
      </c>
      <c r="C1899" s="4" t="inlineStr">
        <is>
          <t>W00031886A</t>
        </is>
      </c>
      <c r="D1899" s="6">
        <f>IF(F1899&gt;=5, F1899-5, IF(F1899&lt;5, 0, F1899))</f>
        <v/>
      </c>
      <c r="E1899">
        <f>VLOOKUP(B1899,[1]Namshi!$A:$B,2,0)</f>
        <v/>
      </c>
      <c r="F1899" s="4">
        <f>SUMIFS('Dubai Stock'!I:I,'Dubai Stock'!H:H,Final_UAE!B:B)</f>
        <v/>
      </c>
      <c r="H1899" s="8" t="n">
        <v>186</v>
      </c>
      <c r="I1899" s="8" t="n">
        <v>104.3</v>
      </c>
    </row>
    <row r="1900">
      <c r="A1900" s="4" t="n">
        <v>33834</v>
      </c>
      <c r="B1900" s="4" t="inlineStr">
        <is>
          <t>clstmon-ava-avai-p06-sn0300</t>
        </is>
      </c>
      <c r="C1900" s="4" t="inlineStr">
        <is>
          <t>W00031886A</t>
        </is>
      </c>
      <c r="D1900" s="6">
        <f>IF(F1900&gt;=5, F1900-5, IF(F1900&lt;5, 0, F1900))</f>
        <v/>
      </c>
      <c r="E1900">
        <f>VLOOKUP(B1900,[1]Namshi!$A:$B,2,0)</f>
        <v/>
      </c>
      <c r="F1900" s="4">
        <f>SUMIFS('Dubai Stock'!I:I,'Dubai Stock'!H:H,Final_UAE!B:B)</f>
        <v/>
      </c>
      <c r="H1900" s="8" t="e">
        <v>#N/A</v>
      </c>
      <c r="I1900" s="8" t="n"/>
    </row>
    <row r="1901">
      <c r="A1901" s="4" t="n">
        <v>33834</v>
      </c>
      <c r="B1901" s="4" t="inlineStr">
        <is>
          <t>clstdai-acu-omax-p90-sn0375</t>
        </is>
      </c>
      <c r="C1901" s="4" t="inlineStr">
        <is>
          <t>W00031886A</t>
        </is>
      </c>
      <c r="D1901" s="6">
        <f>IF(F1901&gt;=5, F1901-5, IF(F1901&lt;5, 0, F1901))</f>
        <v/>
      </c>
      <c r="E1901">
        <f>VLOOKUP(B1901,[1]Namshi!$A:$B,2,0)</f>
        <v/>
      </c>
      <c r="F1901" s="4">
        <f>SUMIFS('Dubai Stock'!I:I,'Dubai Stock'!H:H,Final_UAE!B:B)</f>
        <v/>
      </c>
      <c r="H1901" s="8" t="e">
        <v>#N/A</v>
      </c>
      <c r="I1901" s="8" t="n"/>
    </row>
    <row r="1902">
      <c r="A1902" s="4" t="n">
        <v>33834</v>
      </c>
      <c r="B1902" s="4" t="inlineStr">
        <is>
          <t>su21402-30s-000213-1402-50</t>
        </is>
      </c>
      <c r="C1902" s="4" t="inlineStr">
        <is>
          <t>W00031886A</t>
        </is>
      </c>
      <c r="D1902" s="6">
        <f>IF(F1902&gt;=5, F1902-5, IF(F1902&lt;5, 0, F1902))</f>
        <v/>
      </c>
      <c r="E1902">
        <f>VLOOKUP(B1902,[1]Namshi!$A:$B,2,0)</f>
        <v/>
      </c>
      <c r="F1902" s="4">
        <f>SUMIFS('Dubai Stock'!I:I,'Dubai Stock'!H:H,Final_UAE!B:B)</f>
        <v/>
      </c>
      <c r="H1902" s="8" t="e">
        <v>#N/A</v>
      </c>
    </row>
    <row r="1903">
      <c r="A1903" s="4" t="n">
        <v>33834</v>
      </c>
      <c r="B1903" s="4" t="inlineStr">
        <is>
          <t>cost3mo-lay-2023-p02-selene-green-sn0225</t>
        </is>
      </c>
      <c r="C1903" s="4" t="inlineStr">
        <is>
          <t>W00031886A</t>
        </is>
      </c>
      <c r="D1903" s="6">
        <f>IF(F1903&gt;=5, F1903-5, IF(F1903&lt;5, 0, F1903))</f>
        <v/>
      </c>
      <c r="E1903">
        <f>VLOOKUP(B1903,[1]Namshi!$A:$B,2,0)</f>
        <v/>
      </c>
      <c r="F1903" s="4">
        <f>SUMIFS('Dubai Stock'!I:I,'Dubai Stock'!H:H,Final_UAE!B:B)</f>
        <v/>
      </c>
      <c r="H1903" s="8" t="e">
        <v>#N/A</v>
      </c>
      <c r="I1903" s="8" t="n"/>
    </row>
    <row r="1904">
      <c r="A1904" s="4" t="n">
        <v>33834</v>
      </c>
      <c r="B1904" s="4" t="inlineStr">
        <is>
          <t>su61206-bla-000259-1206-53</t>
        </is>
      </c>
      <c r="C1904" s="4" t="inlineStr">
        <is>
          <t>W00031886A</t>
        </is>
      </c>
      <c r="D1904" s="6">
        <f>IF(F1904&gt;=5, F1904-5, IF(F1904&lt;5, 0, F1904))</f>
        <v/>
      </c>
      <c r="E1904">
        <f>VLOOKUP(B1904,[1]Namshi!$A:$B,2,0)</f>
        <v/>
      </c>
      <c r="F1904" s="4">
        <f>SUMIFS('Dubai Stock'!I:I,'Dubai Stock'!H:H,Final_UAE!B:B)</f>
        <v/>
      </c>
      <c r="H1904" s="8" t="e">
        <v>#N/A</v>
      </c>
    </row>
    <row r="1905">
      <c r="A1905" s="4" t="n">
        <v>33834</v>
      </c>
      <c r="B1905" s="4" t="inlineStr">
        <is>
          <t>clstdai-btr-oned-p90-sp0425</t>
        </is>
      </c>
      <c r="C1905" s="4" t="inlineStr">
        <is>
          <t>W00031886A</t>
        </is>
      </c>
      <c r="D1905" s="6">
        <f>IF(F1905&gt;=5, F1905-5, IF(F1905&lt;5, 0, F1905))</f>
        <v/>
      </c>
      <c r="E1905">
        <f>VLOOKUP(B1905,[1]Namshi!$A:$B,2,0)</f>
        <v/>
      </c>
      <c r="F1905" s="4">
        <f>SUMIFS('Dubai Stock'!I:I,'Dubai Stock'!H:H,Final_UAE!B:B)</f>
        <v/>
      </c>
      <c r="H1905" s="8" t="e">
        <v>#N/A</v>
      </c>
      <c r="I1905" s="8" t="n"/>
    </row>
    <row r="1906">
      <c r="A1906" s="4" t="n">
        <v>33834</v>
      </c>
      <c r="B1906" s="4" t="inlineStr">
        <is>
          <t>clstbiw-acu-oasy-p06-sn0600</t>
        </is>
      </c>
      <c r="C1906" s="4" t="inlineStr">
        <is>
          <t>W00031886A</t>
        </is>
      </c>
      <c r="D1906" s="6">
        <f>IF(F1906&gt;=5, F1906-5, IF(F1906&lt;5, 0, F1906))</f>
        <v/>
      </c>
      <c r="E1906">
        <f>VLOOKUP(B1906,[1]Namshi!$A:$B,2,0)</f>
        <v/>
      </c>
      <c r="F1906" s="4">
        <f>SUMIFS('Dubai Stock'!I:I,'Dubai Stock'!H:H,Final_UAE!B:B)</f>
        <v/>
      </c>
      <c r="H1906" s="8" t="e">
        <v>#N/A</v>
      </c>
      <c r="I1906" s="8" t="n"/>
    </row>
    <row r="1907">
      <c r="A1907" s="4" t="n">
        <v>33834</v>
      </c>
      <c r="B1907" s="4" t="inlineStr">
        <is>
          <t>clstdai-acu-mois-p30-sp0525</t>
        </is>
      </c>
      <c r="C1907" s="4" t="inlineStr">
        <is>
          <t>W00031886A</t>
        </is>
      </c>
      <c r="D1907" s="6">
        <f>IF(F1907&gt;=5, F1907-5, IF(F1907&lt;5, 0, F1907))</f>
        <v/>
      </c>
      <c r="E1907">
        <f>VLOOKUP(B1907,[1]Namshi!$A:$B,2,0)</f>
        <v/>
      </c>
      <c r="F1907" s="4">
        <f>SUMIFS('Dubai Stock'!I:I,'Dubai Stock'!H:H,Final_UAE!B:B)</f>
        <v/>
      </c>
      <c r="H1907" s="8" t="e">
        <v>#N/A</v>
      </c>
      <c r="I1907" s="8" t="n"/>
    </row>
    <row r="1908">
      <c r="A1908" s="4" t="n">
        <v>33834</v>
      </c>
      <c r="B1908" s="4" t="inlineStr">
        <is>
          <t>clstdai-lay-cont-p10-dazzle-black-sn0950</t>
        </is>
      </c>
      <c r="C1908" s="4" t="inlineStr">
        <is>
          <t>W00031886A</t>
        </is>
      </c>
      <c r="D1908" s="6">
        <f>IF(F1908&gt;=5, F1908-5, IF(F1908&lt;5, 0, F1908))</f>
        <v/>
      </c>
      <c r="E1908">
        <f>VLOOKUP(B1908,[1]Namshi!$A:$B,2,0)</f>
        <v/>
      </c>
      <c r="F1908" s="4">
        <f>SUMIFS('Dubai Stock'!I:I,'Dubai Stock'!H:H,Final_UAE!B:B)</f>
        <v/>
      </c>
      <c r="H1908" s="8" t="e">
        <v>#N/A</v>
      </c>
      <c r="I1908" s="8" t="n"/>
    </row>
    <row r="1909">
      <c r="A1909" s="4" t="n">
        <v>33834</v>
      </c>
      <c r="B1909" s="4" t="inlineStr">
        <is>
          <t>sacchan-30s-chain128-gld-mia-gold</t>
        </is>
      </c>
      <c r="C1909" s="4" t="inlineStr">
        <is>
          <t>W00031886A</t>
        </is>
      </c>
      <c r="D1909" s="6">
        <f>IF(F1909&gt;=5, F1909-5, IF(F1909&lt;5, 0, F1909))</f>
        <v/>
      </c>
      <c r="E1909">
        <f>VLOOKUP(B1909,[1]Namshi!$A:$B,2,0)</f>
        <v/>
      </c>
      <c r="F1909" s="4">
        <f>SUMIFS('Dubai Stock'!I:I,'Dubai Stock'!H:H,Final_UAE!B:B)</f>
        <v/>
      </c>
      <c r="H1909" s="8" t="e">
        <v>#N/A</v>
      </c>
      <c r="I1909" s="8" t="n"/>
    </row>
    <row r="1910">
      <c r="A1910" s="4" t="n">
        <v>33834</v>
      </c>
      <c r="B1910" s="4" t="inlineStr">
        <is>
          <t>clstdai-lay-cont-p60-dazzle-brown-sn0275</t>
        </is>
      </c>
      <c r="C1910" s="4" t="inlineStr">
        <is>
          <t>W00031886A</t>
        </is>
      </c>
      <c r="D1910" s="6">
        <f>IF(F1910&gt;=5, F1910-5, IF(F1910&lt;5, 0, F1910))</f>
        <v/>
      </c>
      <c r="E1910">
        <f>VLOOKUP(B1910,[1]Namshi!$A:$B,2,0)</f>
        <v/>
      </c>
      <c r="F1910" s="4">
        <f>SUMIFS('Dubai Stock'!I:I,'Dubai Stock'!H:H,Final_UAE!B:B)</f>
        <v/>
      </c>
      <c r="H1910" s="8" t="e">
        <v>#N/A</v>
      </c>
      <c r="I1910" s="8" t="n"/>
    </row>
    <row r="1911">
      <c r="A1911" s="4" t="n">
        <v>33834</v>
      </c>
      <c r="B1911" s="4" t="inlineStr">
        <is>
          <t>cost3mo-lay-lens-p02-platinum-gray-sn0200</t>
        </is>
      </c>
      <c r="C1911" s="4" t="inlineStr">
        <is>
          <t>W00031886A</t>
        </is>
      </c>
      <c r="D1911" s="6">
        <f>IF(F1911&gt;=5, F1911-5, IF(F1911&lt;5, 0, F1911))</f>
        <v/>
      </c>
      <c r="E1911">
        <f>VLOOKUP(B1911,[1]Namshi!$A:$B,2,0)</f>
        <v/>
      </c>
      <c r="F1911" s="4">
        <f>SUMIFS('Dubai Stock'!I:I,'Dubai Stock'!H:H,Final_UAE!B:B)</f>
        <v/>
      </c>
      <c r="H1911" s="8" t="e">
        <v>#N/A</v>
      </c>
      <c r="I1911" s="8" t="n"/>
    </row>
    <row r="1912">
      <c r="A1912" s="4" t="n">
        <v>33834</v>
      </c>
      <c r="B1912" s="4" t="inlineStr">
        <is>
          <t>sw21306-30s-000131-1306-52</t>
        </is>
      </c>
      <c r="C1912" s="4" t="inlineStr">
        <is>
          <t>W00031886A</t>
        </is>
      </c>
      <c r="D1912" s="6">
        <f>IF(F1912&gt;=5, F1912-5, IF(F1912&lt;5, 0, F1912))</f>
        <v/>
      </c>
      <c r="E1912">
        <f>VLOOKUP(B1912,[1]Namshi!$A:$B,2,0)</f>
        <v/>
      </c>
      <c r="F1912" s="4">
        <f>SUMIFS('Dubai Stock'!I:I,'Dubai Stock'!H:H,Final_UAE!B:B)</f>
        <v/>
      </c>
      <c r="H1912" s="8" t="e">
        <v>#N/A</v>
      </c>
    </row>
    <row r="1913">
      <c r="A1913" s="4" t="n">
        <v>33834</v>
      </c>
      <c r="B1913" s="4" t="inlineStr">
        <is>
          <t>sm50404-30s-000283-0304-54</t>
        </is>
      </c>
      <c r="C1913" s="4" t="inlineStr">
        <is>
          <t>W00031886A</t>
        </is>
      </c>
      <c r="D1913" s="6">
        <f>IF(F1913&gt;=5, F1913-5, IF(F1913&lt;5, 0, F1913))</f>
        <v/>
      </c>
      <c r="E1913">
        <f>VLOOKUP(B1913,[1]Namshi!$A:$B,2,0)</f>
        <v/>
      </c>
      <c r="F1913" s="4">
        <f>SUMIFS('Dubai Stock'!I:I,'Dubai Stock'!H:H,Final_UAE!B:B)</f>
        <v/>
      </c>
      <c r="H1913" s="8" t="e">
        <v>#N/A</v>
      </c>
    </row>
    <row r="1914">
      <c r="A1914" s="4" t="n">
        <v>33834</v>
      </c>
      <c r="B1914" s="4" t="inlineStr">
        <is>
          <t>costmon-ama-lens-p02-crocodile-green-sn0350</t>
        </is>
      </c>
      <c r="C1914" s="4" t="inlineStr">
        <is>
          <t>W00031886A</t>
        </is>
      </c>
      <c r="D1914" s="6">
        <f>IF(F1914&gt;=5, F1914-5, IF(F1914&lt;5, 0, F1914))</f>
        <v/>
      </c>
      <c r="E1914">
        <f>VLOOKUP(B1914,[1]Namshi!$A:$B,2,0)</f>
        <v/>
      </c>
      <c r="F1914" s="4">
        <f>SUMIFS('Dubai Stock'!I:I,'Dubai Stock'!H:H,Final_UAE!B:B)</f>
        <v/>
      </c>
      <c r="H1914" s="8" t="e">
        <v>#N/A</v>
      </c>
      <c r="I1914" s="8" t="n"/>
    </row>
    <row r="1915">
      <c r="A1915" s="4" t="n">
        <v>33834</v>
      </c>
      <c r="B1915" s="4" t="inlineStr">
        <is>
          <t>clstmon-bio-biof-p06-sn0700</t>
        </is>
      </c>
      <c r="C1915" s="4" t="inlineStr">
        <is>
          <t>W00031886A</t>
        </is>
      </c>
      <c r="D1915" s="6">
        <f>IF(F1915&gt;=5, F1915-5, IF(F1915&lt;5, 0, F1915))</f>
        <v/>
      </c>
      <c r="E1915">
        <f>VLOOKUP(B1915,[1]Namshi!$A:$B,2,0)</f>
        <v/>
      </c>
      <c r="F1915" s="4">
        <f>SUMIFS('Dubai Stock'!I:I,'Dubai Stock'!H:H,Final_UAE!B:B)</f>
        <v/>
      </c>
      <c r="H1915" s="8" t="e">
        <v>#N/A</v>
      </c>
      <c r="I1915" s="8" t="n"/>
    </row>
    <row r="1916">
      <c r="A1916" s="4" t="n">
        <v>33834</v>
      </c>
      <c r="B1916" s="4" t="inlineStr">
        <is>
          <t>clstdai-eve-elit-p90-sn0200</t>
        </is>
      </c>
      <c r="C1916" s="4" t="inlineStr">
        <is>
          <t>W00031886A</t>
        </is>
      </c>
      <c r="D1916" s="6">
        <f>IF(F1916&gt;=5, F1916-5, IF(F1916&lt;5, 0, F1916))</f>
        <v/>
      </c>
      <c r="E1916">
        <f>VLOOKUP(B1916,[1]Namshi!$A:$B,2,0)</f>
        <v/>
      </c>
      <c r="F1916" s="4">
        <f>SUMIFS('Dubai Stock'!I:I,'Dubai Stock'!H:H,Final_UAE!B:B)</f>
        <v/>
      </c>
      <c r="H1916" s="8" t="n">
        <v>729</v>
      </c>
      <c r="I1916" s="8" t="n">
        <v>357</v>
      </c>
    </row>
    <row r="1917">
      <c r="A1917" s="4" t="n">
        <v>33834</v>
      </c>
      <c r="B1917" s="4" t="inlineStr">
        <is>
          <t>clstdai-acu-dfvi-p60-sn0800</t>
        </is>
      </c>
      <c r="C1917" s="4" t="inlineStr">
        <is>
          <t>W00031886A</t>
        </is>
      </c>
      <c r="D1917" s="6">
        <f>IF(F1917&gt;=5, F1917-5, IF(F1917&lt;5, 0, F1917))</f>
        <v/>
      </c>
      <c r="E1917">
        <f>VLOOKUP(B1917,[1]Namshi!$A:$B,2,0)</f>
        <v/>
      </c>
      <c r="F1917" s="4">
        <f>SUMIFS('Dubai Stock'!I:I,'Dubai Stock'!H:H,Final_UAE!B:B)</f>
        <v/>
      </c>
      <c r="H1917" s="8" t="e">
        <v>#N/A</v>
      </c>
      <c r="I1917" s="8" t="n"/>
    </row>
    <row r="1918">
      <c r="A1918" s="4" t="n">
        <v>33834</v>
      </c>
      <c r="B1918" s="4" t="inlineStr">
        <is>
          <t>clstbiw-acu-0002-p18-sn0575</t>
        </is>
      </c>
      <c r="C1918" s="4" t="inlineStr">
        <is>
          <t>W00031886A</t>
        </is>
      </c>
      <c r="D1918" s="6">
        <f>IF(F1918&gt;=5, F1918-5, IF(F1918&lt;5, 0, F1918))</f>
        <v/>
      </c>
      <c r="E1918">
        <f>VLOOKUP(B1918,[1]Namshi!$A:$B,2,0)</f>
        <v/>
      </c>
      <c r="F1918" s="4">
        <f>SUMIFS('Dubai Stock'!I:I,'Dubai Stock'!H:H,Final_UAE!B:B)</f>
        <v/>
      </c>
      <c r="H1918" s="8" t="e">
        <v>#N/A</v>
      </c>
      <c r="I1918" s="8" t="n"/>
    </row>
    <row r="1919">
      <c r="A1919" s="4" t="n">
        <v>33834</v>
      </c>
      <c r="B1919" s="4" t="inlineStr">
        <is>
          <t>clstdai-acu-dfvi-p30-sn0125</t>
        </is>
      </c>
      <c r="C1919" s="4" t="inlineStr">
        <is>
          <t>W00031886A</t>
        </is>
      </c>
      <c r="D1919" s="6">
        <f>IF(F1919&gt;=5, F1919-5, IF(F1919&lt;5, 0, F1919))</f>
        <v/>
      </c>
      <c r="E1919">
        <f>VLOOKUP(B1919,[1]Namshi!$A:$B,2,0)</f>
        <v/>
      </c>
      <c r="F1919" s="4">
        <f>SUMIFS('Dubai Stock'!I:I,'Dubai Stock'!H:H,Final_UAE!B:B)</f>
        <v/>
      </c>
      <c r="H1919" s="8" t="e">
        <v>#N/A</v>
      </c>
      <c r="I1919" s="8" t="n"/>
    </row>
    <row r="1920">
      <c r="A1920" s="4" t="n">
        <v>33834</v>
      </c>
      <c r="B1920" s="4" t="inlineStr">
        <is>
          <t>clstdai-acu-dfvi-p90-sn0350</t>
        </is>
      </c>
      <c r="C1920" s="4" t="inlineStr">
        <is>
          <t>W00031886A</t>
        </is>
      </c>
      <c r="D1920" s="6">
        <f>IF(F1920&gt;=5, F1920-5, IF(F1920&lt;5, 0, F1920))</f>
        <v/>
      </c>
      <c r="E1920">
        <f>VLOOKUP(B1920,[1]Namshi!$A:$B,2,0)</f>
        <v/>
      </c>
      <c r="F1920" s="4">
        <f>SUMIFS('Dubai Stock'!I:I,'Dubai Stock'!H:H,Final_UAE!B:B)</f>
        <v/>
      </c>
      <c r="H1920" s="8" t="e">
        <v>#N/A</v>
      </c>
      <c r="I1920" s="8" t="n"/>
    </row>
    <row r="1921">
      <c r="A1921" s="4" t="n">
        <v>33834</v>
      </c>
      <c r="B1921" s="4" t="inlineStr">
        <is>
          <t>sc50202-bab-000527-0202-48</t>
        </is>
      </c>
      <c r="C1921" s="4" t="inlineStr">
        <is>
          <t>W00031886A</t>
        </is>
      </c>
      <c r="D1921" s="6">
        <f>IF(F1921&gt;=5, F1921-5, IF(F1921&lt;5, 0, F1921))</f>
        <v/>
      </c>
      <c r="E1921">
        <f>VLOOKUP(B1921,[1]Namshi!$A:$B,2,0)</f>
        <v/>
      </c>
      <c r="F1921" s="4">
        <f>SUMIFS('Dubai Stock'!I:I,'Dubai Stock'!H:H,Final_UAE!B:B)</f>
        <v/>
      </c>
      <c r="H1921" s="8" t="e">
        <v>#N/A</v>
      </c>
    </row>
    <row r="1922">
      <c r="A1922" s="4" t="n">
        <v>33834</v>
      </c>
      <c r="B1922" s="4" t="inlineStr">
        <is>
          <t>costdai-acu-dffr-p30-green-sn0700</t>
        </is>
      </c>
      <c r="C1922" s="4" t="inlineStr">
        <is>
          <t>W00031886A</t>
        </is>
      </c>
      <c r="D1922" s="6">
        <f>IF(F1922&gt;=5, F1922-5, IF(F1922&lt;5, 0, F1922))</f>
        <v/>
      </c>
      <c r="E1922">
        <f>VLOOKUP(B1922,[1]Namshi!$A:$B,2,0)</f>
        <v/>
      </c>
      <c r="F1922" s="4">
        <f>SUMIFS('Dubai Stock'!I:I,'Dubai Stock'!H:H,Final_UAE!B:B)</f>
        <v/>
      </c>
      <c r="H1922" s="8" t="e">
        <v>#N/A</v>
      </c>
      <c r="I1922" s="8" t="n"/>
    </row>
    <row r="1923">
      <c r="A1923" s="4" t="n">
        <v>33834</v>
      </c>
      <c r="B1923" s="4" t="inlineStr">
        <is>
          <t>costdai-acu-dffr-p30-rose-sn0500</t>
        </is>
      </c>
      <c r="C1923" s="4" t="inlineStr">
        <is>
          <t>W00031886A</t>
        </is>
      </c>
      <c r="D1923" s="6">
        <f>IF(F1923&gt;=5, F1923-5, IF(F1923&lt;5, 0, F1923))</f>
        <v/>
      </c>
      <c r="E1923">
        <f>VLOOKUP(B1923,[1]Namshi!$A:$B,2,0)</f>
        <v/>
      </c>
      <c r="F1923" s="4">
        <f>SUMIFS('Dubai Stock'!I:I,'Dubai Stock'!H:H,Final_UAE!B:B)</f>
        <v/>
      </c>
      <c r="H1923" s="8" t="e">
        <v>#N/A</v>
      </c>
      <c r="I1923" s="8" t="n"/>
    </row>
    <row r="1924">
      <c r="A1924" s="4" t="n">
        <v>33834</v>
      </c>
      <c r="B1924" s="4" t="inlineStr">
        <is>
          <t>clstdai-eve-elit-p90-sp0750</t>
        </is>
      </c>
      <c r="C1924" s="4" t="inlineStr">
        <is>
          <t>W00031886A</t>
        </is>
      </c>
      <c r="D1924" s="6">
        <f>IF(F1924&gt;=5, F1924-5, IF(F1924&lt;5, 0, F1924))</f>
        <v/>
      </c>
      <c r="E1924">
        <f>VLOOKUP(B1924,[1]Namshi!$A:$B,2,0)</f>
        <v/>
      </c>
      <c r="F1924" s="4">
        <f>SUMIFS('Dubai Stock'!I:I,'Dubai Stock'!H:H,Final_UAE!B:B)</f>
        <v/>
      </c>
      <c r="H1924" s="8" t="n">
        <v>729</v>
      </c>
      <c r="I1924" s="8" t="n">
        <v>357</v>
      </c>
    </row>
    <row r="1925">
      <c r="A1925" s="4" t="n">
        <v>33834</v>
      </c>
      <c r="B1925" s="4" t="inlineStr">
        <is>
          <t>clstdai-acu-mois-p30-sn0950</t>
        </is>
      </c>
      <c r="C1925" s="4" t="inlineStr">
        <is>
          <t>W00031886A</t>
        </is>
      </c>
      <c r="D1925" s="6">
        <f>IF(F1925&gt;=5, F1925-5, IF(F1925&lt;5, 0, F1925))</f>
        <v/>
      </c>
      <c r="E1925">
        <f>VLOOKUP(B1925,[1]Namshi!$A:$B,2,0)</f>
        <v/>
      </c>
      <c r="F1925" s="4">
        <f>SUMIFS('Dubai Stock'!I:I,'Dubai Stock'!H:H,Final_UAE!B:B)</f>
        <v/>
      </c>
      <c r="H1925" s="8" t="e">
        <v>#N/A</v>
      </c>
      <c r="I1925" s="8" t="n"/>
    </row>
    <row r="1926">
      <c r="A1926" s="4" t="n">
        <v>33834</v>
      </c>
      <c r="B1926" s="4" t="inlineStr">
        <is>
          <t>clstmon-sof-sl59-p06-sn0525</t>
        </is>
      </c>
      <c r="C1926" s="4" t="inlineStr">
        <is>
          <t>W00031886A</t>
        </is>
      </c>
      <c r="D1926" s="6">
        <f>IF(F1926&gt;=5, F1926-5, IF(F1926&lt;5, 0, F1926))</f>
        <v/>
      </c>
      <c r="E1926">
        <f>VLOOKUP(B1926,[1]Namshi!$A:$B,2,0)</f>
        <v/>
      </c>
      <c r="F1926" s="4">
        <f>SUMIFS('Dubai Stock'!I:I,'Dubai Stock'!H:H,Final_UAE!B:B)</f>
        <v/>
      </c>
      <c r="H1926" s="8" t="e">
        <v>#N/A</v>
      </c>
      <c r="I1926" s="8" t="n"/>
    </row>
    <row r="1927">
      <c r="A1927" s="4" t="n">
        <v>33834</v>
      </c>
      <c r="B1927" s="4" t="inlineStr">
        <is>
          <t>clstdai-dai-aqua-p90-sn0600</t>
        </is>
      </c>
      <c r="C1927" s="4" t="inlineStr">
        <is>
          <t>W00031886A</t>
        </is>
      </c>
      <c r="D1927" s="6">
        <f>IF(F1927&gt;=5, F1927-5, IF(F1927&lt;5, 0, F1927))</f>
        <v/>
      </c>
      <c r="E1927">
        <f>VLOOKUP(B1927,[1]Namshi!$A:$B,2,0)</f>
        <v/>
      </c>
      <c r="F1927" s="4">
        <f>SUMIFS('Dubai Stock'!I:I,'Dubai Stock'!H:H,Final_UAE!B:B)</f>
        <v/>
      </c>
      <c r="H1927" s="8" t="e">
        <v>#N/A</v>
      </c>
      <c r="I1927" s="8" t="n"/>
    </row>
    <row r="1928">
      <c r="A1928" s="4" t="n">
        <v>33834</v>
      </c>
      <c r="B1928" s="4" t="inlineStr">
        <is>
          <t>sw70502-bla-000201-2702-52</t>
        </is>
      </c>
      <c r="C1928" s="4" t="inlineStr">
        <is>
          <t>W00031886A</t>
        </is>
      </c>
      <c r="D1928" s="6">
        <f>IF(F1928&gt;=5, F1928-5, IF(F1928&lt;5, 0, F1928))</f>
        <v/>
      </c>
      <c r="E1928">
        <f>VLOOKUP(B1928,[1]Namshi!$A:$B,2,0)</f>
        <v/>
      </c>
      <c r="F1928" s="4">
        <f>SUMIFS('Dubai Stock'!I:I,'Dubai Stock'!H:H,Final_UAE!B:B)</f>
        <v/>
      </c>
      <c r="H1928" s="8" t="e">
        <v>#N/A</v>
      </c>
    </row>
    <row r="1929">
      <c r="A1929" s="4" t="n">
        <v>33834</v>
      </c>
      <c r="B1929" s="4" t="inlineStr">
        <is>
          <t>costdai-acu-dffr-p10-honey-sn0350</t>
        </is>
      </c>
      <c r="C1929" s="4" t="inlineStr">
        <is>
          <t>W00031886A</t>
        </is>
      </c>
      <c r="D1929" s="6">
        <f>IF(F1929&gt;=5, F1929-5, IF(F1929&lt;5, 0, F1929))</f>
        <v/>
      </c>
      <c r="E1929">
        <f>VLOOKUP(B1929,[1]Namshi!$A:$B,2,0)</f>
        <v/>
      </c>
      <c r="F1929" s="4">
        <f>SUMIFS('Dubai Stock'!I:I,'Dubai Stock'!H:H,Final_UAE!B:B)</f>
        <v/>
      </c>
      <c r="H1929" s="8" t="e">
        <v>#N/A</v>
      </c>
      <c r="I1929" s="8" t="n"/>
    </row>
    <row r="1930">
      <c r="A1930" s="4" t="n">
        <v>33834</v>
      </c>
      <c r="B1930" s="4" t="inlineStr">
        <is>
          <t>cost3mo-lay-2021-p02-sunkiss-brown-sn0125</t>
        </is>
      </c>
      <c r="C1930" s="4" t="inlineStr">
        <is>
          <t>W00031886A</t>
        </is>
      </c>
      <c r="D1930" s="6">
        <f>IF(F1930&gt;=5, F1930-5, IF(F1930&lt;5, 0, F1930))</f>
        <v/>
      </c>
      <c r="E1930">
        <f>VLOOKUP(B1930,[1]Namshi!$A:$B,2,0)</f>
        <v/>
      </c>
      <c r="F1930" s="4">
        <f>SUMIFS('Dubai Stock'!I:I,'Dubai Stock'!H:H,Final_UAE!B:B)</f>
        <v/>
      </c>
      <c r="H1930" s="8" t="e">
        <v>#N/A</v>
      </c>
      <c r="I1930" s="8" t="n"/>
    </row>
    <row r="1931">
      <c r="A1931" s="4" t="n">
        <v>33834</v>
      </c>
      <c r="B1931" s="4" t="inlineStr">
        <is>
          <t>clstdai-acu-dfvi-p30-sn0700</t>
        </is>
      </c>
      <c r="C1931" s="4" t="inlineStr">
        <is>
          <t>W00031886A</t>
        </is>
      </c>
      <c r="D1931" s="6">
        <f>IF(F1931&gt;=5, F1931-5, IF(F1931&lt;5, 0, F1931))</f>
        <v/>
      </c>
      <c r="E1931">
        <f>VLOOKUP(B1931,[1]Namshi!$A:$B,2,0)</f>
        <v/>
      </c>
      <c r="F1931" s="4">
        <f>SUMIFS('Dubai Stock'!I:I,'Dubai Stock'!H:H,Final_UAE!B:B)</f>
        <v/>
      </c>
      <c r="H1931" s="8" t="e">
        <v>#N/A</v>
      </c>
      <c r="I1931" s="8" t="n"/>
    </row>
    <row r="1932">
      <c r="A1932" s="4" t="n">
        <v>33834</v>
      </c>
      <c r="B1932" s="4" t="inlineStr">
        <is>
          <t>clstdai-acu-omax-p30-sp0750</t>
        </is>
      </c>
      <c r="C1932" s="4" t="inlineStr">
        <is>
          <t>W00031886A</t>
        </is>
      </c>
      <c r="D1932" s="6">
        <f>IF(F1932&gt;=5, F1932-5, IF(F1932&lt;5, 0, F1932))</f>
        <v/>
      </c>
      <c r="E1932">
        <f>VLOOKUP(B1932,[1]Namshi!$A:$B,2,0)</f>
        <v/>
      </c>
      <c r="F1932" s="4">
        <f>SUMIFS('Dubai Stock'!I:I,'Dubai Stock'!H:H,Final_UAE!B:B)</f>
        <v/>
      </c>
      <c r="H1932" s="8" t="e">
        <v>#N/A</v>
      </c>
      <c r="I1932" s="8" t="n"/>
    </row>
    <row r="1933">
      <c r="A1933" s="4" t="n">
        <v>33834</v>
      </c>
      <c r="B1933" s="4" t="inlineStr">
        <is>
          <t>clstdai-acu-dfvi-p60-sn0050</t>
        </is>
      </c>
      <c r="C1933" s="4" t="inlineStr">
        <is>
          <t>W00031886A</t>
        </is>
      </c>
      <c r="D1933" s="6">
        <f>IF(F1933&gt;=5, F1933-5, IF(F1933&lt;5, 0, F1933))</f>
        <v/>
      </c>
      <c r="E1933">
        <f>VLOOKUP(B1933,[1]Namshi!$A:$B,2,0)</f>
        <v/>
      </c>
      <c r="F1933" s="4">
        <f>SUMIFS('Dubai Stock'!I:I,'Dubai Stock'!H:H,Final_UAE!B:B)</f>
        <v/>
      </c>
      <c r="H1933" s="8" t="e">
        <v>#N/A</v>
      </c>
      <c r="I1933" s="8" t="n"/>
    </row>
    <row r="1934">
      <c r="A1934" s="4" t="n">
        <v>33834</v>
      </c>
      <c r="B1934" s="4" t="inlineStr">
        <is>
          <t>sw30502-bla-000204-2702-66</t>
        </is>
      </c>
      <c r="C1934" s="4" t="inlineStr">
        <is>
          <t>W00031886A</t>
        </is>
      </c>
      <c r="D1934" s="6">
        <f>IF(F1934&gt;=5, F1934-5, IF(F1934&lt;5, 0, F1934))</f>
        <v/>
      </c>
      <c r="E1934">
        <f>VLOOKUP(B1934,[1]Namshi!$A:$B,2,0)</f>
        <v/>
      </c>
      <c r="F1934" s="4">
        <f>SUMIFS('Dubai Stock'!I:I,'Dubai Stock'!H:H,Final_UAE!B:B)</f>
        <v/>
      </c>
      <c r="H1934" s="8" t="e">
        <v>#N/A</v>
      </c>
    </row>
    <row r="1935">
      <c r="A1935" s="4" t="n">
        <v>33834</v>
      </c>
      <c r="B1935" s="4" t="inlineStr">
        <is>
          <t>sacchan-30s-chain127-gld-lulu-gold</t>
        </is>
      </c>
      <c r="C1935" s="4" t="inlineStr">
        <is>
          <t>W00031886A</t>
        </is>
      </c>
      <c r="D1935" s="6">
        <f>IF(F1935&gt;=5, F1935-5, IF(F1935&lt;5, 0, F1935))</f>
        <v/>
      </c>
      <c r="E1935">
        <f>VLOOKUP(B1935,[1]Namshi!$A:$B,2,0)</f>
        <v/>
      </c>
      <c r="F1935" s="4">
        <f>SUMIFS('Dubai Stock'!I:I,'Dubai Stock'!H:H,Final_UAE!B:B)</f>
        <v/>
      </c>
      <c r="H1935" s="8" t="e">
        <v>#N/A</v>
      </c>
      <c r="I1935" s="8" t="n"/>
    </row>
    <row r="1936">
      <c r="A1936" s="4" t="n">
        <v>33834</v>
      </c>
      <c r="B1936" s="4" t="inlineStr">
        <is>
          <t>cost3mo-lay-2022-p02-avena-brown-sn0375</t>
        </is>
      </c>
      <c r="C1936" s="4" t="inlineStr">
        <is>
          <t>W00031886A</t>
        </is>
      </c>
      <c r="D1936" s="6">
        <f>IF(F1936&gt;=5, F1936-5, IF(F1936&lt;5, 0, F1936))</f>
        <v/>
      </c>
      <c r="E1936">
        <f>VLOOKUP(B1936,[1]Namshi!$A:$B,2,0)</f>
        <v/>
      </c>
      <c r="F1936" s="4">
        <f>SUMIFS('Dubai Stock'!I:I,'Dubai Stock'!H:H,Final_UAE!B:B)</f>
        <v/>
      </c>
      <c r="H1936" s="8" t="e">
        <v>#N/A</v>
      </c>
      <c r="I1936" s="8" t="n"/>
    </row>
    <row r="1937">
      <c r="A1937" s="4" t="n">
        <v>33834</v>
      </c>
      <c r="B1937" s="4" t="inlineStr">
        <is>
          <t>cost3mo-lay-lens-p02-cloudy-gray-sn0400</t>
        </is>
      </c>
      <c r="C1937" s="4" t="inlineStr">
        <is>
          <t>W00031886A</t>
        </is>
      </c>
      <c r="D1937" s="6">
        <f>IF(F1937&gt;=5, F1937-5, IF(F1937&lt;5, 0, F1937))</f>
        <v/>
      </c>
      <c r="E1937">
        <f>VLOOKUP(B1937,[1]Namshi!$A:$B,2,0)</f>
        <v/>
      </c>
      <c r="F1937" s="4">
        <f>SUMIFS('Dubai Stock'!I:I,'Dubai Stock'!H:H,Final_UAE!B:B)</f>
        <v/>
      </c>
      <c r="H1937" s="8" t="e">
        <v>#N/A</v>
      </c>
      <c r="I1937" s="8" t="n"/>
    </row>
    <row r="1938">
      <c r="A1938" s="4" t="n">
        <v>33834</v>
      </c>
      <c r="B1938" s="4" t="inlineStr">
        <is>
          <t>clstbiw-acu-oasy-p06-sn0850</t>
        </is>
      </c>
      <c r="C1938" s="4" t="inlineStr">
        <is>
          <t>W00031886A</t>
        </is>
      </c>
      <c r="D1938" s="6">
        <f>IF(F1938&gt;=5, F1938-5, IF(F1938&lt;5, 0, F1938))</f>
        <v/>
      </c>
      <c r="E1938">
        <f>VLOOKUP(B1938,[1]Namshi!$A:$B,2,0)</f>
        <v/>
      </c>
      <c r="F1938" s="4">
        <f>SUMIFS('Dubai Stock'!I:I,'Dubai Stock'!H:H,Final_UAE!B:B)</f>
        <v/>
      </c>
      <c r="H1938" s="8" t="e">
        <v>#N/A</v>
      </c>
      <c r="I1938" s="8" t="n"/>
    </row>
    <row r="1939">
      <c r="A1939" s="4" t="n">
        <v>33834</v>
      </c>
      <c r="B1939" s="4" t="inlineStr">
        <is>
          <t>sw72302-bla-000231-2302-58</t>
        </is>
      </c>
      <c r="C1939" s="4" t="inlineStr">
        <is>
          <t>W00031886A</t>
        </is>
      </c>
      <c r="D1939" s="6">
        <f>IF(F1939&gt;=5, F1939-5, IF(F1939&lt;5, 0, F1939))</f>
        <v/>
      </c>
      <c r="E1939">
        <f>VLOOKUP(B1939,[1]Namshi!$A:$B,2,0)</f>
        <v/>
      </c>
      <c r="F1939" s="4">
        <f>SUMIFS('Dubai Stock'!I:I,'Dubai Stock'!H:H,Final_UAE!B:B)</f>
        <v/>
      </c>
      <c r="H1939" s="8" t="e">
        <v>#N/A</v>
      </c>
    </row>
    <row r="1940">
      <c r="A1940" s="4" t="n">
        <v>33834</v>
      </c>
      <c r="B1940" s="4" t="inlineStr">
        <is>
          <t>clstdai-eve-elit-p90-sn0350</t>
        </is>
      </c>
      <c r="C1940" s="4" t="inlineStr">
        <is>
          <t>W00031886A</t>
        </is>
      </c>
      <c r="D1940" s="6">
        <f>IF(F1940&gt;=5, F1940-5, IF(F1940&lt;5, 0, F1940))</f>
        <v/>
      </c>
      <c r="E1940">
        <f>VLOOKUP(B1940,[1]Namshi!$A:$B,2,0)</f>
        <v/>
      </c>
      <c r="F1940" s="4">
        <f>SUMIFS('Dubai Stock'!I:I,'Dubai Stock'!H:H,Final_UAE!B:B)</f>
        <v/>
      </c>
      <c r="H1940" s="8" t="n">
        <v>729</v>
      </c>
      <c r="I1940" s="8" t="n">
        <v>357</v>
      </c>
    </row>
    <row r="1941">
      <c r="A1941" s="4" t="n">
        <v>33834</v>
      </c>
      <c r="B1941" s="4" t="inlineStr">
        <is>
          <t>costdai-ama-dail-p10-moon-stone-sn0600</t>
        </is>
      </c>
      <c r="C1941" s="4" t="inlineStr">
        <is>
          <t>W00031886A</t>
        </is>
      </c>
      <c r="D1941" s="6">
        <f>IF(F1941&gt;=5, F1941-5, IF(F1941&lt;5, 0, F1941))</f>
        <v/>
      </c>
      <c r="E1941">
        <f>VLOOKUP(B1941,[1]Namshi!$A:$B,2,0)</f>
        <v/>
      </c>
      <c r="F1941" s="4">
        <f>SUMIFS('Dubai Stock'!I:I,'Dubai Stock'!H:H,Final_UAE!B:B)</f>
        <v/>
      </c>
      <c r="H1941" s="8" t="e">
        <v>#N/A</v>
      </c>
      <c r="I1941" s="8" t="n"/>
    </row>
    <row r="1942">
      <c r="A1942" s="4" t="n">
        <v>33834</v>
      </c>
      <c r="B1942" s="4" t="inlineStr">
        <is>
          <t>clstdai-dai-aqua-p90-sp0575</t>
        </is>
      </c>
      <c r="C1942" s="4" t="inlineStr">
        <is>
          <t>W00031886A</t>
        </is>
      </c>
      <c r="D1942" s="6">
        <f>IF(F1942&gt;=5, F1942-5, IF(F1942&lt;5, 0, F1942))</f>
        <v/>
      </c>
      <c r="E1942">
        <f>VLOOKUP(B1942,[1]Namshi!$A:$B,2,0)</f>
        <v/>
      </c>
      <c r="F1942" s="4">
        <f>SUMIFS('Dubai Stock'!I:I,'Dubai Stock'!H:H,Final_UAE!B:B)</f>
        <v/>
      </c>
      <c r="H1942" s="8" t="e">
        <v>#N/A</v>
      </c>
      <c r="I1942" s="8" t="n"/>
    </row>
    <row r="1943">
      <c r="A1943" s="4" t="n">
        <v>33834</v>
      </c>
      <c r="B1943" s="4" t="inlineStr">
        <is>
          <t>clstdai-acu-dfvi-p30-sn0575</t>
        </is>
      </c>
      <c r="C1943" s="4" t="inlineStr">
        <is>
          <t>W00031886A</t>
        </is>
      </c>
      <c r="D1943" s="6">
        <f>IF(F1943&gt;=5, F1943-5, IF(F1943&lt;5, 0, F1943))</f>
        <v/>
      </c>
      <c r="E1943">
        <f>VLOOKUP(B1943,[1]Namshi!$A:$B,2,0)</f>
        <v/>
      </c>
      <c r="F1943" s="4">
        <f>SUMIFS('Dubai Stock'!I:I,'Dubai Stock'!H:H,Final_UAE!B:B)</f>
        <v/>
      </c>
      <c r="H1943" s="8" t="e">
        <v>#N/A</v>
      </c>
      <c r="I1943" s="8" t="n"/>
    </row>
    <row r="1944">
      <c r="A1944" s="4" t="n">
        <v>33834</v>
      </c>
      <c r="B1944" s="4" t="inlineStr">
        <is>
          <t>sw30402-30s-000273-0402-54</t>
        </is>
      </c>
      <c r="C1944" s="4" t="inlineStr">
        <is>
          <t>W00031886A</t>
        </is>
      </c>
      <c r="D1944" s="6">
        <f>IF(F1944&gt;=5, F1944-5, IF(F1944&lt;5, 0, F1944))</f>
        <v/>
      </c>
      <c r="E1944">
        <f>VLOOKUP(B1944,[1]Namshi!$A:$B,2,0)</f>
        <v/>
      </c>
      <c r="F1944" s="4">
        <f>SUMIFS('Dubai Stock'!I:I,'Dubai Stock'!H:H,Final_UAE!B:B)</f>
        <v/>
      </c>
      <c r="H1944" s="8" t="e">
        <v>#N/A</v>
      </c>
    </row>
    <row r="1945">
      <c r="A1945" s="4" t="n">
        <v>33834</v>
      </c>
      <c r="B1945" s="4" t="inlineStr">
        <is>
          <t>costmon-ama-2024-p02-nmr-sp0000</t>
        </is>
      </c>
      <c r="C1945" s="4" t="inlineStr">
        <is>
          <t>W00031886A</t>
        </is>
      </c>
      <c r="D1945" s="6">
        <f>IF(F1945&gt;=5, F1945-5, IF(F1945&lt;5, 0, F1945))</f>
        <v/>
      </c>
      <c r="E1945">
        <f>VLOOKUP(B1945,[1]Namshi!$A:$B,2,0)</f>
        <v/>
      </c>
      <c r="F1945" s="4">
        <f>SUMIFS('Dubai Stock'!I:I,'Dubai Stock'!H:H,Final_UAE!B:B)</f>
        <v/>
      </c>
      <c r="H1945" s="8" t="e">
        <v>#N/A</v>
      </c>
      <c r="I1945" s="8" t="n"/>
    </row>
    <row r="1946">
      <c r="A1946" s="4" t="n">
        <v>33834</v>
      </c>
      <c r="B1946" s="4" t="inlineStr">
        <is>
          <t>costdai-ama-dail-p10-amber-sn0900</t>
        </is>
      </c>
      <c r="C1946" s="4" t="inlineStr">
        <is>
          <t>W00031886A</t>
        </is>
      </c>
      <c r="D1946" s="6">
        <f>IF(F1946&gt;=5, F1946-5, IF(F1946&lt;5, 0, F1946))</f>
        <v/>
      </c>
      <c r="E1946">
        <f>VLOOKUP(B1946,[1]Namshi!$A:$B,2,0)</f>
        <v/>
      </c>
      <c r="F1946" s="4">
        <f>SUMIFS('Dubai Stock'!I:I,'Dubai Stock'!H:H,Final_UAE!B:B)</f>
        <v/>
      </c>
      <c r="H1946" s="8" t="e">
        <v>#N/A</v>
      </c>
      <c r="I1946" s="8" t="n"/>
    </row>
    <row r="1947">
      <c r="A1947" s="4" t="n">
        <v>33834</v>
      </c>
      <c r="B1947" s="4" t="inlineStr">
        <is>
          <t>sm40102-30s-000289-0102-57</t>
        </is>
      </c>
      <c r="C1947" s="4" t="inlineStr">
        <is>
          <t>W00031886A</t>
        </is>
      </c>
      <c r="D1947" s="6">
        <f>IF(F1947&gt;=5, F1947-5, IF(F1947&lt;5, 0, F1947))</f>
        <v/>
      </c>
      <c r="E1947">
        <f>VLOOKUP(B1947,[1]Namshi!$A:$B,2,0)</f>
        <v/>
      </c>
      <c r="F1947" s="4">
        <f>SUMIFS('Dubai Stock'!I:I,'Dubai Stock'!H:H,Final_UAE!B:B)</f>
        <v/>
      </c>
      <c r="H1947" s="8" t="e">
        <v>#N/A</v>
      </c>
    </row>
    <row r="1948">
      <c r="A1948" s="4" t="n">
        <v>33834</v>
      </c>
      <c r="B1948" s="4" t="inlineStr">
        <is>
          <t>costmon-ama-lens-p02-mocca-sn0450</t>
        </is>
      </c>
      <c r="C1948" s="4" t="inlineStr">
        <is>
          <t>W00031886A</t>
        </is>
      </c>
      <c r="D1948" s="6">
        <f>IF(F1948&gt;=5, F1948-5, IF(F1948&lt;5, 0, F1948))</f>
        <v/>
      </c>
      <c r="E1948">
        <f>VLOOKUP(B1948,[1]Namshi!$A:$B,2,0)</f>
        <v/>
      </c>
      <c r="F1948" s="4">
        <f>SUMIFS('Dubai Stock'!I:I,'Dubai Stock'!H:H,Final_UAE!B:B)</f>
        <v/>
      </c>
      <c r="H1948" s="8" t="e">
        <v>#N/A</v>
      </c>
      <c r="I1948" s="8" t="n"/>
    </row>
    <row r="1949">
      <c r="A1949" s="4" t="n">
        <v>33834</v>
      </c>
      <c r="B1949" s="4" t="inlineStr">
        <is>
          <t>sacchan-30s-penelope-black</t>
        </is>
      </c>
      <c r="C1949" s="4" t="inlineStr">
        <is>
          <t>W00031886A</t>
        </is>
      </c>
      <c r="D1949" s="6">
        <f>IF(F1949&gt;=5, F1949-5, IF(F1949&lt;5, 0, F1949))</f>
        <v/>
      </c>
      <c r="E1949">
        <f>VLOOKUP(B1949,[1]Namshi!$A:$B,2,0)</f>
        <v/>
      </c>
      <c r="F1949" s="4">
        <f>SUMIFS('Dubai Stock'!I:I,'Dubai Stock'!H:H,Final_UAE!B:B)</f>
        <v/>
      </c>
      <c r="H1949" s="8" t="e">
        <v>#N/A</v>
      </c>
      <c r="I1949" s="8" t="n"/>
    </row>
    <row r="1950">
      <c r="A1950" s="4" t="n">
        <v>33834</v>
      </c>
      <c r="B1950" s="4" t="inlineStr">
        <is>
          <t>clstdai-acu-dfrb-p90-sn0200</t>
        </is>
      </c>
      <c r="C1950" s="4" t="inlineStr">
        <is>
          <t>W00031886A</t>
        </is>
      </c>
      <c r="D1950" s="6">
        <f>IF(F1950&gt;=5, F1950-5, IF(F1950&lt;5, 0, F1950))</f>
        <v/>
      </c>
      <c r="E1950">
        <f>VLOOKUP(B1950,[1]Namshi!$A:$B,2,0)</f>
        <v/>
      </c>
      <c r="F1950" s="4">
        <f>SUMIFS('Dubai Stock'!I:I,'Dubai Stock'!H:H,Final_UAE!B:B)</f>
        <v/>
      </c>
      <c r="H1950" s="8" t="e">
        <v>#N/A</v>
      </c>
      <c r="I1950" s="8" t="n"/>
    </row>
    <row r="1951">
      <c r="A1951" s="4" t="n">
        <v>33834</v>
      </c>
      <c r="B1951" s="4" t="inlineStr">
        <is>
          <t>clstdai-lay-cont-p60-dazzle-black-sn0250</t>
        </is>
      </c>
      <c r="C1951" s="4" t="inlineStr">
        <is>
          <t>W00031886A</t>
        </is>
      </c>
      <c r="D1951" s="6">
        <f>IF(F1951&gt;=5, F1951-5, IF(F1951&lt;5, 0, F1951))</f>
        <v/>
      </c>
      <c r="E1951">
        <f>VLOOKUP(B1951,[1]Namshi!$A:$B,2,0)</f>
        <v/>
      </c>
      <c r="F1951" s="4">
        <f>SUMIFS('Dubai Stock'!I:I,'Dubai Stock'!H:H,Final_UAE!B:B)</f>
        <v/>
      </c>
      <c r="H1951" s="8" t="e">
        <v>#N/A</v>
      </c>
      <c r="I1951" s="8" t="n"/>
    </row>
    <row r="1952">
      <c r="A1952" s="4" t="n">
        <v>33834</v>
      </c>
      <c r="B1952" s="4" t="inlineStr">
        <is>
          <t>clstdai-acu-mois-p120-sn0450</t>
        </is>
      </c>
      <c r="C1952" s="4" t="inlineStr">
        <is>
          <t>W00031886A</t>
        </is>
      </c>
      <c r="D1952" s="6">
        <f>IF(F1952&gt;=5, F1952-5, IF(F1952&lt;5, 0, F1952))</f>
        <v/>
      </c>
      <c r="E1952">
        <f>VLOOKUP(B1952,[1]Namshi!$A:$B,2,0)</f>
        <v/>
      </c>
      <c r="F1952" s="4">
        <f>SUMIFS('Dubai Stock'!I:I,'Dubai Stock'!H:H,Final_UAE!B:B)</f>
        <v/>
      </c>
      <c r="H1952" s="8" t="e">
        <v>#N/A</v>
      </c>
      <c r="I1952" s="8" t="n"/>
    </row>
    <row r="1953">
      <c r="A1953" s="4" t="n">
        <v>33834</v>
      </c>
      <c r="B1953" s="4" t="inlineStr">
        <is>
          <t>su72302-bla-000258-2302-60</t>
        </is>
      </c>
      <c r="C1953" s="4" t="inlineStr">
        <is>
          <t>W00031886A</t>
        </is>
      </c>
      <c r="D1953" s="6">
        <f>IF(F1953&gt;=5, F1953-5, IF(F1953&lt;5, 0, F1953))</f>
        <v/>
      </c>
      <c r="E1953">
        <f>VLOOKUP(B1953,[1]Namshi!$A:$B,2,0)</f>
        <v/>
      </c>
      <c r="F1953" s="4">
        <f>SUMIFS('Dubai Stock'!I:I,'Dubai Stock'!H:H,Final_UAE!B:B)</f>
        <v/>
      </c>
      <c r="H1953" s="8" t="e">
        <v>#N/A</v>
      </c>
    </row>
    <row r="1954">
      <c r="A1954" s="4" t="n">
        <v>33834</v>
      </c>
      <c r="B1954" s="4" t="inlineStr">
        <is>
          <t>clstdai-acu-omax-p90-sp0450</t>
        </is>
      </c>
      <c r="C1954" s="4" t="inlineStr">
        <is>
          <t>W00031886A</t>
        </is>
      </c>
      <c r="D1954" s="6">
        <f>IF(F1954&gt;=5, F1954-5, IF(F1954&lt;5, 0, F1954))</f>
        <v/>
      </c>
      <c r="E1954">
        <f>VLOOKUP(B1954,[1]Namshi!$A:$B,2,0)</f>
        <v/>
      </c>
      <c r="F1954" s="4">
        <f>SUMIFS('Dubai Stock'!I:I,'Dubai Stock'!H:H,Final_UAE!B:B)</f>
        <v/>
      </c>
      <c r="H1954" s="8" t="e">
        <v>#N/A</v>
      </c>
      <c r="I1954" s="8" t="n"/>
    </row>
    <row r="1955">
      <c r="A1955" s="4" t="n">
        <v>33834</v>
      </c>
      <c r="B1955" s="4" t="inlineStr">
        <is>
          <t>sacchan-30s-chain143-blk-juno-black</t>
        </is>
      </c>
      <c r="C1955" s="4" t="inlineStr">
        <is>
          <t>W00031886A</t>
        </is>
      </c>
      <c r="D1955" s="6">
        <f>IF(F1955&gt;=5, F1955-5, IF(F1955&lt;5, 0, F1955))</f>
        <v/>
      </c>
      <c r="E1955">
        <f>VLOOKUP(B1955,[1]Namshi!$A:$B,2,0)</f>
        <v/>
      </c>
      <c r="F1955" s="4">
        <f>SUMIFS('Dubai Stock'!I:I,'Dubai Stock'!H:H,Final_UAE!B:B)</f>
        <v/>
      </c>
      <c r="H1955" s="8" t="e">
        <v>#N/A</v>
      </c>
      <c r="I1955" s="8" t="n"/>
    </row>
    <row r="1956">
      <c r="A1956" s="4" t="n">
        <v>33834</v>
      </c>
      <c r="B1956" s="4" t="inlineStr">
        <is>
          <t>costdai-acu-dffr-p30-hazel-sn0050</t>
        </is>
      </c>
      <c r="C1956" s="4" t="inlineStr">
        <is>
          <t>W00031886A</t>
        </is>
      </c>
      <c r="D1956" s="6">
        <f>IF(F1956&gt;=5, F1956-5, IF(F1956&lt;5, 0, F1956))</f>
        <v/>
      </c>
      <c r="E1956">
        <f>VLOOKUP(B1956,[1]Namshi!$A:$B,2,0)</f>
        <v/>
      </c>
      <c r="F1956" s="4">
        <f>SUMIFS('Dubai Stock'!I:I,'Dubai Stock'!H:H,Final_UAE!B:B)</f>
        <v/>
      </c>
      <c r="H1956" s="8" t="e">
        <v>#N/A</v>
      </c>
      <c r="I1956" s="8" t="n"/>
    </row>
    <row r="1957">
      <c r="A1957" s="4" t="n">
        <v>33834</v>
      </c>
      <c r="B1957" s="4" t="inlineStr">
        <is>
          <t>clstdai-acu-omax-p30-sp0700</t>
        </is>
      </c>
      <c r="C1957" s="4" t="inlineStr">
        <is>
          <t>W00031886A</t>
        </is>
      </c>
      <c r="D1957" s="6">
        <f>IF(F1957&gt;=5, F1957-5, IF(F1957&lt;5, 0, F1957))</f>
        <v/>
      </c>
      <c r="E1957">
        <f>VLOOKUP(B1957,[1]Namshi!$A:$B,2,0)</f>
        <v/>
      </c>
      <c r="F1957" s="4">
        <f>SUMIFS('Dubai Stock'!I:I,'Dubai Stock'!H:H,Final_UAE!B:B)</f>
        <v/>
      </c>
      <c r="H1957" s="8" t="e">
        <v>#N/A</v>
      </c>
      <c r="I1957" s="8" t="n"/>
    </row>
    <row r="1958">
      <c r="A1958" s="4" t="n">
        <v>33834</v>
      </c>
      <c r="B1958" s="4" t="inlineStr">
        <is>
          <t>clstbiw-acu-oasy-p06-sn0750</t>
        </is>
      </c>
      <c r="C1958" s="4" t="inlineStr">
        <is>
          <t>W00031886A</t>
        </is>
      </c>
      <c r="D1958" s="6">
        <f>IF(F1958&gt;=5, F1958-5, IF(F1958&lt;5, 0, F1958))</f>
        <v/>
      </c>
      <c r="E1958">
        <f>VLOOKUP(B1958,[1]Namshi!$A:$B,2,0)</f>
        <v/>
      </c>
      <c r="F1958" s="4">
        <f>SUMIFS('Dubai Stock'!I:I,'Dubai Stock'!H:H,Final_UAE!B:B)</f>
        <v/>
      </c>
      <c r="H1958" s="8" t="e">
        <v>#N/A</v>
      </c>
      <c r="I1958" s="8" t="n"/>
    </row>
    <row r="1959">
      <c r="A1959" s="4" t="n">
        <v>33834</v>
      </c>
      <c r="B1959" s="4" t="inlineStr">
        <is>
          <t>cost3mo-lay-2022-p02-cosmo-gray-sn0175</t>
        </is>
      </c>
      <c r="C1959" s="4" t="inlineStr">
        <is>
          <t>W00031886A</t>
        </is>
      </c>
      <c r="D1959" s="6">
        <f>IF(F1959&gt;=5, F1959-5, IF(F1959&lt;5, 0, F1959))</f>
        <v/>
      </c>
      <c r="E1959">
        <f>VLOOKUP(B1959,[1]Namshi!$A:$B,2,0)</f>
        <v/>
      </c>
      <c r="F1959" s="4">
        <f>SUMIFS('Dubai Stock'!I:I,'Dubai Stock'!H:H,Final_UAE!B:B)</f>
        <v/>
      </c>
      <c r="H1959" s="8" t="e">
        <v>#N/A</v>
      </c>
      <c r="I1959" s="8" t="n"/>
    </row>
    <row r="1960">
      <c r="A1960" s="4" t="n">
        <v>33834</v>
      </c>
      <c r="B1960" s="4" t="inlineStr">
        <is>
          <t>cost3mo-lay-2020-p02-hazel-brown-sn0600</t>
        </is>
      </c>
      <c r="C1960" s="4" t="inlineStr">
        <is>
          <t>W00031886A</t>
        </is>
      </c>
      <c r="D1960" s="6">
        <f>IF(F1960&gt;=5, F1960-5, IF(F1960&lt;5, 0, F1960))</f>
        <v/>
      </c>
      <c r="E1960">
        <f>VLOOKUP(B1960,[1]Namshi!$A:$B,2,0)</f>
        <v/>
      </c>
      <c r="F1960" s="4">
        <f>SUMIFS('Dubai Stock'!I:I,'Dubai Stock'!H:H,Final_UAE!B:B)</f>
        <v/>
      </c>
      <c r="H1960" s="8" t="e">
        <v>#N/A</v>
      </c>
      <c r="I1960" s="8" t="n"/>
    </row>
    <row r="1961">
      <c r="A1961" s="4" t="n">
        <v>33834</v>
      </c>
      <c r="B1961" s="4" t="inlineStr">
        <is>
          <t>clstdai-acu-oasy-p90-sn0500</t>
        </is>
      </c>
      <c r="C1961" s="4" t="inlineStr">
        <is>
          <t>W00031886A</t>
        </is>
      </c>
      <c r="D1961" s="6">
        <f>IF(F1961&gt;=5, F1961-5, IF(F1961&lt;5, 0, F1961))</f>
        <v/>
      </c>
      <c r="E1961">
        <f>VLOOKUP(B1961,[1]Namshi!$A:$B,2,0)</f>
        <v/>
      </c>
      <c r="F1961" s="4">
        <f>SUMIFS('Dubai Stock'!I:I,'Dubai Stock'!H:H,Final_UAE!B:B)</f>
        <v/>
      </c>
      <c r="H1961" s="8" t="e">
        <v>#N/A</v>
      </c>
      <c r="I1961" s="8" t="n"/>
    </row>
    <row r="1962">
      <c r="A1962" s="4" t="n">
        <v>33834</v>
      </c>
      <c r="B1962" s="4" t="inlineStr">
        <is>
          <t>cost3mo-lay-2021-p02-sunkiss-brown-sn0300</t>
        </is>
      </c>
      <c r="C1962" s="4" t="inlineStr">
        <is>
          <t>W00031886A</t>
        </is>
      </c>
      <c r="D1962" s="6">
        <f>IF(F1962&gt;=5, F1962-5, IF(F1962&lt;5, 0, F1962))</f>
        <v/>
      </c>
      <c r="E1962">
        <f>VLOOKUP(B1962,[1]Namshi!$A:$B,2,0)</f>
        <v/>
      </c>
      <c r="F1962" s="4">
        <f>SUMIFS('Dubai Stock'!I:I,'Dubai Stock'!H:H,Final_UAE!B:B)</f>
        <v/>
      </c>
      <c r="H1962" s="8" t="e">
        <v>#N/A</v>
      </c>
      <c r="I1962" s="8" t="n"/>
    </row>
    <row r="1963">
      <c r="A1963" s="4" t="n">
        <v>33834</v>
      </c>
      <c r="B1963" s="4" t="inlineStr">
        <is>
          <t>clstdai-lay-cont-p60-dazzle-black-sn0175</t>
        </is>
      </c>
      <c r="C1963" s="4" t="inlineStr">
        <is>
          <t>W00031886A</t>
        </is>
      </c>
      <c r="D1963" s="6">
        <f>IF(F1963&gt;=5, F1963-5, IF(F1963&lt;5, 0, F1963))</f>
        <v/>
      </c>
      <c r="E1963">
        <f>VLOOKUP(B1963,[1]Namshi!$A:$B,2,0)</f>
        <v/>
      </c>
      <c r="F1963" s="4">
        <f>SUMIFS('Dubai Stock'!I:I,'Dubai Stock'!H:H,Final_UAE!B:B)</f>
        <v/>
      </c>
      <c r="H1963" s="8" t="e">
        <v>#N/A</v>
      </c>
      <c r="I1963" s="8" t="n"/>
    </row>
    <row r="1964">
      <c r="A1964" s="4" t="n">
        <v>33834</v>
      </c>
      <c r="B1964" s="4" t="inlineStr">
        <is>
          <t>cost3mo-lay-lens-p02-forest-green-sn0550</t>
        </is>
      </c>
      <c r="C1964" s="4" t="inlineStr">
        <is>
          <t>W00031886A</t>
        </is>
      </c>
      <c r="D1964" s="6">
        <f>IF(F1964&gt;=5, F1964-5, IF(F1964&lt;5, 0, F1964))</f>
        <v/>
      </c>
      <c r="E1964">
        <f>VLOOKUP(B1964,[1]Namshi!$A:$B,2,0)</f>
        <v/>
      </c>
      <c r="F1964" s="4">
        <f>SUMIFS('Dubai Stock'!I:I,'Dubai Stock'!H:H,Final_UAE!B:B)</f>
        <v/>
      </c>
      <c r="H1964" s="8" t="e">
        <v>#N/A</v>
      </c>
      <c r="I1964" s="8" t="n"/>
    </row>
    <row r="1965">
      <c r="A1965" s="4" t="n">
        <v>33834</v>
      </c>
      <c r="B1965" s="4" t="inlineStr">
        <is>
          <t>fw32318-spc-000750-2318-53</t>
        </is>
      </c>
      <c r="C1965" s="4" t="inlineStr">
        <is>
          <t>W00031886A</t>
        </is>
      </c>
      <c r="D1965" s="6">
        <f>IF(F1965&gt;=5, F1965-5, IF(F1965&lt;5, 0, F1965))</f>
        <v/>
      </c>
      <c r="E1965">
        <f>VLOOKUP(B1965,[1]Namshi!$A:$B,2,0)</f>
        <v/>
      </c>
      <c r="F1965" s="4">
        <f>SUMIFS('Dubai Stock'!I:I,'Dubai Stock'!H:H,Final_UAE!B:B)</f>
        <v/>
      </c>
      <c r="H1965" s="8" t="e">
        <v>#N/A</v>
      </c>
      <c r="I1965" s="8" t="n"/>
    </row>
    <row r="1966">
      <c r="A1966" s="4" t="n">
        <v>33834</v>
      </c>
      <c r="B1966" s="4" t="inlineStr">
        <is>
          <t>clstdai-btr-oned-p30-sn0850</t>
        </is>
      </c>
      <c r="C1966" s="4" t="inlineStr">
        <is>
          <t>W00031886A</t>
        </is>
      </c>
      <c r="D1966" s="6">
        <f>IF(F1966&gt;=5, F1966-5, IF(F1966&lt;5, 0, F1966))</f>
        <v/>
      </c>
      <c r="E1966">
        <f>VLOOKUP(B1966,[1]Namshi!$A:$B,2,0)</f>
        <v/>
      </c>
      <c r="F1966" s="4">
        <f>SUMIFS('Dubai Stock'!I:I,'Dubai Stock'!H:H,Final_UAE!B:B)</f>
        <v/>
      </c>
      <c r="H1966" s="8" t="e">
        <v>#N/A</v>
      </c>
      <c r="I1966" s="8" t="n"/>
    </row>
    <row r="1967">
      <c r="A1967" s="4" t="n">
        <v>33834</v>
      </c>
      <c r="B1967" s="4" t="inlineStr">
        <is>
          <t>cost3mo-lay-lens-p02-cloudy-gray-sn0250</t>
        </is>
      </c>
      <c r="C1967" s="4" t="inlineStr">
        <is>
          <t>W00031886A</t>
        </is>
      </c>
      <c r="D1967" s="6">
        <f>IF(F1967&gt;=5, F1967-5, IF(F1967&lt;5, 0, F1967))</f>
        <v/>
      </c>
      <c r="E1967">
        <f>VLOOKUP(B1967,[1]Namshi!$A:$B,2,0)</f>
        <v/>
      </c>
      <c r="F1967" s="4">
        <f>SUMIFS('Dubai Stock'!I:I,'Dubai Stock'!H:H,Final_UAE!B:B)</f>
        <v/>
      </c>
      <c r="H1967" s="8" t="e">
        <v>#N/A</v>
      </c>
      <c r="I1967" s="8" t="n"/>
    </row>
    <row r="1968">
      <c r="A1968" s="4" t="n">
        <v>33834</v>
      </c>
      <c r="B1968" s="4" t="inlineStr">
        <is>
          <t>sc50202-bab-000503-0202-46</t>
        </is>
      </c>
      <c r="C1968" s="4" t="inlineStr">
        <is>
          <t>W00031886A</t>
        </is>
      </c>
      <c r="D1968" s="6">
        <f>IF(F1968&gt;=5, F1968-5, IF(F1968&lt;5, 0, F1968))</f>
        <v/>
      </c>
      <c r="E1968">
        <f>VLOOKUP(B1968,[1]Namshi!$A:$B,2,0)</f>
        <v/>
      </c>
      <c r="F1968" s="4">
        <f>SUMIFS('Dubai Stock'!I:I,'Dubai Stock'!H:H,Final_UAE!B:B)</f>
        <v/>
      </c>
      <c r="H1968" s="8" t="e">
        <v>#N/A</v>
      </c>
    </row>
    <row r="1969">
      <c r="A1969" s="4" t="n">
        <v>33834</v>
      </c>
      <c r="B1969" s="4" t="inlineStr">
        <is>
          <t>fw30418-spc-000817-0418-54</t>
        </is>
      </c>
      <c r="C1969" s="4" t="inlineStr">
        <is>
          <t>W00031886A</t>
        </is>
      </c>
      <c r="D1969" s="6">
        <f>IF(F1969&gt;=5, F1969-5, IF(F1969&lt;5, 0, F1969))</f>
        <v/>
      </c>
      <c r="E1969">
        <f>VLOOKUP(B1969,[1]Namshi!$A:$B,2,0)</f>
        <v/>
      </c>
      <c r="F1969" s="4">
        <f>SUMIFS('Dubai Stock'!I:I,'Dubai Stock'!H:H,Final_UAE!B:B)</f>
        <v/>
      </c>
      <c r="H1969" s="8" t="e">
        <v>#N/A</v>
      </c>
      <c r="I1969" s="8" t="n"/>
    </row>
    <row r="1970">
      <c r="A1970" s="4" t="n">
        <v>33834</v>
      </c>
      <c r="B1970" s="4" t="inlineStr">
        <is>
          <t>fm20718-spc-000635-0718-50</t>
        </is>
      </c>
      <c r="C1970" s="4" t="inlineStr">
        <is>
          <t>W00031886A</t>
        </is>
      </c>
      <c r="D1970" s="6">
        <f>IF(F1970&gt;=5, F1970-5, IF(F1970&lt;5, 0, F1970))</f>
        <v/>
      </c>
      <c r="E1970">
        <f>VLOOKUP(B1970,[1]Namshi!$A:$B,2,0)</f>
        <v/>
      </c>
      <c r="F1970" s="4">
        <f>SUMIFS('Dubai Stock'!I:I,'Dubai Stock'!H:H,Final_UAE!B:B)</f>
        <v/>
      </c>
      <c r="H1970" s="8" t="e">
        <v>#N/A</v>
      </c>
      <c r="I1970" s="8" t="n"/>
    </row>
    <row r="1971">
      <c r="A1971" s="4" t="n">
        <v>33834</v>
      </c>
      <c r="B1971" s="4" t="inlineStr">
        <is>
          <t>clstbiw-acu-cle-p06-sn0400</t>
        </is>
      </c>
      <c r="C1971" s="4" t="inlineStr">
        <is>
          <t>W00031886A</t>
        </is>
      </c>
      <c r="D1971" s="6">
        <f>IF(F1971&gt;=5, F1971-5, IF(F1971&lt;5, 0, F1971))</f>
        <v/>
      </c>
      <c r="E1971">
        <f>VLOOKUP(B1971,[1]Namshi!$A:$B,2,0)</f>
        <v/>
      </c>
      <c r="F1971" s="4">
        <f>SUMIFS('Dubai Stock'!I:I,'Dubai Stock'!H:H,Final_UAE!B:B)</f>
        <v/>
      </c>
      <c r="H1971" s="8" t="e">
        <v>#N/A</v>
      </c>
      <c r="I1971" s="8" t="n"/>
    </row>
    <row r="1972">
      <c r="A1972" s="4" t="n">
        <v>33834</v>
      </c>
      <c r="B1972" s="4" t="inlineStr">
        <is>
          <t>fw20918-spc-000618-0918-49</t>
        </is>
      </c>
      <c r="C1972" s="4" t="inlineStr">
        <is>
          <t>W00031886A</t>
        </is>
      </c>
      <c r="D1972" s="6">
        <f>IF(F1972&gt;=5, F1972-5, IF(F1972&lt;5, 0, F1972))</f>
        <v/>
      </c>
      <c r="E1972">
        <f>VLOOKUP(B1972,[1]Namshi!$A:$B,2,0)</f>
        <v/>
      </c>
      <c r="F1972" s="4">
        <f>SUMIFS('Dubai Stock'!I:I,'Dubai Stock'!H:H,Final_UAE!B:B)</f>
        <v/>
      </c>
      <c r="H1972" s="8" t="e">
        <v>#N/A</v>
      </c>
      <c r="I1972" s="8" t="n"/>
    </row>
    <row r="1973">
      <c r="A1973" s="4" t="n">
        <v>33834</v>
      </c>
      <c r="B1973" s="4" t="inlineStr">
        <is>
          <t>clstdai-acu-oasy-p60-sn0550</t>
        </is>
      </c>
      <c r="C1973" s="4" t="inlineStr">
        <is>
          <t>W00031886A</t>
        </is>
      </c>
      <c r="D1973" s="6">
        <f>IF(F1973&gt;=5, F1973-5, IF(F1973&lt;5, 0, F1973))</f>
        <v/>
      </c>
      <c r="E1973">
        <f>VLOOKUP(B1973,[1]Namshi!$A:$B,2,0)</f>
        <v/>
      </c>
      <c r="F1973" s="4">
        <f>SUMIFS('Dubai Stock'!I:I,'Dubai Stock'!H:H,Final_UAE!B:B)</f>
        <v/>
      </c>
      <c r="H1973" s="8" t="e">
        <v>#N/A</v>
      </c>
      <c r="I1973" s="8" t="n"/>
    </row>
    <row r="1974">
      <c r="A1974" s="4" t="n">
        <v>33834</v>
      </c>
      <c r="B1974" s="4" t="inlineStr">
        <is>
          <t>clstdai-btr-oned-p30-sp0250</t>
        </is>
      </c>
      <c r="C1974" s="4" t="inlineStr">
        <is>
          <t>W00031886A</t>
        </is>
      </c>
      <c r="D1974" s="6">
        <f>IF(F1974&gt;=5, F1974-5, IF(F1974&lt;5, 0, F1974))</f>
        <v/>
      </c>
      <c r="E1974">
        <f>VLOOKUP(B1974,[1]Namshi!$A:$B,2,0)</f>
        <v/>
      </c>
      <c r="F1974" s="4">
        <f>SUMIFS('Dubai Stock'!I:I,'Dubai Stock'!H:H,Final_UAE!B:B)</f>
        <v/>
      </c>
      <c r="H1974" s="8" t="e">
        <v>#N/A</v>
      </c>
      <c r="I1974" s="8" t="n"/>
    </row>
    <row r="1975">
      <c r="A1975" s="4" t="n">
        <v>33834</v>
      </c>
      <c r="B1975" s="4" t="inlineStr">
        <is>
          <t>clstdai-dai-aqua-p30-sp0475</t>
        </is>
      </c>
      <c r="C1975" s="4" t="inlineStr">
        <is>
          <t>W00031886A</t>
        </is>
      </c>
      <c r="D1975" s="6">
        <f>IF(F1975&gt;=5, F1975-5, IF(F1975&lt;5, 0, F1975))</f>
        <v/>
      </c>
      <c r="E1975">
        <f>VLOOKUP(B1975,[1]Namshi!$A:$B,2,0)</f>
        <v/>
      </c>
      <c r="F1975" s="4">
        <f>SUMIFS('Dubai Stock'!I:I,'Dubai Stock'!H:H,Final_UAE!B:B)</f>
        <v/>
      </c>
      <c r="H1975" s="8" t="e">
        <v>#N/A</v>
      </c>
      <c r="I1975" s="8" t="n"/>
    </row>
    <row r="1976">
      <c r="A1976" s="4" t="n">
        <v>33834</v>
      </c>
      <c r="B1976" s="4" t="inlineStr">
        <is>
          <t>sm71202-30s-000209-1202-60</t>
        </is>
      </c>
      <c r="C1976" s="4" t="inlineStr">
        <is>
          <t>W00031886A</t>
        </is>
      </c>
      <c r="D1976" s="6">
        <f>IF(F1976&gt;=5, F1976-5, IF(F1976&lt;5, 0, F1976))</f>
        <v/>
      </c>
      <c r="E1976">
        <f>VLOOKUP(B1976,[1]Namshi!$A:$B,2,0)</f>
        <v/>
      </c>
      <c r="F1976" s="4">
        <f>SUMIFS('Dubai Stock'!I:I,'Dubai Stock'!H:H,Final_UAE!B:B)</f>
        <v/>
      </c>
      <c r="H1976" s="8" t="e">
        <v>#N/A</v>
      </c>
    </row>
    <row r="1977">
      <c r="A1977" s="4" t="n">
        <v>33834</v>
      </c>
      <c r="B1977" s="4" t="inlineStr">
        <is>
          <t>clstdai-acu-mois-p90-sn0850</t>
        </is>
      </c>
      <c r="C1977" s="4" t="inlineStr">
        <is>
          <t>W00031886A</t>
        </is>
      </c>
      <c r="D1977" s="6">
        <f>IF(F1977&gt;=5, F1977-5, IF(F1977&lt;5, 0, F1977))</f>
        <v/>
      </c>
      <c r="E1977">
        <f>VLOOKUP(B1977,[1]Namshi!$A:$B,2,0)</f>
        <v/>
      </c>
      <c r="F1977" s="4">
        <f>SUMIFS('Dubai Stock'!I:I,'Dubai Stock'!H:H,Final_UAE!B:B)</f>
        <v/>
      </c>
      <c r="H1977" s="8" t="e">
        <v>#N/A</v>
      </c>
      <c r="I1977" s="8" t="n"/>
    </row>
    <row r="1978">
      <c r="A1978" s="4" t="n">
        <v>33834</v>
      </c>
      <c r="B1978" s="4" t="inlineStr">
        <is>
          <t>clstdai-dai-tot1-p30-sp0350</t>
        </is>
      </c>
      <c r="C1978" s="4" t="inlineStr">
        <is>
          <t>W00031886A</t>
        </is>
      </c>
      <c r="D1978" s="6">
        <f>IF(F1978&gt;=5, F1978-5, IF(F1978&lt;5, 0, F1978))</f>
        <v/>
      </c>
      <c r="E1978">
        <f>VLOOKUP(B1978,[1]Namshi!$A:$B,2,0)</f>
        <v/>
      </c>
      <c r="F1978" s="4">
        <f>SUMIFS('Dubai Stock'!I:I,'Dubai Stock'!H:H,Final_UAE!B:B)</f>
        <v/>
      </c>
      <c r="H1978" s="8" t="e">
        <v>#N/A</v>
      </c>
      <c r="I1978" s="8" t="n"/>
    </row>
    <row r="1979">
      <c r="A1979" s="4" t="n">
        <v>33834</v>
      </c>
      <c r="B1979" s="4" t="inlineStr">
        <is>
          <t>clstdai-acu-mois-p120-sn0700</t>
        </is>
      </c>
      <c r="C1979" s="4" t="inlineStr">
        <is>
          <t>W00031886A</t>
        </is>
      </c>
      <c r="D1979" s="6">
        <f>IF(F1979&gt;=5, F1979-5, IF(F1979&lt;5, 0, F1979))</f>
        <v/>
      </c>
      <c r="E1979">
        <f>VLOOKUP(B1979,[1]Namshi!$A:$B,2,0)</f>
        <v/>
      </c>
      <c r="F1979" s="4">
        <f>SUMIFS('Dubai Stock'!I:I,'Dubai Stock'!H:H,Final_UAE!B:B)</f>
        <v/>
      </c>
      <c r="H1979" s="8" t="e">
        <v>#N/A</v>
      </c>
      <c r="I1979" s="8" t="n"/>
    </row>
    <row r="1980">
      <c r="A1980" s="4" t="n">
        <v>33834</v>
      </c>
      <c r="B1980" s="4" t="inlineStr">
        <is>
          <t>clstdai-acu-mois-p90-sn0375</t>
        </is>
      </c>
      <c r="C1980" s="4" t="inlineStr">
        <is>
          <t>W00031886A</t>
        </is>
      </c>
      <c r="D1980" s="6">
        <f>IF(F1980&gt;=5, F1980-5, IF(F1980&lt;5, 0, F1980))</f>
        <v/>
      </c>
      <c r="E1980">
        <f>VLOOKUP(B1980,[1]Namshi!$A:$B,2,0)</f>
        <v/>
      </c>
      <c r="F1980" s="4">
        <f>SUMIFS('Dubai Stock'!I:I,'Dubai Stock'!H:H,Final_UAE!B:B)</f>
        <v/>
      </c>
      <c r="H1980" s="8" t="e">
        <v>#N/A</v>
      </c>
      <c r="I1980" s="8" t="n"/>
    </row>
    <row r="1981">
      <c r="A1981" s="4" t="n">
        <v>33834</v>
      </c>
      <c r="B1981" s="4" t="inlineStr">
        <is>
          <t>clstdai-dai-aqua-p90-sn1500</t>
        </is>
      </c>
      <c r="C1981" s="4" t="inlineStr">
        <is>
          <t>W00031886A</t>
        </is>
      </c>
      <c r="D1981" s="6">
        <f>IF(F1981&gt;=5, F1981-5, IF(F1981&lt;5, 0, F1981))</f>
        <v/>
      </c>
      <c r="E1981">
        <f>VLOOKUP(B1981,[1]Namshi!$A:$B,2,0)</f>
        <v/>
      </c>
      <c r="F1981" s="4">
        <f>SUMIFS('Dubai Stock'!I:I,'Dubai Stock'!H:H,Final_UAE!B:B)</f>
        <v/>
      </c>
      <c r="H1981" s="8" t="e">
        <v>#N/A</v>
      </c>
      <c r="I1981" s="8" t="n"/>
    </row>
    <row r="1982">
      <c r="A1982" s="4" t="n">
        <v>33834</v>
      </c>
      <c r="B1982" s="4" t="inlineStr">
        <is>
          <t>clstdai-acu-dfrb-p90-sn0500</t>
        </is>
      </c>
      <c r="C1982" s="4" t="inlineStr">
        <is>
          <t>W00031886A</t>
        </is>
      </c>
      <c r="D1982" s="6">
        <f>IF(F1982&gt;=5, F1982-5, IF(F1982&lt;5, 0, F1982))</f>
        <v/>
      </c>
      <c r="E1982">
        <f>VLOOKUP(B1982,[1]Namshi!$A:$B,2,0)</f>
        <v/>
      </c>
      <c r="F1982" s="4">
        <f>SUMIFS('Dubai Stock'!I:I,'Dubai Stock'!H:H,Final_UAE!B:B)</f>
        <v/>
      </c>
      <c r="H1982" s="8" t="e">
        <v>#N/A</v>
      </c>
      <c r="I1982" s="8" t="n"/>
    </row>
    <row r="1983">
      <c r="A1983" s="4" t="n">
        <v>33834</v>
      </c>
      <c r="B1983" s="4" t="inlineStr">
        <is>
          <t>cost3mo-lay-2023-p02-sable-brown-sn0500</t>
        </is>
      </c>
      <c r="C1983" s="4" t="inlineStr">
        <is>
          <t>W00031886A</t>
        </is>
      </c>
      <c r="D1983" s="6">
        <f>IF(F1983&gt;=5, F1983-5, IF(F1983&lt;5, 0, F1983))</f>
        <v/>
      </c>
      <c r="E1983">
        <f>VLOOKUP(B1983,[1]Namshi!$A:$B,2,0)</f>
        <v/>
      </c>
      <c r="F1983" s="4">
        <f>SUMIFS('Dubai Stock'!I:I,'Dubai Stock'!H:H,Final_UAE!B:B)</f>
        <v/>
      </c>
      <c r="H1983" s="8" t="e">
        <v>#N/A</v>
      </c>
      <c r="I1983" s="8" t="n"/>
    </row>
    <row r="1984">
      <c r="A1984" s="4" t="n">
        <v>33834</v>
      </c>
      <c r="B1984" s="4" t="inlineStr">
        <is>
          <t>sw102306-bla-000266-2306-55</t>
        </is>
      </c>
      <c r="C1984" s="4" t="inlineStr">
        <is>
          <t>W00031886A</t>
        </is>
      </c>
      <c r="D1984" s="6">
        <f>IF(F1984&gt;=5, F1984-5, IF(F1984&lt;5, 0, F1984))</f>
        <v/>
      </c>
      <c r="E1984">
        <f>VLOOKUP(B1984,[1]Namshi!$A:$B,2,0)</f>
        <v/>
      </c>
      <c r="F1984" s="4">
        <f>SUMIFS('Dubai Stock'!I:I,'Dubai Stock'!H:H,Final_UAE!B:B)</f>
        <v/>
      </c>
      <c r="H1984" s="8" t="e">
        <v>#N/A</v>
      </c>
    </row>
    <row r="1985">
      <c r="A1985" s="4" t="n">
        <v>33834</v>
      </c>
      <c r="B1985" s="4" t="inlineStr">
        <is>
          <t>clstdai-sof-sdai-p30-sn0250</t>
        </is>
      </c>
      <c r="C1985" s="4" t="inlineStr">
        <is>
          <t>W00031886A</t>
        </is>
      </c>
      <c r="D1985" s="6">
        <f>IF(F1985&gt;=5, F1985-5, IF(F1985&lt;5, 0, F1985))</f>
        <v/>
      </c>
      <c r="E1985">
        <f>VLOOKUP(B1985,[1]Namshi!$A:$B,2,0)</f>
        <v/>
      </c>
      <c r="F1985" s="4">
        <f>SUMIFS('Dubai Stock'!I:I,'Dubai Stock'!H:H,Final_UAE!B:B)</f>
        <v/>
      </c>
      <c r="H1985" s="8" t="e">
        <v>#N/A</v>
      </c>
      <c r="I1985" s="8" t="n"/>
    </row>
    <row r="1986">
      <c r="A1986" s="4" t="n">
        <v>33834</v>
      </c>
      <c r="B1986" s="4" t="inlineStr">
        <is>
          <t>clstdai-acu-omax-p30-sp0325</t>
        </is>
      </c>
      <c r="C1986" s="4" t="inlineStr">
        <is>
          <t>W00031886A</t>
        </is>
      </c>
      <c r="D1986" s="6">
        <f>IF(F1986&gt;=5, F1986-5, IF(F1986&lt;5, 0, F1986))</f>
        <v/>
      </c>
      <c r="E1986">
        <f>VLOOKUP(B1986,[1]Namshi!$A:$B,2,0)</f>
        <v/>
      </c>
      <c r="F1986" s="4">
        <f>SUMIFS('Dubai Stock'!I:I,'Dubai Stock'!H:H,Final_UAE!B:B)</f>
        <v/>
      </c>
      <c r="H1986" s="8" t="e">
        <v>#N/A</v>
      </c>
      <c r="I1986" s="8" t="n"/>
    </row>
    <row r="1987">
      <c r="A1987" s="4" t="n">
        <v>33834</v>
      </c>
      <c r="B1987" s="4" t="inlineStr">
        <is>
          <t>clstdai-acu-oasy-p60-sn0475</t>
        </is>
      </c>
      <c r="C1987" s="4" t="inlineStr">
        <is>
          <t>W00031886A</t>
        </is>
      </c>
      <c r="D1987" s="6">
        <f>IF(F1987&gt;=5, F1987-5, IF(F1987&lt;5, 0, F1987))</f>
        <v/>
      </c>
      <c r="E1987">
        <f>VLOOKUP(B1987,[1]Namshi!$A:$B,2,0)</f>
        <v/>
      </c>
      <c r="F1987" s="4">
        <f>SUMIFS('Dubai Stock'!I:I,'Dubai Stock'!H:H,Final_UAE!B:B)</f>
        <v/>
      </c>
      <c r="H1987" s="8" t="e">
        <v>#N/A</v>
      </c>
      <c r="I1987" s="8" t="n"/>
    </row>
    <row r="1988">
      <c r="A1988" s="4" t="n">
        <v>33834</v>
      </c>
      <c r="B1988" s="4" t="inlineStr">
        <is>
          <t>clstdai-acu-omax-p90-sn0100</t>
        </is>
      </c>
      <c r="C1988" s="4" t="inlineStr">
        <is>
          <t>W00031886A</t>
        </is>
      </c>
      <c r="D1988" s="6">
        <f>IF(F1988&gt;=5, F1988-5, IF(F1988&lt;5, 0, F1988))</f>
        <v/>
      </c>
      <c r="E1988">
        <f>VLOOKUP(B1988,[1]Namshi!$A:$B,2,0)</f>
        <v/>
      </c>
      <c r="F1988" s="4">
        <f>SUMIFS('Dubai Stock'!I:I,'Dubai Stock'!H:H,Final_UAE!B:B)</f>
        <v/>
      </c>
      <c r="H1988" s="8" t="e">
        <v>#N/A</v>
      </c>
      <c r="I1988" s="8" t="n"/>
    </row>
    <row r="1989">
      <c r="A1989" s="4" t="n">
        <v>33834</v>
      </c>
      <c r="B1989" s="4" t="inlineStr">
        <is>
          <t>clstdai-sof-sdai-p30-sn0125</t>
        </is>
      </c>
      <c r="C1989" s="4" t="inlineStr">
        <is>
          <t>W00031886A</t>
        </is>
      </c>
      <c r="D1989" s="6">
        <f>IF(F1989&gt;=5, F1989-5, IF(F1989&lt;5, 0, F1989))</f>
        <v/>
      </c>
      <c r="E1989">
        <f>VLOOKUP(B1989,[1]Namshi!$A:$B,2,0)</f>
        <v/>
      </c>
      <c r="F1989" s="4">
        <f>SUMIFS('Dubai Stock'!I:I,'Dubai Stock'!H:H,Final_UAE!B:B)</f>
        <v/>
      </c>
      <c r="H1989" s="8" t="e">
        <v>#N/A</v>
      </c>
      <c r="I1989" s="8" t="n"/>
    </row>
    <row r="1990">
      <c r="A1990" s="4" t="n">
        <v>33834</v>
      </c>
      <c r="B1990" s="4" t="inlineStr">
        <is>
          <t>clstdai-eve-elit-p90-sp0475</t>
        </is>
      </c>
      <c r="C1990" s="4" t="inlineStr">
        <is>
          <t>W00031886A</t>
        </is>
      </c>
      <c r="D1990" s="6">
        <f>IF(F1990&gt;=5, F1990-5, IF(F1990&lt;5, 0, F1990))</f>
        <v/>
      </c>
      <c r="E1990">
        <f>VLOOKUP(B1990,[1]Namshi!$A:$B,2,0)</f>
        <v/>
      </c>
      <c r="F1990" s="4">
        <f>SUMIFS('Dubai Stock'!I:I,'Dubai Stock'!H:H,Final_UAE!B:B)</f>
        <v/>
      </c>
      <c r="H1990" s="8" t="n">
        <v>729</v>
      </c>
      <c r="I1990" s="8" t="n">
        <v>357</v>
      </c>
    </row>
    <row r="1991">
      <c r="A1991" s="4" t="n">
        <v>33834</v>
      </c>
      <c r="B1991" s="4" t="inlineStr">
        <is>
          <t>sw20107-30s-000269-0107-51</t>
        </is>
      </c>
      <c r="C1991" s="4" t="inlineStr">
        <is>
          <t>W00031886A</t>
        </is>
      </c>
      <c r="D1991" s="6">
        <f>IF(F1991&gt;=5, F1991-5, IF(F1991&lt;5, 0, F1991))</f>
        <v/>
      </c>
      <c r="E1991">
        <f>VLOOKUP(B1991,[1]Namshi!$A:$B,2,0)</f>
        <v/>
      </c>
      <c r="F1991" s="4">
        <f>SUMIFS('Dubai Stock'!I:I,'Dubai Stock'!H:H,Final_UAE!B:B)</f>
        <v/>
      </c>
      <c r="H1991" s="8" t="e">
        <v>#N/A</v>
      </c>
    </row>
    <row r="1992">
      <c r="A1992" s="4" t="n">
        <v>33834</v>
      </c>
      <c r="B1992" s="4" t="inlineStr">
        <is>
          <t>cltodai-acu-mois-p30-sn0700-cn0075-a110</t>
        </is>
      </c>
      <c r="C1992" s="4" t="inlineStr">
        <is>
          <t>W00031886A</t>
        </is>
      </c>
      <c r="D1992" s="6">
        <f>IF(F1992&gt;=5, F1992-5, IF(F1992&lt;5, 0, F1992))</f>
        <v/>
      </c>
      <c r="E1992">
        <f>VLOOKUP(B1992,[1]Namshi!$A:$B,2,0)</f>
        <v/>
      </c>
      <c r="F1992" s="4">
        <f>SUMIFS('Dubai Stock'!I:I,'Dubai Stock'!H:H,Final_UAE!B:B)</f>
        <v/>
      </c>
      <c r="H1992" s="8" t="e">
        <v>#N/A</v>
      </c>
      <c r="I1992" s="8" t="n"/>
    </row>
    <row r="1993">
      <c r="A1993" s="4" t="n">
        <v>33834</v>
      </c>
      <c r="B1993" s="4" t="inlineStr">
        <is>
          <t>clstmon-ava-avai-p06-sn0200</t>
        </is>
      </c>
      <c r="C1993" s="4" t="inlineStr">
        <is>
          <t>W00031886A</t>
        </is>
      </c>
      <c r="D1993" s="6">
        <f>IF(F1993&gt;=5, F1993-5, IF(F1993&lt;5, 0, F1993))</f>
        <v/>
      </c>
      <c r="E1993">
        <f>VLOOKUP(B1993,[1]Namshi!$A:$B,2,0)</f>
        <v/>
      </c>
      <c r="F1993" s="4">
        <f>SUMIFS('Dubai Stock'!I:I,'Dubai Stock'!H:H,Final_UAE!B:B)</f>
        <v/>
      </c>
      <c r="H1993" s="8" t="e">
        <v>#N/A</v>
      </c>
      <c r="I1993" s="8" t="n"/>
    </row>
    <row r="1994">
      <c r="A1994" s="4" t="n">
        <v>33834</v>
      </c>
      <c r="B1994" s="4" t="inlineStr">
        <is>
          <t>cost3mo-lay-lens-p02-crystal-brown-sn0900</t>
        </is>
      </c>
      <c r="C1994" s="4" t="inlineStr">
        <is>
          <t>W00031886A</t>
        </is>
      </c>
      <c r="D1994" s="6">
        <f>IF(F1994&gt;=5, F1994-5, IF(F1994&lt;5, 0, F1994))</f>
        <v/>
      </c>
      <c r="E1994">
        <f>VLOOKUP(B1994,[1]Namshi!$A:$B,2,0)</f>
        <v/>
      </c>
      <c r="F1994" s="4">
        <f>SUMIFS('Dubai Stock'!I:I,'Dubai Stock'!H:H,Final_UAE!B:B)</f>
        <v/>
      </c>
      <c r="H1994" s="8" t="e">
        <v>#N/A</v>
      </c>
      <c r="I1994" s="8" t="n"/>
    </row>
    <row r="1995">
      <c r="A1995" s="4" t="n">
        <v>33834</v>
      </c>
      <c r="B1995" s="4" t="inlineStr">
        <is>
          <t>sw42404-30s-000300-2404-50</t>
        </is>
      </c>
      <c r="C1995" s="4" t="inlineStr">
        <is>
          <t>W00031886A</t>
        </is>
      </c>
      <c r="D1995" s="6">
        <f>IF(F1995&gt;=5, F1995-5, IF(F1995&lt;5, 0, F1995))</f>
        <v/>
      </c>
      <c r="E1995">
        <f>VLOOKUP(B1995,[1]Namshi!$A:$B,2,0)</f>
        <v/>
      </c>
      <c r="F1995" s="4">
        <f>SUMIFS('Dubai Stock'!I:I,'Dubai Stock'!H:H,Final_UAE!B:B)</f>
        <v/>
      </c>
      <c r="H1995" s="8" t="e">
        <v>#N/A</v>
      </c>
    </row>
    <row r="1996">
      <c r="A1996" s="4" t="n">
        <v>33834</v>
      </c>
      <c r="B1996" s="4" t="inlineStr">
        <is>
          <t>sm100707-30s-000303-0707-52</t>
        </is>
      </c>
      <c r="C1996" s="4" t="inlineStr">
        <is>
          <t>W00031886A</t>
        </is>
      </c>
      <c r="D1996" s="6">
        <f>IF(F1996&gt;=5, F1996-5, IF(F1996&lt;5, 0, F1996))</f>
        <v/>
      </c>
      <c r="E1996">
        <f>VLOOKUP(B1996,[1]Namshi!$A:$B,2,0)</f>
        <v/>
      </c>
      <c r="F1996" s="4">
        <f>SUMIFS('Dubai Stock'!I:I,'Dubai Stock'!H:H,Final_UAE!B:B)</f>
        <v/>
      </c>
      <c r="H1996" s="8" t="e">
        <v>#N/A</v>
      </c>
    </row>
    <row r="1997">
      <c r="A1997" s="4" t="n">
        <v>33834</v>
      </c>
      <c r="B1997" s="4" t="inlineStr">
        <is>
          <t>sm50404-30s-000221-0102-52</t>
        </is>
      </c>
      <c r="C1997" s="4" t="inlineStr">
        <is>
          <t>W00031886A</t>
        </is>
      </c>
      <c r="D1997" s="6">
        <f>IF(F1997&gt;=5, F1997-5, IF(F1997&lt;5, 0, F1997))</f>
        <v/>
      </c>
      <c r="E1997">
        <f>VLOOKUP(B1997,[1]Namshi!$A:$B,2,0)</f>
        <v/>
      </c>
      <c r="F1997" s="4">
        <f>SUMIFS('Dubai Stock'!I:I,'Dubai Stock'!H:H,Final_UAE!B:B)</f>
        <v/>
      </c>
      <c r="H1997" s="8" t="e">
        <v>#N/A</v>
      </c>
      <c r="I1997" s="8" t="n"/>
    </row>
    <row r="1998">
      <c r="A1998" s="4" t="n">
        <v>33834</v>
      </c>
      <c r="B1998" s="4" t="inlineStr">
        <is>
          <t>sm40107-30s-000214-0107-51</t>
        </is>
      </c>
      <c r="C1998" s="4" t="inlineStr">
        <is>
          <t>W00031886A</t>
        </is>
      </c>
      <c r="D1998" s="6">
        <f>IF(F1998&gt;=5, F1998-5, IF(F1998&lt;5, 0, F1998))</f>
        <v/>
      </c>
      <c r="E1998">
        <f>VLOOKUP(B1998,[1]Namshi!$A:$B,2,0)</f>
        <v/>
      </c>
      <c r="F1998" s="4">
        <f>SUMIFS('Dubai Stock'!I:I,'Dubai Stock'!H:H,Final_UAE!B:B)</f>
        <v/>
      </c>
      <c r="H1998" s="8" t="e">
        <v>#N/A</v>
      </c>
    </row>
    <row r="1999">
      <c r="A1999" s="4" t="n">
        <v>33834</v>
      </c>
      <c r="B1999" s="4" t="inlineStr">
        <is>
          <t>sw50606-30s-000231-0304-63</t>
        </is>
      </c>
      <c r="C1999" s="4" t="inlineStr">
        <is>
          <t>W00031886A</t>
        </is>
      </c>
      <c r="D1999" s="6">
        <f>IF(F1999&gt;=5, F1999-5, IF(F1999&lt;5, 0, F1999))</f>
        <v/>
      </c>
      <c r="E1999">
        <f>VLOOKUP(B1999,[1]Namshi!$A:$B,2,0)</f>
        <v/>
      </c>
      <c r="F1999" s="4">
        <f>SUMIFS('Dubai Stock'!I:I,'Dubai Stock'!H:H,Final_UAE!B:B)</f>
        <v/>
      </c>
      <c r="H1999" s="8" t="e">
        <v>#N/A</v>
      </c>
    </row>
    <row r="2000">
      <c r="A2000" s="4" t="n">
        <v>33834</v>
      </c>
      <c r="B2000" s="4" t="inlineStr">
        <is>
          <t>su40707-30s-00416-0707p-54</t>
        </is>
      </c>
      <c r="C2000" s="4" t="inlineStr">
        <is>
          <t>W00031886A</t>
        </is>
      </c>
      <c r="D2000" s="6">
        <f>IF(F2000&gt;=5, F2000-5, IF(F2000&lt;5, 0, F2000))</f>
        <v/>
      </c>
      <c r="E2000">
        <f>VLOOKUP(B2000,[1]Namshi!$A:$B,2,0)</f>
        <v/>
      </c>
      <c r="F2000" s="4">
        <f>SUMIFS('Dubai Stock'!I:I,'Dubai Stock'!H:H,Final_UAE!B:B)</f>
        <v/>
      </c>
      <c r="H2000" s="8" t="e">
        <v>#N/A</v>
      </c>
    </row>
    <row r="2001">
      <c r="A2001" s="4" t="n">
        <v>33834</v>
      </c>
      <c r="B2001" s="4" t="inlineStr">
        <is>
          <t>clstdai-acu-dfna-p60-sn0300</t>
        </is>
      </c>
      <c r="C2001" s="4" t="inlineStr">
        <is>
          <t>W00031886A</t>
        </is>
      </c>
      <c r="D2001" s="6">
        <f>IF(F2001&gt;=5, F2001-5, IF(F2001&lt;5, 0, F2001))</f>
        <v/>
      </c>
      <c r="E2001">
        <f>VLOOKUP(B2001,[1]Namshi!$A:$B,2,0)</f>
        <v/>
      </c>
      <c r="F2001" s="4">
        <f>SUMIFS('Dubai Stock'!I:I,'Dubai Stock'!H:H,Final_UAE!B:B)</f>
        <v/>
      </c>
      <c r="H2001" s="8" t="e">
        <v>#N/A</v>
      </c>
      <c r="I2001" s="8" t="n"/>
    </row>
    <row r="2002">
      <c r="A2002" s="4" t="n">
        <v>33834</v>
      </c>
      <c r="B2002" s="4" t="inlineStr">
        <is>
          <t>clstdai-lay-cont-p30-dazzle-brown-sn0325</t>
        </is>
      </c>
      <c r="C2002" s="4" t="inlineStr">
        <is>
          <t>W00031886A</t>
        </is>
      </c>
      <c r="D2002" s="6">
        <f>IF(F2002&gt;=5, F2002-5, IF(F2002&lt;5, 0, F2002))</f>
        <v/>
      </c>
      <c r="E2002">
        <f>VLOOKUP(B2002,[1]Namshi!$A:$B,2,0)</f>
        <v/>
      </c>
      <c r="F2002" s="4">
        <f>SUMIFS('Dubai Stock'!I:I,'Dubai Stock'!H:H,Final_UAE!B:B)</f>
        <v/>
      </c>
      <c r="H2002" s="8" t="e">
        <v>#N/A</v>
      </c>
      <c r="I2002" s="8" t="n"/>
    </row>
    <row r="2003">
      <c r="A2003" s="4" t="n">
        <v>33834</v>
      </c>
      <c r="B2003" s="4" t="inlineStr">
        <is>
          <t>costmon-ama-2020-p02-pure-hazel-sn0350</t>
        </is>
      </c>
      <c r="C2003" s="4" t="inlineStr">
        <is>
          <t>W00031886A</t>
        </is>
      </c>
      <c r="D2003" s="6">
        <f>IF(F2003&gt;=5, F2003-5, IF(F2003&lt;5, 0, F2003))</f>
        <v/>
      </c>
      <c r="E2003">
        <f>VLOOKUP(B2003,[1]Namshi!$A:$B,2,0)</f>
        <v/>
      </c>
      <c r="F2003" s="4">
        <f>SUMIFS('Dubai Stock'!I:I,'Dubai Stock'!H:H,Final_UAE!B:B)</f>
        <v/>
      </c>
      <c r="H2003" s="8" t="e">
        <v>#N/A</v>
      </c>
      <c r="I2003" s="8" t="n"/>
    </row>
    <row r="2004">
      <c r="A2004" s="4" t="n">
        <v>33834</v>
      </c>
      <c r="B2004" s="4" t="inlineStr">
        <is>
          <t>costmon-ama-2020-p02-pure-hazel-sn0300</t>
        </is>
      </c>
      <c r="C2004" s="4" t="inlineStr">
        <is>
          <t>W00031886A</t>
        </is>
      </c>
      <c r="D2004" s="6">
        <f>IF(F2004&gt;=5, F2004-5, IF(F2004&lt;5, 0, F2004))</f>
        <v/>
      </c>
      <c r="E2004">
        <f>VLOOKUP(B2004,[1]Namshi!$A:$B,2,0)</f>
        <v/>
      </c>
      <c r="F2004" s="4">
        <f>SUMIFS('Dubai Stock'!I:I,'Dubai Stock'!H:H,Final_UAE!B:B)</f>
        <v/>
      </c>
      <c r="H2004" s="8" t="e">
        <v>#N/A</v>
      </c>
      <c r="I2004" s="8" t="n"/>
    </row>
    <row r="2005">
      <c r="A2005" s="4" t="n">
        <v>33834</v>
      </c>
      <c r="B2005" s="4" t="inlineStr">
        <is>
          <t>clstdai-lay-cont-p60-dazzle-black-sn0350</t>
        </is>
      </c>
      <c r="C2005" s="4" t="inlineStr">
        <is>
          <t>W00031886A</t>
        </is>
      </c>
      <c r="D2005" s="6">
        <f>IF(F2005&gt;=5, F2005-5, IF(F2005&lt;5, 0, F2005))</f>
        <v/>
      </c>
      <c r="E2005">
        <f>VLOOKUP(B2005,[1]Namshi!$A:$B,2,0)</f>
        <v/>
      </c>
      <c r="F2005" s="4">
        <f>SUMIFS('Dubai Stock'!I:I,'Dubai Stock'!H:H,Final_UAE!B:B)</f>
        <v/>
      </c>
      <c r="H2005" s="8" t="e">
        <v>#N/A</v>
      </c>
      <c r="I2005" s="8" t="n"/>
    </row>
    <row r="2006">
      <c r="A2006" s="4" t="n">
        <v>33834</v>
      </c>
      <c r="B2006" s="4" t="inlineStr">
        <is>
          <t>cost3mo-lay-2022-p02-sage-gray-sn0125</t>
        </is>
      </c>
      <c r="C2006" s="4" t="inlineStr">
        <is>
          <t>W00031886A</t>
        </is>
      </c>
      <c r="D2006" s="6">
        <f>IF(F2006&gt;=5, F2006-5, IF(F2006&lt;5, 0, F2006))</f>
        <v/>
      </c>
      <c r="E2006">
        <f>VLOOKUP(B2006,[1]Namshi!$A:$B,2,0)</f>
        <v/>
      </c>
      <c r="F2006" s="4">
        <f>SUMIFS('Dubai Stock'!I:I,'Dubai Stock'!H:H,Final_UAE!B:B)</f>
        <v/>
      </c>
      <c r="H2006" s="8" t="e">
        <v>#N/A</v>
      </c>
      <c r="I2006" s="8" t="n"/>
    </row>
    <row r="2007">
      <c r="A2007" s="4" t="n">
        <v>33834</v>
      </c>
      <c r="B2007" s="4" t="inlineStr">
        <is>
          <t>costmon-ama-2022-p02-tan-sn0275</t>
        </is>
      </c>
      <c r="C2007" s="4" t="inlineStr">
        <is>
          <t>W00031886A</t>
        </is>
      </c>
      <c r="D2007" s="6">
        <f>IF(F2007&gt;=5, F2007-5, IF(F2007&lt;5, 0, F2007))</f>
        <v/>
      </c>
      <c r="E2007">
        <f>VLOOKUP(B2007,[1]Namshi!$A:$B,2,0)</f>
        <v/>
      </c>
      <c r="F2007" s="4">
        <f>SUMIFS('Dubai Stock'!I:I,'Dubai Stock'!H:H,Final_UAE!B:B)</f>
        <v/>
      </c>
      <c r="H2007" s="8" t="e">
        <v>#N/A</v>
      </c>
      <c r="I2007" s="8" t="n"/>
    </row>
    <row r="2008">
      <c r="A2008" s="4" t="n">
        <v>33834</v>
      </c>
      <c r="B2008" s="4" t="inlineStr">
        <is>
          <t>clstdai-acu-oasy-p60-sn0125</t>
        </is>
      </c>
      <c r="C2008" s="4" t="inlineStr">
        <is>
          <t>W00031886A</t>
        </is>
      </c>
      <c r="D2008" s="6">
        <f>IF(F2008&gt;=5, F2008-5, IF(F2008&lt;5, 0, F2008))</f>
        <v/>
      </c>
      <c r="E2008">
        <f>VLOOKUP(B2008,[1]Namshi!$A:$B,2,0)</f>
        <v/>
      </c>
      <c r="F2008" s="4">
        <f>SUMIFS('Dubai Stock'!I:I,'Dubai Stock'!H:H,Final_UAE!B:B)</f>
        <v/>
      </c>
      <c r="H2008" s="8" t="e">
        <v>#N/A</v>
      </c>
      <c r="I2008" s="8" t="n"/>
    </row>
    <row r="2009">
      <c r="A2009" s="4" t="n">
        <v>33834</v>
      </c>
      <c r="B2009" s="4" t="inlineStr">
        <is>
          <t>clstdai-eve-pure-p30-sn0575</t>
        </is>
      </c>
      <c r="C2009" s="4" t="inlineStr">
        <is>
          <t>W00031886A</t>
        </is>
      </c>
      <c r="D2009" s="6">
        <f>IF(F2009&gt;=5, F2009-5, IF(F2009&lt;5, 0, F2009))</f>
        <v/>
      </c>
      <c r="E2009">
        <f>VLOOKUP(B2009,[1]Namshi!$A:$B,2,0)</f>
        <v/>
      </c>
      <c r="F2009" s="4">
        <f>SUMIFS('Dubai Stock'!I:I,'Dubai Stock'!H:H,Final_UAE!B:B)</f>
        <v/>
      </c>
      <c r="H2009" s="8" t="n">
        <v>186</v>
      </c>
      <c r="I2009" s="8" t="n">
        <v>104.3</v>
      </c>
    </row>
    <row r="2010">
      <c r="A2010" s="4" t="n">
        <v>33834</v>
      </c>
      <c r="B2010" s="4" t="inlineStr">
        <is>
          <t>cost3mo-lay-lens-p02-ocean-blue-sn0350</t>
        </is>
      </c>
      <c r="C2010" s="4" t="inlineStr">
        <is>
          <t>W00031886A</t>
        </is>
      </c>
      <c r="D2010" s="6">
        <f>IF(F2010&gt;=5, F2010-5, IF(F2010&lt;5, 0, F2010))</f>
        <v/>
      </c>
      <c r="E2010">
        <f>VLOOKUP(B2010,[1]Namshi!$A:$B,2,0)</f>
        <v/>
      </c>
      <c r="F2010" s="4">
        <f>SUMIFS('Dubai Stock'!I:I,'Dubai Stock'!H:H,Final_UAE!B:B)</f>
        <v/>
      </c>
      <c r="H2010" s="8" t="e">
        <v>#N/A</v>
      </c>
      <c r="I2010" s="8" t="n"/>
    </row>
    <row r="2011">
      <c r="A2011" s="4" t="n">
        <v>33834</v>
      </c>
      <c r="B2011" s="4" t="inlineStr">
        <is>
          <t>clstdai-acu-dfna-p30-sn0350</t>
        </is>
      </c>
      <c r="C2011" s="4" t="inlineStr">
        <is>
          <t>W00031886A</t>
        </is>
      </c>
      <c r="D2011" s="6">
        <f>IF(F2011&gt;=5, F2011-5, IF(F2011&lt;5, 0, F2011))</f>
        <v/>
      </c>
      <c r="E2011">
        <f>VLOOKUP(B2011,[1]Namshi!$A:$B,2,0)</f>
        <v/>
      </c>
      <c r="F2011" s="4">
        <f>SUMIFS('Dubai Stock'!I:I,'Dubai Stock'!H:H,Final_UAE!B:B)</f>
        <v/>
      </c>
      <c r="H2011" s="8" t="e">
        <v>#N/A</v>
      </c>
      <c r="I2011" s="8" t="n"/>
    </row>
    <row r="2012">
      <c r="A2012" s="4" t="n">
        <v>33834</v>
      </c>
      <c r="B2012" s="4" t="inlineStr">
        <is>
          <t>cost3mo-lay-2021-p02-willow-green-sn0400</t>
        </is>
      </c>
      <c r="C2012" s="4" t="inlineStr">
        <is>
          <t>W00031886A</t>
        </is>
      </c>
      <c r="D2012" s="6">
        <f>IF(F2012&gt;=5, F2012-5, IF(F2012&lt;5, 0, F2012))</f>
        <v/>
      </c>
      <c r="E2012">
        <f>VLOOKUP(B2012,[1]Namshi!$A:$B,2,0)</f>
        <v/>
      </c>
      <c r="F2012" s="4">
        <f>SUMIFS('Dubai Stock'!I:I,'Dubai Stock'!H:H,Final_UAE!B:B)</f>
        <v/>
      </c>
      <c r="H2012" s="8" t="e">
        <v>#N/A</v>
      </c>
      <c r="I2012" s="8" t="n"/>
    </row>
    <row r="2013">
      <c r="A2013" s="4" t="n">
        <v>33834</v>
      </c>
      <c r="B2013" s="4" t="inlineStr">
        <is>
          <t>sw10404-30s-000288-0304-49</t>
        </is>
      </c>
      <c r="C2013" s="4" t="inlineStr">
        <is>
          <t>W00031886A</t>
        </is>
      </c>
      <c r="D2013" s="6">
        <f>IF(F2013&gt;=5, F2013-5, IF(F2013&lt;5, 0, F2013))</f>
        <v/>
      </c>
      <c r="E2013">
        <f>VLOOKUP(B2013,[1]Namshi!$A:$B,2,0)</f>
        <v/>
      </c>
      <c r="F2013" s="4">
        <f>SUMIFS('Dubai Stock'!I:I,'Dubai Stock'!H:H,Final_UAE!B:B)</f>
        <v/>
      </c>
      <c r="H2013" s="8" t="e">
        <v>#N/A</v>
      </c>
    </row>
    <row r="2014">
      <c r="A2014" s="4" t="n">
        <v>33834</v>
      </c>
      <c r="B2014" s="4" t="inlineStr">
        <is>
          <t>clstdai-dai-tot1-p90-sn1100</t>
        </is>
      </c>
      <c r="C2014" s="4" t="inlineStr">
        <is>
          <t>W00031886A</t>
        </is>
      </c>
      <c r="D2014" s="6">
        <f>IF(F2014&gt;=5, F2014-5, IF(F2014&lt;5, 0, F2014))</f>
        <v/>
      </c>
      <c r="E2014">
        <f>VLOOKUP(B2014,[1]Namshi!$A:$B,2,0)</f>
        <v/>
      </c>
      <c r="F2014" s="4">
        <f>SUMIFS('Dubai Stock'!I:I,'Dubai Stock'!H:H,Final_UAE!B:B)</f>
        <v/>
      </c>
      <c r="H2014" s="8" t="e">
        <v>#N/A</v>
      </c>
      <c r="I2014" s="8" t="n"/>
    </row>
    <row r="2015">
      <c r="A2015" s="4" t="n">
        <v>33834</v>
      </c>
      <c r="B2015" s="4" t="inlineStr">
        <is>
          <t>clstdai-acu-dfrb-p60-sn0250</t>
        </is>
      </c>
      <c r="C2015" s="4" t="inlineStr">
        <is>
          <t>W00031886A</t>
        </is>
      </c>
      <c r="D2015" s="6">
        <f>IF(F2015&gt;=5, F2015-5, IF(F2015&lt;5, 0, F2015))</f>
        <v/>
      </c>
      <c r="E2015">
        <f>VLOOKUP(B2015,[1]Namshi!$A:$B,2,0)</f>
        <v/>
      </c>
      <c r="F2015" s="4">
        <f>SUMIFS('Dubai Stock'!I:I,'Dubai Stock'!H:H,Final_UAE!B:B)</f>
        <v/>
      </c>
      <c r="H2015" s="8" t="e">
        <v>#N/A</v>
      </c>
      <c r="I2015" s="8" t="n"/>
    </row>
    <row r="2016">
      <c r="A2016" s="4" t="n">
        <v>33834</v>
      </c>
      <c r="B2016" s="4" t="inlineStr">
        <is>
          <t>sm20107-30s-000219-0107-50</t>
        </is>
      </c>
      <c r="C2016" s="4" t="inlineStr">
        <is>
          <t>W00031886A</t>
        </is>
      </c>
      <c r="D2016" s="6">
        <f>IF(F2016&gt;=5, F2016-5, IF(F2016&lt;5, 0, F2016))</f>
        <v/>
      </c>
      <c r="E2016">
        <f>VLOOKUP(B2016,[1]Namshi!$A:$B,2,0)</f>
        <v/>
      </c>
      <c r="F2016" s="4">
        <f>SUMIFS('Dubai Stock'!I:I,'Dubai Stock'!H:H,Final_UAE!B:B)</f>
        <v/>
      </c>
      <c r="H2016" s="8" t="e">
        <v>#N/A</v>
      </c>
      <c r="I2016" s="8" t="n"/>
    </row>
    <row r="2017">
      <c r="A2017" s="4" t="n">
        <v>33834</v>
      </c>
      <c r="B2017" s="4" t="inlineStr">
        <is>
          <t>costdai-acu-dffr-p10-hazel-sn0425</t>
        </is>
      </c>
      <c r="C2017" s="4" t="inlineStr">
        <is>
          <t>W00031886A</t>
        </is>
      </c>
      <c r="D2017" s="6">
        <f>IF(F2017&gt;=5, F2017-5, IF(F2017&lt;5, 0, F2017))</f>
        <v/>
      </c>
      <c r="E2017">
        <f>VLOOKUP(B2017,[1]Namshi!$A:$B,2,0)</f>
        <v/>
      </c>
      <c r="F2017" s="4">
        <f>SUMIFS('Dubai Stock'!I:I,'Dubai Stock'!H:H,Final_UAE!B:B)</f>
        <v/>
      </c>
      <c r="H2017" s="8" t="e">
        <v>#N/A</v>
      </c>
      <c r="I2017" s="8" t="n"/>
    </row>
    <row r="2018">
      <c r="A2018" s="4" t="n">
        <v>33834</v>
      </c>
      <c r="B2018" s="4" t="inlineStr">
        <is>
          <t>cost3mo-lay-2021-p02-skye-blue-sn0150</t>
        </is>
      </c>
      <c r="C2018" s="4" t="inlineStr">
        <is>
          <t>W00031886A</t>
        </is>
      </c>
      <c r="D2018" s="6">
        <f>IF(F2018&gt;=5, F2018-5, IF(F2018&lt;5, 0, F2018))</f>
        <v/>
      </c>
      <c r="E2018">
        <f>VLOOKUP(B2018,[1]Namshi!$A:$B,2,0)</f>
        <v/>
      </c>
      <c r="F2018" s="4">
        <f>SUMIFS('Dubai Stock'!I:I,'Dubai Stock'!H:H,Final_UAE!B:B)</f>
        <v/>
      </c>
      <c r="H2018" s="8" t="e">
        <v>#N/A</v>
      </c>
      <c r="I2018" s="8" t="n"/>
    </row>
    <row r="2019">
      <c r="A2019" s="4" t="n">
        <v>33834</v>
      </c>
      <c r="B2019" s="4" t="inlineStr">
        <is>
          <t>clstdai-acu-mois-p120-sn0425</t>
        </is>
      </c>
      <c r="C2019" s="4" t="inlineStr">
        <is>
          <t>W00031886A</t>
        </is>
      </c>
      <c r="D2019" s="6">
        <f>IF(F2019&gt;=5, F2019-5, IF(F2019&lt;5, 0, F2019))</f>
        <v/>
      </c>
      <c r="E2019">
        <f>VLOOKUP(B2019,[1]Namshi!$A:$B,2,0)</f>
        <v/>
      </c>
      <c r="F2019" s="4">
        <f>SUMIFS('Dubai Stock'!I:I,'Dubai Stock'!H:H,Final_UAE!B:B)</f>
        <v/>
      </c>
      <c r="H2019" s="8" t="e">
        <v>#N/A</v>
      </c>
      <c r="I2019" s="8" t="n"/>
    </row>
    <row r="2020">
      <c r="A2020" s="4" t="n">
        <v>33834</v>
      </c>
      <c r="B2020" s="4" t="inlineStr">
        <is>
          <t>clstdai-acu-oasy-p90-sp0250</t>
        </is>
      </c>
      <c r="C2020" s="4" t="inlineStr">
        <is>
          <t>W00031886A</t>
        </is>
      </c>
      <c r="D2020" s="6">
        <f>IF(F2020&gt;=5, F2020-5, IF(F2020&lt;5, 0, F2020))</f>
        <v/>
      </c>
      <c r="E2020">
        <f>VLOOKUP(B2020,[1]Namshi!$A:$B,2,0)</f>
        <v/>
      </c>
      <c r="F2020" s="4">
        <f>SUMIFS('Dubai Stock'!I:I,'Dubai Stock'!H:H,Final_UAE!B:B)</f>
        <v/>
      </c>
      <c r="H2020" s="8" t="e">
        <v>#N/A</v>
      </c>
      <c r="I2020" s="8" t="n"/>
    </row>
    <row r="2021">
      <c r="A2021" s="4" t="n">
        <v>33834</v>
      </c>
      <c r="B2021" s="4" t="inlineStr">
        <is>
          <t>costmon-ama-2022-p02-dream-sn0475</t>
        </is>
      </c>
      <c r="C2021" s="4" t="inlineStr">
        <is>
          <t>W00031886A</t>
        </is>
      </c>
      <c r="D2021" s="6">
        <f>IF(F2021&gt;=5, F2021-5, IF(F2021&lt;5, 0, F2021))</f>
        <v/>
      </c>
      <c r="E2021">
        <f>VLOOKUP(B2021,[1]Namshi!$A:$B,2,0)</f>
        <v/>
      </c>
      <c r="F2021" s="4">
        <f>SUMIFS('Dubai Stock'!I:I,'Dubai Stock'!H:H,Final_UAE!B:B)</f>
        <v/>
      </c>
      <c r="H2021" s="8" t="e">
        <v>#N/A</v>
      </c>
      <c r="I2021" s="8" t="n"/>
    </row>
    <row r="2022">
      <c r="A2022" s="4" t="n">
        <v>33834</v>
      </c>
      <c r="B2022" s="4" t="inlineStr">
        <is>
          <t>costdai-ama-dail-p10-amber-sn0575</t>
        </is>
      </c>
      <c r="C2022" s="4" t="inlineStr">
        <is>
          <t>W00031886A</t>
        </is>
      </c>
      <c r="D2022" s="6">
        <f>IF(F2022&gt;=5, F2022-5, IF(F2022&lt;5, 0, F2022))</f>
        <v/>
      </c>
      <c r="E2022">
        <f>VLOOKUP(B2022,[1]Namshi!$A:$B,2,0)</f>
        <v/>
      </c>
      <c r="F2022" s="4">
        <f>SUMIFS('Dubai Stock'!I:I,'Dubai Stock'!H:H,Final_UAE!B:B)</f>
        <v/>
      </c>
      <c r="H2022" s="8" t="e">
        <v>#N/A</v>
      </c>
      <c r="I2022" s="8" t="n"/>
    </row>
    <row r="2023">
      <c r="A2023" s="4" t="n">
        <v>33834</v>
      </c>
      <c r="B2023" s="4" t="inlineStr">
        <is>
          <t>sc51306-bab-000503-1306-46</t>
        </is>
      </c>
      <c r="C2023" s="4" t="inlineStr">
        <is>
          <t>W00031886A</t>
        </is>
      </c>
      <c r="D2023" s="6">
        <f>IF(F2023&gt;=5, F2023-5, IF(F2023&lt;5, 0, F2023))</f>
        <v/>
      </c>
      <c r="E2023">
        <f>VLOOKUP(B2023,[1]Namshi!$A:$B,2,0)</f>
        <v/>
      </c>
      <c r="F2023" s="4">
        <f>SUMIFS('Dubai Stock'!I:I,'Dubai Stock'!H:H,Final_UAE!B:B)</f>
        <v/>
      </c>
      <c r="H2023" s="8" t="e">
        <v>#N/A</v>
      </c>
    </row>
    <row r="2024">
      <c r="A2024" s="4" t="n">
        <v>33834</v>
      </c>
      <c r="B2024" s="4" t="inlineStr">
        <is>
          <t>cost3mo-lay-2025-p02-desert-topaz-sn0125</t>
        </is>
      </c>
      <c r="C2024" s="4" t="inlineStr">
        <is>
          <t>W00031886A</t>
        </is>
      </c>
      <c r="D2024" s="6">
        <f>IF(F2024&gt;=5, F2024-5, IF(F2024&lt;5, 0, F2024))</f>
        <v/>
      </c>
      <c r="E2024">
        <f>VLOOKUP(B2024,[1]Namshi!$A:$B,2,0)</f>
        <v/>
      </c>
      <c r="F2024" s="4">
        <f>SUMIFS('Dubai Stock'!I:I,'Dubai Stock'!H:H,Final_UAE!B:B)</f>
        <v/>
      </c>
      <c r="H2024" s="8" t="e">
        <v>#N/A</v>
      </c>
      <c r="I2024" s="8" t="n"/>
    </row>
    <row r="2025">
      <c r="A2025" s="4" t="n">
        <v>33834</v>
      </c>
      <c r="B2025" s="4" t="inlineStr">
        <is>
          <t>costdai-acu-dffr-p10-blue-sn0200</t>
        </is>
      </c>
      <c r="C2025" s="4" t="inlineStr">
        <is>
          <t>W00031886A</t>
        </is>
      </c>
      <c r="D2025" s="6">
        <f>IF(F2025&gt;=5, F2025-5, IF(F2025&lt;5, 0, F2025))</f>
        <v/>
      </c>
      <c r="E2025">
        <f>VLOOKUP(B2025,[1]Namshi!$A:$B,2,0)</f>
        <v/>
      </c>
      <c r="F2025" s="4">
        <f>SUMIFS('Dubai Stock'!I:I,'Dubai Stock'!H:H,Final_UAE!B:B)</f>
        <v/>
      </c>
      <c r="H2025" s="8" t="e">
        <v>#N/A</v>
      </c>
      <c r="I2025" s="8" t="n"/>
    </row>
    <row r="2026">
      <c r="A2026" s="4" t="n">
        <v>33834</v>
      </c>
      <c r="B2026" s="4" t="inlineStr">
        <is>
          <t>costmon-ama-2022-p02-tiger-eyes-sn0275</t>
        </is>
      </c>
      <c r="C2026" s="4" t="inlineStr">
        <is>
          <t>W00031886A</t>
        </is>
      </c>
      <c r="D2026" s="6">
        <f>IF(F2026&gt;=5, F2026-5, IF(F2026&lt;5, 0, F2026))</f>
        <v/>
      </c>
      <c r="E2026">
        <f>VLOOKUP(B2026,[1]Namshi!$A:$B,2,0)</f>
        <v/>
      </c>
      <c r="F2026" s="4">
        <f>SUMIFS('Dubai Stock'!I:I,'Dubai Stock'!H:H,Final_UAE!B:B)</f>
        <v/>
      </c>
      <c r="H2026" s="8" t="e">
        <v>#N/A</v>
      </c>
      <c r="I2026" s="8" t="n"/>
    </row>
    <row r="2027">
      <c r="A2027" s="4" t="n">
        <v>33834</v>
      </c>
      <c r="B2027" s="4" t="inlineStr">
        <is>
          <t>clstdai-dai-aqua-p90-sn0250</t>
        </is>
      </c>
      <c r="C2027" s="4" t="inlineStr">
        <is>
          <t>W00031886A</t>
        </is>
      </c>
      <c r="D2027" s="6">
        <f>IF(F2027&gt;=5, F2027-5, IF(F2027&lt;5, 0, F2027))</f>
        <v/>
      </c>
      <c r="E2027">
        <f>VLOOKUP(B2027,[1]Namshi!$A:$B,2,0)</f>
        <v/>
      </c>
      <c r="F2027" s="4">
        <f>SUMIFS('Dubai Stock'!I:I,'Dubai Stock'!H:H,Final_UAE!B:B)</f>
        <v/>
      </c>
      <c r="H2027" s="8" t="e">
        <v>#N/A</v>
      </c>
      <c r="I2027" s="8" t="n"/>
    </row>
    <row r="2028">
      <c r="A2028" s="4" t="n">
        <v>33834</v>
      </c>
      <c r="B2028" s="4" t="inlineStr">
        <is>
          <t>clstdai-acu-mois-p120-sn0525</t>
        </is>
      </c>
      <c r="C2028" s="4" t="inlineStr">
        <is>
          <t>W00031886A</t>
        </is>
      </c>
      <c r="D2028" s="6">
        <f>IF(F2028&gt;=5, F2028-5, IF(F2028&lt;5, 0, F2028))</f>
        <v/>
      </c>
      <c r="E2028">
        <f>VLOOKUP(B2028,[1]Namshi!$A:$B,2,0)</f>
        <v/>
      </c>
      <c r="F2028" s="4">
        <f>SUMIFS('Dubai Stock'!I:I,'Dubai Stock'!H:H,Final_UAE!B:B)</f>
        <v/>
      </c>
      <c r="H2028" s="8" t="e">
        <v>#N/A</v>
      </c>
      <c r="I2028" s="8" t="n"/>
    </row>
    <row r="2029">
      <c r="A2029" s="4" t="n">
        <v>33834</v>
      </c>
      <c r="B2029" s="4" t="inlineStr">
        <is>
          <t>clstdai-acu-mois-p90-sn0525</t>
        </is>
      </c>
      <c r="C2029" s="4" t="inlineStr">
        <is>
          <t>W00031886A</t>
        </is>
      </c>
      <c r="D2029" s="6">
        <f>IF(F2029&gt;=5, F2029-5, IF(F2029&lt;5, 0, F2029))</f>
        <v/>
      </c>
      <c r="E2029">
        <f>VLOOKUP(B2029,[1]Namshi!$A:$B,2,0)</f>
        <v/>
      </c>
      <c r="F2029" s="4">
        <f>SUMIFS('Dubai Stock'!I:I,'Dubai Stock'!H:H,Final_UAE!B:B)</f>
        <v/>
      </c>
      <c r="H2029" s="8" t="e">
        <v>#N/A</v>
      </c>
      <c r="I2029" s="8" t="n"/>
    </row>
    <row r="2030">
      <c r="A2030" s="4" t="n">
        <v>33834</v>
      </c>
      <c r="B2030" s="4" t="inlineStr">
        <is>
          <t>clstdai-dai-aqua-p90-sp0275</t>
        </is>
      </c>
      <c r="C2030" s="4" t="inlineStr">
        <is>
          <t>W00031886A</t>
        </is>
      </c>
      <c r="D2030" s="6">
        <f>IF(F2030&gt;=5, F2030-5, IF(F2030&lt;5, 0, F2030))</f>
        <v/>
      </c>
      <c r="E2030">
        <f>VLOOKUP(B2030,[1]Namshi!$A:$B,2,0)</f>
        <v/>
      </c>
      <c r="F2030" s="4">
        <f>SUMIFS('Dubai Stock'!I:I,'Dubai Stock'!H:H,Final_UAE!B:B)</f>
        <v/>
      </c>
      <c r="H2030" s="8" t="e">
        <v>#N/A</v>
      </c>
      <c r="I2030" s="8" t="n"/>
    </row>
    <row r="2031">
      <c r="A2031" s="4" t="n">
        <v>33834</v>
      </c>
      <c r="B2031" s="4" t="inlineStr">
        <is>
          <t>costdai-acu-dffr-p30-honey-sn0550</t>
        </is>
      </c>
      <c r="C2031" s="4" t="inlineStr">
        <is>
          <t>W00031886A</t>
        </is>
      </c>
      <c r="D2031" s="6">
        <f>IF(F2031&gt;=5, F2031-5, IF(F2031&lt;5, 0, F2031))</f>
        <v/>
      </c>
      <c r="E2031">
        <f>VLOOKUP(B2031,[1]Namshi!$A:$B,2,0)</f>
        <v/>
      </c>
      <c r="F2031" s="4">
        <f>SUMIFS('Dubai Stock'!I:I,'Dubai Stock'!H:H,Final_UAE!B:B)</f>
        <v/>
      </c>
      <c r="H2031" s="8" t="e">
        <v>#N/A</v>
      </c>
      <c r="I2031" s="8" t="n"/>
    </row>
    <row r="2032">
      <c r="A2032" s="4" t="n">
        <v>33834</v>
      </c>
      <c r="B2032" s="4" t="inlineStr">
        <is>
          <t>clstdai-acu-mois-p60-sn0325</t>
        </is>
      </c>
      <c r="C2032" s="4" t="inlineStr">
        <is>
          <t>W00031886A</t>
        </is>
      </c>
      <c r="D2032" s="6">
        <f>IF(F2032&gt;=5, F2032-5, IF(F2032&lt;5, 0, F2032))</f>
        <v/>
      </c>
      <c r="E2032">
        <f>VLOOKUP(B2032,[1]Namshi!$A:$B,2,0)</f>
        <v/>
      </c>
      <c r="F2032" s="4">
        <f>SUMIFS('Dubai Stock'!I:I,'Dubai Stock'!H:H,Final_UAE!B:B)</f>
        <v/>
      </c>
      <c r="H2032" s="8" t="e">
        <v>#N/A</v>
      </c>
      <c r="I2032" s="8" t="n"/>
    </row>
    <row r="2033">
      <c r="A2033" s="4" t="n">
        <v>33834</v>
      </c>
      <c r="B2033" s="4" t="inlineStr">
        <is>
          <t>costmon-ama-2022-p02-reemy-sn0100</t>
        </is>
      </c>
      <c r="C2033" s="4" t="inlineStr">
        <is>
          <t>W00031886A</t>
        </is>
      </c>
      <c r="D2033" s="6">
        <f>IF(F2033&gt;=5, F2033-5, IF(F2033&lt;5, 0, F2033))</f>
        <v/>
      </c>
      <c r="E2033">
        <f>VLOOKUP(B2033,[1]Namshi!$A:$B,2,0)</f>
        <v/>
      </c>
      <c r="F2033" s="4">
        <f>SUMIFS('Dubai Stock'!I:I,'Dubai Stock'!H:H,Final_UAE!B:B)</f>
        <v/>
      </c>
      <c r="H2033" s="8" t="e">
        <v>#N/A</v>
      </c>
      <c r="I2033" s="8" t="n"/>
    </row>
    <row r="2034">
      <c r="A2034" s="4" t="n">
        <v>33834</v>
      </c>
      <c r="B2034" s="4" t="inlineStr">
        <is>
          <t>sw52302-30s-000225-2302-61</t>
        </is>
      </c>
      <c r="C2034" s="4" t="inlineStr">
        <is>
          <t>W00031886A</t>
        </is>
      </c>
      <c r="D2034" s="6">
        <f>IF(F2034&gt;=5, F2034-5, IF(F2034&lt;5, 0, F2034))</f>
        <v/>
      </c>
      <c r="E2034">
        <f>VLOOKUP(B2034,[1]Namshi!$A:$B,2,0)</f>
        <v/>
      </c>
      <c r="F2034" s="4">
        <f>SUMIFS('Dubai Stock'!I:I,'Dubai Stock'!H:H,Final_UAE!B:B)</f>
        <v/>
      </c>
      <c r="H2034" s="8" t="e">
        <v>#N/A</v>
      </c>
    </row>
    <row r="2035">
      <c r="A2035" s="4" t="n">
        <v>33834</v>
      </c>
      <c r="B2035" s="4" t="inlineStr">
        <is>
          <t>costmon-ama-2022-p02-tiger-eyes-sn0225</t>
        </is>
      </c>
      <c r="C2035" s="4" t="inlineStr">
        <is>
          <t>W00031886A</t>
        </is>
      </c>
      <c r="D2035" s="6">
        <f>IF(F2035&gt;=5, F2035-5, IF(F2035&lt;5, 0, F2035))</f>
        <v/>
      </c>
      <c r="E2035">
        <f>VLOOKUP(B2035,[1]Namshi!$A:$B,2,0)</f>
        <v/>
      </c>
      <c r="F2035" s="4">
        <f>SUMIFS('Dubai Stock'!I:I,'Dubai Stock'!H:H,Final_UAE!B:B)</f>
        <v/>
      </c>
      <c r="H2035" s="8" t="e">
        <v>#N/A</v>
      </c>
      <c r="I2035" s="8" t="n"/>
    </row>
    <row r="2036">
      <c r="A2036" s="4" t="n">
        <v>33834</v>
      </c>
      <c r="B2036" s="4" t="inlineStr">
        <is>
          <t>sm50207-30s-000221-0207-52</t>
        </is>
      </c>
      <c r="C2036" s="4" t="inlineStr">
        <is>
          <t>W00031886A</t>
        </is>
      </c>
      <c r="D2036" s="6">
        <f>IF(F2036&gt;=5, F2036-5, IF(F2036&lt;5, 0, F2036))</f>
        <v/>
      </c>
      <c r="E2036">
        <f>VLOOKUP(B2036,[1]Namshi!$A:$B,2,0)</f>
        <v/>
      </c>
      <c r="F2036" s="4">
        <f>SUMIFS('Dubai Stock'!I:I,'Dubai Stock'!H:H,Final_UAE!B:B)</f>
        <v/>
      </c>
      <c r="H2036" s="8" t="e">
        <v>#N/A</v>
      </c>
      <c r="I2036" s="8" t="n"/>
    </row>
    <row r="2037">
      <c r="A2037" s="4" t="n">
        <v>33834</v>
      </c>
      <c r="B2037" s="4" t="inlineStr">
        <is>
          <t>clstdai-acu-dfvi-p30-sn0150</t>
        </is>
      </c>
      <c r="C2037" s="4" t="inlineStr">
        <is>
          <t>W00031886A</t>
        </is>
      </c>
      <c r="D2037" s="6">
        <f>IF(F2037&gt;=5, F2037-5, IF(F2037&lt;5, 0, F2037))</f>
        <v/>
      </c>
      <c r="E2037">
        <f>VLOOKUP(B2037,[1]Namshi!$A:$B,2,0)</f>
        <v/>
      </c>
      <c r="F2037" s="4">
        <f>SUMIFS('Dubai Stock'!I:I,'Dubai Stock'!H:H,Final_UAE!B:B)</f>
        <v/>
      </c>
      <c r="H2037" s="8" t="e">
        <v>#N/A</v>
      </c>
      <c r="I2037" s="8" t="n"/>
    </row>
    <row r="2038">
      <c r="A2038" s="4" t="n">
        <v>33834</v>
      </c>
      <c r="B2038" s="4" t="inlineStr">
        <is>
          <t>clstdai-dai-tot1-p90-sp0475</t>
        </is>
      </c>
      <c r="C2038" s="4" t="inlineStr">
        <is>
          <t>W00031886A</t>
        </is>
      </c>
      <c r="D2038" s="6">
        <f>IF(F2038&gt;=5, F2038-5, IF(F2038&lt;5, 0, F2038))</f>
        <v/>
      </c>
      <c r="E2038">
        <f>VLOOKUP(B2038,[1]Namshi!$A:$B,2,0)</f>
        <v/>
      </c>
      <c r="F2038" s="4">
        <f>SUMIFS('Dubai Stock'!I:I,'Dubai Stock'!H:H,Final_UAE!B:B)</f>
        <v/>
      </c>
      <c r="H2038" s="8" t="e">
        <v>#N/A</v>
      </c>
      <c r="I2038" s="8" t="n"/>
    </row>
    <row r="2039">
      <c r="A2039" s="4" t="n">
        <v>33834</v>
      </c>
      <c r="B2039" s="4" t="inlineStr">
        <is>
          <t>su60107-30s-000215-0107-48</t>
        </is>
      </c>
      <c r="C2039" s="4" t="inlineStr">
        <is>
          <t>W00031886A</t>
        </is>
      </c>
      <c r="D2039" s="6">
        <f>IF(F2039&gt;=5, F2039-5, IF(F2039&lt;5, 0, F2039))</f>
        <v/>
      </c>
      <c r="E2039">
        <f>VLOOKUP(B2039,[1]Namshi!$A:$B,2,0)</f>
        <v/>
      </c>
      <c r="F2039" s="4">
        <f>SUMIFS('Dubai Stock'!I:I,'Dubai Stock'!H:H,Final_UAE!B:B)</f>
        <v/>
      </c>
      <c r="H2039" s="8" t="e">
        <v>#N/A</v>
      </c>
    </row>
    <row r="2040">
      <c r="A2040" s="4" t="n">
        <v>33834</v>
      </c>
      <c r="B2040" s="4" t="inlineStr">
        <is>
          <t>clstdai-eve-elit-p90-sn1100</t>
        </is>
      </c>
      <c r="C2040" s="4" t="inlineStr">
        <is>
          <t>W00031886A</t>
        </is>
      </c>
      <c r="D2040" s="6">
        <f>IF(F2040&gt;=5, F2040-5, IF(F2040&lt;5, 0, F2040))</f>
        <v/>
      </c>
      <c r="E2040">
        <f>VLOOKUP(B2040,[1]Namshi!$A:$B,2,0)</f>
        <v/>
      </c>
      <c r="F2040" s="4">
        <f>SUMIFS('Dubai Stock'!I:I,'Dubai Stock'!H:H,Final_UAE!B:B)</f>
        <v/>
      </c>
      <c r="H2040" s="8" t="n">
        <v>729</v>
      </c>
      <c r="I2040" s="8" t="n">
        <v>357</v>
      </c>
    </row>
    <row r="2041">
      <c r="A2041" s="4" t="n">
        <v>33834</v>
      </c>
      <c r="B2041" s="4" t="inlineStr">
        <is>
          <t>sacchan-30s-emmy-rose-gold</t>
        </is>
      </c>
      <c r="C2041" s="4" t="inlineStr">
        <is>
          <t>W00031886A</t>
        </is>
      </c>
      <c r="D2041" s="6">
        <f>IF(F2041&gt;=5, F2041-5, IF(F2041&lt;5, 0, F2041))</f>
        <v/>
      </c>
      <c r="E2041">
        <f>VLOOKUP(B2041,[1]Namshi!$A:$B,2,0)</f>
        <v/>
      </c>
      <c r="F2041" s="4">
        <f>SUMIFS('Dubai Stock'!I:I,'Dubai Stock'!H:H,Final_UAE!B:B)</f>
        <v/>
      </c>
      <c r="H2041" s="8" t="e">
        <v>#N/A</v>
      </c>
      <c r="I2041" s="8" t="n"/>
    </row>
    <row r="2042">
      <c r="A2042" s="4" t="n">
        <v>33834</v>
      </c>
      <c r="B2042" s="4" t="inlineStr">
        <is>
          <t>fm20418-spc-000656-0418-48</t>
        </is>
      </c>
      <c r="C2042" s="4" t="inlineStr">
        <is>
          <t>W00031886A</t>
        </is>
      </c>
      <c r="D2042" s="6">
        <f>IF(F2042&gt;=5, F2042-5, IF(F2042&lt;5, 0, F2042))</f>
        <v/>
      </c>
      <c r="E2042">
        <f>VLOOKUP(B2042,[1]Namshi!$A:$B,2,0)</f>
        <v/>
      </c>
      <c r="F2042" s="4">
        <f>SUMIFS('Dubai Stock'!I:I,'Dubai Stock'!H:H,Final_UAE!B:B)</f>
        <v/>
      </c>
      <c r="H2042" s="8" t="e">
        <v>#N/A</v>
      </c>
      <c r="I2042" s="8" t="n"/>
    </row>
    <row r="2043">
      <c r="A2043" s="4" t="n">
        <v>33834</v>
      </c>
      <c r="B2043" s="4" t="inlineStr">
        <is>
          <t>clstdai-lay-cont-p30-dazzle-black-sn0750</t>
        </is>
      </c>
      <c r="C2043" s="4" t="inlineStr">
        <is>
          <t>W00031886A</t>
        </is>
      </c>
      <c r="D2043" s="6">
        <f>IF(F2043&gt;=5, F2043-5, IF(F2043&lt;5, 0, F2043))</f>
        <v/>
      </c>
      <c r="E2043">
        <f>VLOOKUP(B2043,[1]Namshi!$A:$B,2,0)</f>
        <v/>
      </c>
      <c r="F2043" s="4">
        <f>SUMIFS('Dubai Stock'!I:I,'Dubai Stock'!H:H,Final_UAE!B:B)</f>
        <v/>
      </c>
      <c r="H2043" s="8" t="e">
        <v>#N/A</v>
      </c>
      <c r="I2043" s="8" t="n"/>
    </row>
    <row r="2044">
      <c r="A2044" s="4" t="n">
        <v>33834</v>
      </c>
      <c r="B2044" s="4" t="inlineStr">
        <is>
          <t>costdai-ama-dail-p10-moon-stone-sn0325</t>
        </is>
      </c>
      <c r="C2044" s="4" t="inlineStr">
        <is>
          <t>W00031886A</t>
        </is>
      </c>
      <c r="D2044" s="6">
        <f>IF(F2044&gt;=5, F2044-5, IF(F2044&lt;5, 0, F2044))</f>
        <v/>
      </c>
      <c r="E2044">
        <f>VLOOKUP(B2044,[1]Namshi!$A:$B,2,0)</f>
        <v/>
      </c>
      <c r="F2044" s="4">
        <f>SUMIFS('Dubai Stock'!I:I,'Dubai Stock'!H:H,Final_UAE!B:B)</f>
        <v/>
      </c>
      <c r="H2044" s="8" t="e">
        <v>#N/A</v>
      </c>
      <c r="I2044" s="8" t="n"/>
    </row>
    <row r="2045">
      <c r="A2045" s="4" t="n">
        <v>33834</v>
      </c>
      <c r="B2045" s="4" t="inlineStr">
        <is>
          <t>clstdai-eve-pure-p30-sn0375</t>
        </is>
      </c>
      <c r="C2045" s="4" t="inlineStr">
        <is>
          <t>W00031886A</t>
        </is>
      </c>
      <c r="D2045" s="6">
        <f>IF(F2045&gt;=5, F2045-5, IF(F2045&lt;5, 0, F2045))</f>
        <v/>
      </c>
      <c r="E2045">
        <f>VLOOKUP(B2045,[1]Namshi!$A:$B,2,0)</f>
        <v/>
      </c>
      <c r="F2045" s="4">
        <f>SUMIFS('Dubai Stock'!I:I,'Dubai Stock'!H:H,Final_UAE!B:B)</f>
        <v/>
      </c>
      <c r="H2045" s="8" t="n">
        <v>186</v>
      </c>
      <c r="I2045" s="8" t="n">
        <v>104.3</v>
      </c>
    </row>
    <row r="2046">
      <c r="A2046" s="4" t="n">
        <v>33834</v>
      </c>
      <c r="B2046" s="4" t="inlineStr">
        <is>
          <t>sw20107-30s-000226-0101-54</t>
        </is>
      </c>
      <c r="C2046" s="4" t="inlineStr">
        <is>
          <t>W00031886A</t>
        </is>
      </c>
      <c r="D2046" s="6">
        <f>IF(F2046&gt;=5, F2046-5, IF(F2046&lt;5, 0, F2046))</f>
        <v/>
      </c>
      <c r="E2046">
        <f>VLOOKUP(B2046,[1]Namshi!$A:$B,2,0)</f>
        <v/>
      </c>
      <c r="F2046" s="4">
        <f>SUMIFS('Dubai Stock'!I:I,'Dubai Stock'!H:H,Final_UAE!B:B)</f>
        <v/>
      </c>
      <c r="H2046" s="8" t="e">
        <v>#N/A</v>
      </c>
    </row>
    <row r="2047">
      <c r="A2047" s="4" t="n">
        <v>33834</v>
      </c>
      <c r="B2047" s="4" t="inlineStr">
        <is>
          <t>cost3mo-lay-2020-p02-ash-gray-sn0050</t>
        </is>
      </c>
      <c r="C2047" s="4" t="inlineStr">
        <is>
          <t>W00031886A</t>
        </is>
      </c>
      <c r="D2047" s="6">
        <f>IF(F2047&gt;=5, F2047-5, IF(F2047&lt;5, 0, F2047))</f>
        <v/>
      </c>
      <c r="E2047">
        <f>VLOOKUP(B2047,[1]Namshi!$A:$B,2,0)</f>
        <v/>
      </c>
      <c r="F2047" s="4">
        <f>SUMIFS('Dubai Stock'!I:I,'Dubai Stock'!H:H,Final_UAE!B:B)</f>
        <v/>
      </c>
      <c r="H2047" s="8" t="e">
        <v>#N/A</v>
      </c>
      <c r="I2047" s="8" t="n"/>
    </row>
    <row r="2048">
      <c r="A2048" s="4" t="n">
        <v>33834</v>
      </c>
      <c r="B2048" s="4" t="inlineStr">
        <is>
          <t>cost3mo-lay-lens-p02-cloudy-gray-sn0075</t>
        </is>
      </c>
      <c r="C2048" s="4" t="inlineStr">
        <is>
          <t>W00031886A</t>
        </is>
      </c>
      <c r="D2048" s="6">
        <f>IF(F2048&gt;=5, F2048-5, IF(F2048&lt;5, 0, F2048))</f>
        <v/>
      </c>
      <c r="E2048">
        <f>VLOOKUP(B2048,[1]Namshi!$A:$B,2,0)</f>
        <v/>
      </c>
      <c r="F2048" s="4">
        <f>SUMIFS('Dubai Stock'!I:I,'Dubai Stock'!H:H,Final_UAE!B:B)</f>
        <v/>
      </c>
      <c r="H2048" s="8" t="e">
        <v>#N/A</v>
      </c>
      <c r="I2048" s="8" t="n"/>
    </row>
    <row r="2049">
      <c r="A2049" s="4" t="n">
        <v>33834</v>
      </c>
      <c r="B2049" s="4" t="inlineStr">
        <is>
          <t>costmon-ama-lens-p02-mocca-sn0700</t>
        </is>
      </c>
      <c r="C2049" s="4" t="inlineStr">
        <is>
          <t>W00031886A</t>
        </is>
      </c>
      <c r="D2049" s="6">
        <f>IF(F2049&gt;=5, F2049-5, IF(F2049&lt;5, 0, F2049))</f>
        <v/>
      </c>
      <c r="E2049">
        <f>VLOOKUP(B2049,[1]Namshi!$A:$B,2,0)</f>
        <v/>
      </c>
      <c r="F2049" s="4">
        <f>SUMIFS('Dubai Stock'!I:I,'Dubai Stock'!H:H,Final_UAE!B:B)</f>
        <v/>
      </c>
      <c r="H2049" s="8" t="e">
        <v>#N/A</v>
      </c>
      <c r="I2049" s="8" t="n"/>
    </row>
    <row r="2050">
      <c r="A2050" s="4" t="n">
        <v>33834</v>
      </c>
      <c r="B2050" s="4" t="inlineStr">
        <is>
          <t>sc50907-bab-000504-0907-51</t>
        </is>
      </c>
      <c r="C2050" s="4" t="inlineStr">
        <is>
          <t>W00031886A</t>
        </is>
      </c>
      <c r="D2050" s="6">
        <f>IF(F2050&gt;=5, F2050-5, IF(F2050&lt;5, 0, F2050))</f>
        <v/>
      </c>
      <c r="E2050">
        <f>VLOOKUP(B2050,[1]Namshi!$A:$B,2,0)</f>
        <v/>
      </c>
      <c r="F2050" s="4">
        <f>SUMIFS('Dubai Stock'!I:I,'Dubai Stock'!H:H,Final_UAE!B:B)</f>
        <v/>
      </c>
      <c r="H2050" s="8" t="e">
        <v>#N/A</v>
      </c>
    </row>
    <row r="2051">
      <c r="A2051" s="4" t="n">
        <v>33834</v>
      </c>
      <c r="B2051" s="4" t="inlineStr">
        <is>
          <t>sw40202-30s-000274-0202-54</t>
        </is>
      </c>
      <c r="C2051" s="4" t="inlineStr">
        <is>
          <t>W00031886A</t>
        </is>
      </c>
      <c r="D2051" s="6">
        <f>IF(F2051&gt;=5, F2051-5, IF(F2051&lt;5, 0, F2051))</f>
        <v/>
      </c>
      <c r="E2051">
        <f>VLOOKUP(B2051,[1]Namshi!$A:$B,2,0)</f>
        <v/>
      </c>
      <c r="F2051" s="4">
        <f>SUMIFS('Dubai Stock'!I:I,'Dubai Stock'!H:H,Final_UAE!B:B)</f>
        <v/>
      </c>
      <c r="H2051" s="8" t="e">
        <v>#N/A</v>
      </c>
    </row>
    <row r="2052">
      <c r="A2052" s="4" t="n">
        <v>33834</v>
      </c>
      <c r="B2052" s="4" t="inlineStr">
        <is>
          <t>sw30504-bla-000215-2704-61</t>
        </is>
      </c>
      <c r="C2052" s="4" t="inlineStr">
        <is>
          <t>W00031886A</t>
        </is>
      </c>
      <c r="D2052" s="6">
        <f>IF(F2052&gt;=5, F2052-5, IF(F2052&lt;5, 0, F2052))</f>
        <v/>
      </c>
      <c r="E2052">
        <f>VLOOKUP(B2052,[1]Namshi!$A:$B,2,0)</f>
        <v/>
      </c>
      <c r="F2052" s="4">
        <f>SUMIFS('Dubai Stock'!I:I,'Dubai Stock'!H:H,Final_UAE!B:B)</f>
        <v/>
      </c>
      <c r="H2052" s="8" t="e">
        <v>#N/A</v>
      </c>
    </row>
    <row r="2053">
      <c r="A2053" s="4" t="n">
        <v>33834</v>
      </c>
      <c r="B2053" s="4" t="inlineStr">
        <is>
          <t>cost3mo-lay-2025-p02-desert-topaz-sn0325</t>
        </is>
      </c>
      <c r="C2053" s="4" t="inlineStr">
        <is>
          <t>W00031886A</t>
        </is>
      </c>
      <c r="D2053" s="6">
        <f>IF(F2053&gt;=5, F2053-5, IF(F2053&lt;5, 0, F2053))</f>
        <v/>
      </c>
      <c r="E2053">
        <f>VLOOKUP(B2053,[1]Namshi!$A:$B,2,0)</f>
        <v/>
      </c>
      <c r="F2053" s="4">
        <f>SUMIFS('Dubai Stock'!I:I,'Dubai Stock'!H:H,Final_UAE!B:B)</f>
        <v/>
      </c>
      <c r="H2053" s="8" t="e">
        <v>#N/A</v>
      </c>
      <c r="I2053" s="8" t="n"/>
    </row>
    <row r="2054">
      <c r="A2054" s="4" t="n">
        <v>33834</v>
      </c>
      <c r="B2054" s="4" t="inlineStr">
        <is>
          <t>sw52307-30s-000120-2307-59</t>
        </is>
      </c>
      <c r="C2054" s="4" t="inlineStr">
        <is>
          <t>W00031886A</t>
        </is>
      </c>
      <c r="D2054" s="6">
        <f>IF(F2054&gt;=5, F2054-5, IF(F2054&lt;5, 0, F2054))</f>
        <v/>
      </c>
      <c r="E2054">
        <f>VLOOKUP(B2054,[1]Namshi!$A:$B,2,0)</f>
        <v/>
      </c>
      <c r="F2054" s="4">
        <f>SUMIFS('Dubai Stock'!I:I,'Dubai Stock'!H:H,Final_UAE!B:B)</f>
        <v/>
      </c>
      <c r="H2054" s="8" t="e">
        <v>#N/A</v>
      </c>
    </row>
    <row r="2055">
      <c r="A2055" s="4" t="n">
        <v>33834</v>
      </c>
      <c r="B2055" s="4" t="inlineStr">
        <is>
          <t>sw60107-bla-000310-0107-55</t>
        </is>
      </c>
      <c r="C2055" s="4" t="inlineStr">
        <is>
          <t>W00031886A</t>
        </is>
      </c>
      <c r="D2055" s="6">
        <f>IF(F2055&gt;=5, F2055-5, IF(F2055&lt;5, 0, F2055))</f>
        <v/>
      </c>
      <c r="E2055">
        <f>VLOOKUP(B2055,[1]Namshi!$A:$B,2,0)</f>
        <v/>
      </c>
      <c r="F2055" s="4">
        <f>SUMIFS('Dubai Stock'!I:I,'Dubai Stock'!H:H,Final_UAE!B:B)</f>
        <v/>
      </c>
      <c r="H2055" s="8" t="e">
        <v>#N/A</v>
      </c>
    </row>
    <row r="2056">
      <c r="A2056" s="4" t="n">
        <v>33834</v>
      </c>
      <c r="B2056" s="4" t="inlineStr">
        <is>
          <t>clstdai-eve-elit-p90-sp0300</t>
        </is>
      </c>
      <c r="C2056" s="4" t="inlineStr">
        <is>
          <t>W00031886A</t>
        </is>
      </c>
      <c r="D2056" s="6">
        <f>IF(F2056&gt;=5, F2056-5, IF(F2056&lt;5, 0, F2056))</f>
        <v/>
      </c>
      <c r="E2056">
        <f>VLOOKUP(B2056,[1]Namshi!$A:$B,2,0)</f>
        <v/>
      </c>
      <c r="F2056" s="4">
        <f>SUMIFS('Dubai Stock'!I:I,'Dubai Stock'!H:H,Final_UAE!B:B)</f>
        <v/>
      </c>
      <c r="H2056" s="8" t="n">
        <v>729</v>
      </c>
      <c r="I2056" s="8" t="n">
        <v>357</v>
      </c>
    </row>
    <row r="2057">
      <c r="A2057" s="4" t="n">
        <v>33834</v>
      </c>
      <c r="B2057" s="4" t="inlineStr">
        <is>
          <t>sunglasses-30Sundays-30s-000447-0404</t>
        </is>
      </c>
      <c r="C2057" s="4" t="inlineStr">
        <is>
          <t>W00031886A</t>
        </is>
      </c>
      <c r="D2057" s="6">
        <f>IF(F2057&gt;=5, F2057-5, IF(F2057&lt;5, 0, F2057))</f>
        <v/>
      </c>
      <c r="E2057">
        <f>VLOOKUP(B2057,[1]Namshi!$A:$B,2,0)</f>
        <v/>
      </c>
      <c r="F2057" s="4">
        <f>SUMIFS('Dubai Stock'!I:I,'Dubai Stock'!H:H,Final_UAE!B:B)</f>
        <v/>
      </c>
      <c r="H2057" s="8" t="e">
        <v>#N/A</v>
      </c>
      <c r="I2057" s="8" t="n"/>
    </row>
    <row r="2058">
      <c r="A2058" s="4" t="n">
        <v>33834</v>
      </c>
      <c r="B2058" s="4" t="inlineStr">
        <is>
          <t>clstdai-dai-aqua-p30-sp0575</t>
        </is>
      </c>
      <c r="C2058" s="4" t="inlineStr">
        <is>
          <t>W00031886A</t>
        </is>
      </c>
      <c r="D2058" s="6">
        <f>IF(F2058&gt;=5, F2058-5, IF(F2058&lt;5, 0, F2058))</f>
        <v/>
      </c>
      <c r="E2058">
        <f>VLOOKUP(B2058,[1]Namshi!$A:$B,2,0)</f>
        <v/>
      </c>
      <c r="F2058" s="4">
        <f>SUMIFS('Dubai Stock'!I:I,'Dubai Stock'!H:H,Final_UAE!B:B)</f>
        <v/>
      </c>
      <c r="H2058" s="8" t="e">
        <v>#N/A</v>
      </c>
      <c r="I2058" s="8" t="n"/>
    </row>
    <row r="2059">
      <c r="A2059" s="4" t="n">
        <v>33834</v>
      </c>
      <c r="B2059" s="4" t="inlineStr">
        <is>
          <t>sw30107-bla-000349-0107-52</t>
        </is>
      </c>
      <c r="C2059" s="4" t="inlineStr">
        <is>
          <t>W00031886A</t>
        </is>
      </c>
      <c r="D2059" s="6">
        <f>IF(F2059&gt;=5, F2059-5, IF(F2059&lt;5, 0, F2059))</f>
        <v/>
      </c>
      <c r="E2059">
        <f>VLOOKUP(B2059,[1]Namshi!$A:$B,2,0)</f>
        <v/>
      </c>
      <c r="F2059" s="4">
        <f>SUMIFS('Dubai Stock'!I:I,'Dubai Stock'!H:H,Final_UAE!B:B)</f>
        <v/>
      </c>
      <c r="H2059" s="8" t="e">
        <v>#N/A</v>
      </c>
    </row>
    <row r="2060">
      <c r="A2060" s="4" t="n">
        <v>33834</v>
      </c>
      <c r="B2060" s="4" t="inlineStr">
        <is>
          <t>clstdai-eve-elit-p30-sp0700</t>
        </is>
      </c>
      <c r="C2060" s="4" t="inlineStr">
        <is>
          <t>W00031886A</t>
        </is>
      </c>
      <c r="D2060" s="6">
        <f>IF(F2060&gt;=5, F2060-5, IF(F2060&lt;5, 0, F2060))</f>
        <v/>
      </c>
      <c r="E2060">
        <f>VLOOKUP(B2060,[1]Namshi!$A:$B,2,0)</f>
        <v/>
      </c>
      <c r="F2060" s="4">
        <f>SUMIFS('Dubai Stock'!I:I,'Dubai Stock'!H:H,Final_UAE!B:B)</f>
        <v/>
      </c>
      <c r="H2060" s="8" t="n">
        <v>261</v>
      </c>
      <c r="I2060" s="8" t="n">
        <v>146.3</v>
      </c>
    </row>
    <row r="2061">
      <c r="A2061" s="4" t="n">
        <v>33834</v>
      </c>
      <c r="B2061" s="4" t="inlineStr">
        <is>
          <t>sm101804-bla-000336-1804-54</t>
        </is>
      </c>
      <c r="C2061" s="4" t="inlineStr">
        <is>
          <t>W00031886A</t>
        </is>
      </c>
      <c r="D2061" s="6">
        <f>IF(F2061&gt;=5, F2061-5, IF(F2061&lt;5, 0, F2061))</f>
        <v/>
      </c>
      <c r="E2061">
        <f>VLOOKUP(B2061,[1]Namshi!$A:$B,2,0)</f>
        <v/>
      </c>
      <c r="F2061" s="4">
        <f>SUMIFS('Dubai Stock'!I:I,'Dubai Stock'!H:H,Final_UAE!B:B)</f>
        <v/>
      </c>
      <c r="H2061" s="8" t="e">
        <v>#N/A</v>
      </c>
    </row>
    <row r="2062">
      <c r="A2062" s="4" t="n">
        <v>33834</v>
      </c>
      <c r="B2062" s="4" t="inlineStr">
        <is>
          <t>su62904-bla-000319-2904-54</t>
        </is>
      </c>
      <c r="C2062" s="4" t="inlineStr">
        <is>
          <t>W00031886A</t>
        </is>
      </c>
      <c r="D2062" s="6">
        <f>IF(F2062&gt;=5, F2062-5, IF(F2062&lt;5, 0, F2062))</f>
        <v/>
      </c>
      <c r="E2062">
        <f>VLOOKUP(B2062,[1]Namshi!$A:$B,2,0)</f>
        <v/>
      </c>
      <c r="F2062" s="4">
        <f>SUMIFS('Dubai Stock'!I:I,'Dubai Stock'!H:H,Final_UAE!B:B)</f>
        <v/>
      </c>
      <c r="H2062" s="8" t="e">
        <v>#N/A</v>
      </c>
    </row>
    <row r="2063">
      <c r="A2063" s="4" t="n">
        <v>33834</v>
      </c>
      <c r="B2063" s="4" t="inlineStr">
        <is>
          <t>sm101704-30s-000503-1704-54</t>
        </is>
      </c>
      <c r="C2063" s="4" t="inlineStr">
        <is>
          <t>W00031886A</t>
        </is>
      </c>
      <c r="D2063" s="6">
        <f>IF(F2063&gt;=5, F2063-5, IF(F2063&lt;5, 0, F2063))</f>
        <v/>
      </c>
      <c r="E2063">
        <f>VLOOKUP(B2063,[1]Namshi!$A:$B,2,0)</f>
        <v/>
      </c>
      <c r="F2063" s="4">
        <f>SUMIFS('Dubai Stock'!I:I,'Dubai Stock'!H:H,Final_UAE!B:B)</f>
        <v/>
      </c>
      <c r="H2063" s="8" t="e">
        <v>#N/A</v>
      </c>
      <c r="I2063" s="8" t="n"/>
    </row>
    <row r="2064">
      <c r="A2064" s="4" t="n">
        <v>33834</v>
      </c>
      <c r="B2064" s="4" t="inlineStr">
        <is>
          <t>fc50918-bab-000503-0918-46</t>
        </is>
      </c>
      <c r="C2064" s="4" t="inlineStr">
        <is>
          <t>W00031886A</t>
        </is>
      </c>
      <c r="D2064" s="6">
        <f>IF(F2064&gt;=5, F2064-5, IF(F2064&lt;5, 0, F2064))</f>
        <v/>
      </c>
      <c r="E2064">
        <f>VLOOKUP(B2064,[1]Namshi!$A:$B,2,0)</f>
        <v/>
      </c>
      <c r="F2064" s="4">
        <f>SUMIFS('Dubai Stock'!I:I,'Dubai Stock'!H:H,Final_UAE!B:B)</f>
        <v/>
      </c>
      <c r="H2064" s="8" t="e">
        <v>#N/A</v>
      </c>
      <c r="I2064" s="8" t="n"/>
    </row>
    <row r="2065">
      <c r="A2065" s="4" t="n">
        <v>33834</v>
      </c>
      <c r="B2065" s="4" t="inlineStr">
        <is>
          <t>sm50207-30s-000205-0207-55</t>
        </is>
      </c>
      <c r="C2065" s="4" t="inlineStr">
        <is>
          <t>W00031886A</t>
        </is>
      </c>
      <c r="D2065" s="6">
        <f>IF(F2065&gt;=5, F2065-5, IF(F2065&lt;5, 0, F2065))</f>
        <v/>
      </c>
      <c r="E2065">
        <f>VLOOKUP(B2065,[1]Namshi!$A:$B,2,0)</f>
        <v/>
      </c>
      <c r="F2065" s="4">
        <f>SUMIFS('Dubai Stock'!I:I,'Dubai Stock'!H:H,Final_UAE!B:B)</f>
        <v/>
      </c>
      <c r="H2065" s="8" t="e">
        <v>#N/A</v>
      </c>
    </row>
    <row r="2066">
      <c r="A2066" s="4" t="n">
        <v>33834</v>
      </c>
      <c r="B2066" s="4" t="inlineStr">
        <is>
          <t>cost3mo-lay-2022-p02-avena-brown-sn0075</t>
        </is>
      </c>
      <c r="C2066" s="4" t="inlineStr">
        <is>
          <t>W00031886A</t>
        </is>
      </c>
      <c r="D2066" s="6">
        <f>IF(F2066&gt;=5, F2066-5, IF(F2066&lt;5, 0, F2066))</f>
        <v/>
      </c>
      <c r="E2066">
        <f>VLOOKUP(B2066,[1]Namshi!$A:$B,2,0)</f>
        <v/>
      </c>
      <c r="F2066" s="4">
        <f>SUMIFS('Dubai Stock'!I:I,'Dubai Stock'!H:H,Final_UAE!B:B)</f>
        <v/>
      </c>
      <c r="H2066" s="8" t="e">
        <v>#N/A</v>
      </c>
      <c r="I2066" s="8" t="n"/>
    </row>
    <row r="2067">
      <c r="A2067" s="4" t="n">
        <v>33834</v>
      </c>
      <c r="B2067" s="4" t="inlineStr">
        <is>
          <t>sm50606-30s-00438-0606p-52</t>
        </is>
      </c>
      <c r="C2067" s="4" t="inlineStr">
        <is>
          <t>W00031886A</t>
        </is>
      </c>
      <c r="D2067" s="6">
        <f>IF(F2067&gt;=5, F2067-5, IF(F2067&lt;5, 0, F2067))</f>
        <v/>
      </c>
      <c r="E2067">
        <f>VLOOKUP(B2067,[1]Namshi!$A:$B,2,0)</f>
        <v/>
      </c>
      <c r="F2067" s="4">
        <f>SUMIFS('Dubai Stock'!I:I,'Dubai Stock'!H:H,Final_UAE!B:B)</f>
        <v/>
      </c>
      <c r="H2067" s="8" t="e">
        <v>#N/A</v>
      </c>
    </row>
    <row r="2068">
      <c r="A2068" s="4" t="n">
        <v>33834</v>
      </c>
      <c r="B2068" s="4" t="inlineStr">
        <is>
          <t>sw100101-30s-000261-0101-62</t>
        </is>
      </c>
      <c r="C2068" s="4" t="inlineStr">
        <is>
          <t>W00031886A</t>
        </is>
      </c>
      <c r="D2068" s="6">
        <f>IF(F2068&gt;=5, F2068-5, IF(F2068&lt;5, 0, F2068))</f>
        <v/>
      </c>
      <c r="E2068">
        <f>VLOOKUP(B2068,[1]Namshi!$A:$B,2,0)</f>
        <v/>
      </c>
      <c r="F2068" s="4">
        <f>SUMIFS('Dubai Stock'!I:I,'Dubai Stock'!H:H,Final_UAE!B:B)</f>
        <v/>
      </c>
      <c r="H2068" s="8" t="e">
        <v>#N/A</v>
      </c>
    </row>
    <row r="2069">
      <c r="A2069" s="4" t="n">
        <v>33834</v>
      </c>
      <c r="B2069" s="4" t="inlineStr">
        <is>
          <t>sw32604-30s-000302-2604-53</t>
        </is>
      </c>
      <c r="C2069" s="4" t="inlineStr">
        <is>
          <t>W00031886A</t>
        </is>
      </c>
      <c r="D2069" s="6">
        <f>IF(F2069&gt;=5, F2069-5, IF(F2069&lt;5, 0, F2069))</f>
        <v/>
      </c>
      <c r="E2069">
        <f>VLOOKUP(B2069,[1]Namshi!$A:$B,2,0)</f>
        <v/>
      </c>
      <c r="F2069" s="4">
        <f>SUMIFS('Dubai Stock'!I:I,'Dubai Stock'!H:H,Final_UAE!B:B)</f>
        <v/>
      </c>
      <c r="H2069" s="8" t="e">
        <v>#N/A</v>
      </c>
    </row>
    <row r="2070">
      <c r="A2070" s="4" t="n">
        <v>33834</v>
      </c>
      <c r="B2070" s="4" t="inlineStr">
        <is>
          <t>clstdai-dai-tot1-p90-sn0075</t>
        </is>
      </c>
      <c r="C2070" s="4" t="inlineStr">
        <is>
          <t>W00031886A</t>
        </is>
      </c>
      <c r="D2070" s="6">
        <f>IF(F2070&gt;=5, F2070-5, IF(F2070&lt;5, 0, F2070))</f>
        <v/>
      </c>
      <c r="E2070">
        <f>VLOOKUP(B2070,[1]Namshi!$A:$B,2,0)</f>
        <v/>
      </c>
      <c r="F2070" s="4">
        <f>SUMIFS('Dubai Stock'!I:I,'Dubai Stock'!H:H,Final_UAE!B:B)</f>
        <v/>
      </c>
      <c r="H2070" s="8" t="e">
        <v>#N/A</v>
      </c>
      <c r="I2070" s="8" t="n"/>
    </row>
    <row r="2071">
      <c r="A2071" s="4" t="n">
        <v>33834</v>
      </c>
      <c r="B2071" s="4" t="inlineStr">
        <is>
          <t>sw30104-30s-000455-0104-54</t>
        </is>
      </c>
      <c r="C2071" s="4" t="inlineStr">
        <is>
          <t>W00031886A</t>
        </is>
      </c>
      <c r="D2071" s="6">
        <f>IF(F2071&gt;=5, F2071-5, IF(F2071&lt;5, 0, F2071))</f>
        <v/>
      </c>
      <c r="E2071">
        <f>VLOOKUP(B2071,[1]Namshi!$A:$B,2,0)</f>
        <v/>
      </c>
      <c r="F2071" s="4">
        <f>SUMIFS('Dubai Stock'!I:I,'Dubai Stock'!H:H,Final_UAE!B:B)</f>
        <v/>
      </c>
      <c r="H2071" s="8" t="e">
        <v>#N/A</v>
      </c>
    </row>
    <row r="2072">
      <c r="A2072" s="4" t="n">
        <v>33834</v>
      </c>
      <c r="B2072" s="4" t="inlineStr">
        <is>
          <t>sw40606-bla-000271-0606-49</t>
        </is>
      </c>
      <c r="C2072" s="4" t="inlineStr">
        <is>
          <t>W00031886A</t>
        </is>
      </c>
      <c r="D2072" s="6">
        <f>IF(F2072&gt;=5, F2072-5, IF(F2072&lt;5, 0, F2072))</f>
        <v/>
      </c>
      <c r="E2072">
        <f>VLOOKUP(B2072,[1]Namshi!$A:$B,2,0)</f>
        <v/>
      </c>
      <c r="F2072" s="4">
        <f>SUMIFS('Dubai Stock'!I:I,'Dubai Stock'!H:H,Final_UAE!B:B)</f>
        <v/>
      </c>
      <c r="H2072" s="8" t="e">
        <v>#N/A</v>
      </c>
    </row>
    <row r="2073">
      <c r="A2073" s="4" t="n">
        <v>33834</v>
      </c>
      <c r="B2073" s="4" t="inlineStr">
        <is>
          <t>costdai-ama-dail-p10-honey-sn0150</t>
        </is>
      </c>
      <c r="C2073" s="4" t="inlineStr">
        <is>
          <t>W00031886A</t>
        </is>
      </c>
      <c r="D2073" s="6">
        <f>IF(F2073&gt;=5, F2073-5, IF(F2073&lt;5, 0, F2073))</f>
        <v/>
      </c>
      <c r="E2073">
        <f>VLOOKUP(B2073,[1]Namshi!$A:$B,2,0)</f>
        <v/>
      </c>
      <c r="F2073" s="4">
        <f>SUMIFS('Dubai Stock'!I:I,'Dubai Stock'!H:H,Final_UAE!B:B)</f>
        <v/>
      </c>
      <c r="H2073" s="8" t="e">
        <v>#N/A</v>
      </c>
      <c r="I2073" s="8" t="n"/>
    </row>
    <row r="2074">
      <c r="A2074" s="4" t="n">
        <v>33834</v>
      </c>
      <c r="B2074" s="4" t="inlineStr">
        <is>
          <t>saccase-30s-case104-pnk-bge-blush-pink</t>
        </is>
      </c>
      <c r="C2074" s="4" t="inlineStr">
        <is>
          <t>W00031886A</t>
        </is>
      </c>
      <c r="D2074" s="6">
        <f>IF(F2074&gt;=5, F2074-5, IF(F2074&lt;5, 0, F2074))</f>
        <v/>
      </c>
      <c r="E2074">
        <f>VLOOKUP(B2074,[1]Namshi!$A:$B,2,0)</f>
        <v/>
      </c>
      <c r="F2074" s="4">
        <f>SUMIFS('Dubai Stock'!I:I,'Dubai Stock'!H:H,Final_UAE!B:B)</f>
        <v/>
      </c>
      <c r="H2074" s="8" t="e">
        <v>#N/A</v>
      </c>
      <c r="I2074" s="8" t="n"/>
    </row>
    <row r="2075">
      <c r="A2075" s="4" t="n">
        <v>33834</v>
      </c>
      <c r="B2075" s="4" t="inlineStr">
        <is>
          <t>costmon-ama-2024-p02-nmr-sn0150</t>
        </is>
      </c>
      <c r="C2075" s="4" t="inlineStr">
        <is>
          <t>W00031886A</t>
        </is>
      </c>
      <c r="D2075" s="6">
        <f>IF(F2075&gt;=5, F2075-5, IF(F2075&lt;5, 0, F2075))</f>
        <v/>
      </c>
      <c r="E2075">
        <f>VLOOKUP(B2075,[1]Namshi!$A:$B,2,0)</f>
        <v/>
      </c>
      <c r="F2075" s="4">
        <f>SUMIFS('Dubai Stock'!I:I,'Dubai Stock'!H:H,Final_UAE!B:B)</f>
        <v/>
      </c>
      <c r="H2075" s="8" t="e">
        <v>#N/A</v>
      </c>
      <c r="I2075" s="8" t="n"/>
    </row>
    <row r="2076">
      <c r="A2076" s="4" t="n">
        <v>33834</v>
      </c>
      <c r="B2076" s="4" t="inlineStr">
        <is>
          <t>sm100107-30s-000266-0107-59</t>
        </is>
      </c>
      <c r="C2076" s="4" t="inlineStr">
        <is>
          <t>W00031886A</t>
        </is>
      </c>
      <c r="D2076" s="6">
        <f>IF(F2076&gt;=5, F2076-5, IF(F2076&lt;5, 0, F2076))</f>
        <v/>
      </c>
      <c r="E2076">
        <f>VLOOKUP(B2076,[1]Namshi!$A:$B,2,0)</f>
        <v/>
      </c>
      <c r="F2076" s="4">
        <f>SUMIFS('Dubai Stock'!I:I,'Dubai Stock'!H:H,Final_UAE!B:B)</f>
        <v/>
      </c>
      <c r="H2076" s="8" t="e">
        <v>#N/A</v>
      </c>
    </row>
    <row r="2077">
      <c r="A2077" s="4" t="n">
        <v>33834</v>
      </c>
      <c r="B2077" s="4" t="inlineStr">
        <is>
          <t>sw30107-bla-000344-0107-56</t>
        </is>
      </c>
      <c r="C2077" s="4" t="inlineStr">
        <is>
          <t>W00031886A</t>
        </is>
      </c>
      <c r="D2077" s="6">
        <f>IF(F2077&gt;=5, F2077-5, IF(F2077&lt;5, 0, F2077))</f>
        <v/>
      </c>
      <c r="E2077">
        <f>VLOOKUP(B2077,[1]Namshi!$A:$B,2,0)</f>
        <v/>
      </c>
      <c r="F2077" s="4">
        <f>SUMIFS('Dubai Stock'!I:I,'Dubai Stock'!H:H,Final_UAE!B:B)</f>
        <v/>
      </c>
      <c r="H2077" s="8" t="e">
        <v>#N/A</v>
      </c>
    </row>
    <row r="2078">
      <c r="A2078" s="4" t="n">
        <v>33834</v>
      </c>
      <c r="B2078" s="4" t="inlineStr">
        <is>
          <t>sw50107-30s-000225-0101-59</t>
        </is>
      </c>
      <c r="C2078" s="4" t="inlineStr">
        <is>
          <t>W00031886A</t>
        </is>
      </c>
      <c r="D2078" s="6">
        <f>IF(F2078&gt;=5, F2078-5, IF(F2078&lt;5, 0, F2078))</f>
        <v/>
      </c>
      <c r="E2078">
        <f>VLOOKUP(B2078,[1]Namshi!$A:$B,2,0)</f>
        <v/>
      </c>
      <c r="F2078" s="4">
        <f>SUMIFS('Dubai Stock'!I:I,'Dubai Stock'!H:H,Final_UAE!B:B)</f>
        <v/>
      </c>
      <c r="H2078" s="8" t="e">
        <v>#N/A</v>
      </c>
    </row>
    <row r="2079">
      <c r="A2079" s="4" t="n">
        <v>33834</v>
      </c>
      <c r="B2079" s="4" t="inlineStr">
        <is>
          <t>sw30101-30s-000263-0101-56</t>
        </is>
      </c>
      <c r="C2079" s="4" t="inlineStr">
        <is>
          <t>W00031886A</t>
        </is>
      </c>
      <c r="D2079" s="6">
        <f>IF(F2079&gt;=5, F2079-5, IF(F2079&lt;5, 0, F2079))</f>
        <v/>
      </c>
      <c r="E2079">
        <f>VLOOKUP(B2079,[1]Namshi!$A:$B,2,0)</f>
        <v/>
      </c>
      <c r="F2079" s="4">
        <f>SUMIFS('Dubai Stock'!I:I,'Dubai Stock'!H:H,Final_UAE!B:B)</f>
        <v/>
      </c>
      <c r="H2079" s="8" t="e">
        <v>#N/A</v>
      </c>
    </row>
    <row r="2080">
      <c r="A2080" s="4" t="n">
        <v>33834</v>
      </c>
      <c r="B2080" s="4" t="inlineStr">
        <is>
          <t>sw30404-30s-000239-0909-54</t>
        </is>
      </c>
      <c r="C2080" s="4" t="inlineStr">
        <is>
          <t>W00031886A</t>
        </is>
      </c>
      <c r="D2080" s="6">
        <f>IF(F2080&gt;=5, F2080-5, IF(F2080&lt;5, 0, F2080))</f>
        <v/>
      </c>
      <c r="E2080">
        <f>VLOOKUP(B2080,[1]Namshi!$A:$B,2,0)</f>
        <v/>
      </c>
      <c r="F2080" s="4">
        <f>SUMIFS('Dubai Stock'!I:I,'Dubai Stock'!H:H,Final_UAE!B:B)</f>
        <v/>
      </c>
      <c r="H2080" s="8" t="e">
        <v>#N/A</v>
      </c>
    </row>
    <row r="2081">
      <c r="A2081" s="4" t="n">
        <v>33834</v>
      </c>
      <c r="B2081" s="4" t="inlineStr">
        <is>
          <t>fw32418-spc-000615-2418-55</t>
        </is>
      </c>
      <c r="C2081" s="4" t="inlineStr">
        <is>
          <t>W00031886A</t>
        </is>
      </c>
      <c r="D2081" s="6">
        <f>IF(F2081&gt;=5, F2081-5, IF(F2081&lt;5, 0, F2081))</f>
        <v/>
      </c>
      <c r="E2081">
        <f>VLOOKUP(B2081,[1]Namshi!$A:$B,2,0)</f>
        <v/>
      </c>
      <c r="F2081" s="4">
        <f>SUMIFS('Dubai Stock'!I:I,'Dubai Stock'!H:H,Final_UAE!B:B)</f>
        <v/>
      </c>
      <c r="H2081" s="8" t="e">
        <v>#N/A</v>
      </c>
      <c r="I2081" s="8" t="n"/>
    </row>
    <row r="2082">
      <c r="A2082" s="4" t="n">
        <v>33834</v>
      </c>
      <c r="B2082" s="4" t="inlineStr">
        <is>
          <t>costmon-ama-2020-p02-charcoal-gray-sn0200</t>
        </is>
      </c>
      <c r="C2082" s="4" t="inlineStr">
        <is>
          <t>W00031886A</t>
        </is>
      </c>
      <c r="D2082" s="6">
        <f>IF(F2082&gt;=5, F2082-5, IF(F2082&lt;5, 0, F2082))</f>
        <v/>
      </c>
      <c r="E2082">
        <f>VLOOKUP(B2082,[1]Namshi!$A:$B,2,0)</f>
        <v/>
      </c>
      <c r="F2082" s="4">
        <f>SUMIFS('Dubai Stock'!I:I,'Dubai Stock'!H:H,Final_UAE!B:B)</f>
        <v/>
      </c>
      <c r="H2082" s="8" t="e">
        <v>#N/A</v>
      </c>
      <c r="I2082" s="8" t="n"/>
    </row>
    <row r="2083">
      <c r="A2083" s="4" t="n">
        <v>33834</v>
      </c>
      <c r="B2083" s="4" t="inlineStr">
        <is>
          <t>sm50107-30s-000223-0107-54</t>
        </is>
      </c>
      <c r="C2083" s="4" t="inlineStr">
        <is>
          <t>W00031886A</t>
        </is>
      </c>
      <c r="D2083" s="6">
        <f>IF(F2083&gt;=5, F2083-5, IF(F2083&lt;5, 0, F2083))</f>
        <v/>
      </c>
      <c r="E2083">
        <f>VLOOKUP(B2083,[1]Namshi!$A:$B,2,0)</f>
        <v/>
      </c>
      <c r="F2083" s="4">
        <f>SUMIFS('Dubai Stock'!I:I,'Dubai Stock'!H:H,Final_UAE!B:B)</f>
        <v/>
      </c>
      <c r="H2083" s="8" t="e">
        <v>#N/A</v>
      </c>
    </row>
    <row r="2084">
      <c r="A2084" s="4" t="n">
        <v>33834</v>
      </c>
      <c r="B2084" s="4" t="inlineStr">
        <is>
          <t>sw102004-30s-000424-2004-55</t>
        </is>
      </c>
      <c r="C2084" s="4" t="inlineStr">
        <is>
          <t>W00031886A</t>
        </is>
      </c>
      <c r="D2084" s="6">
        <f>IF(F2084&gt;=5, F2084-5, IF(F2084&lt;5, 0, F2084))</f>
        <v/>
      </c>
      <c r="E2084">
        <f>VLOOKUP(B2084,[1]Namshi!$A:$B,2,0)</f>
        <v/>
      </c>
      <c r="F2084" s="4">
        <f>SUMIFS('Dubai Stock'!I:I,'Dubai Stock'!H:H,Final_UAE!B:B)</f>
        <v/>
      </c>
      <c r="H2084" s="8" t="e">
        <v>#N/A</v>
      </c>
    </row>
    <row r="2085">
      <c r="A2085" s="4" t="n">
        <v>33834</v>
      </c>
      <c r="B2085" s="4" t="inlineStr">
        <is>
          <t>costdai-acu-dffr-p30-hazel-sn0175</t>
        </is>
      </c>
      <c r="C2085" s="4" t="inlineStr">
        <is>
          <t>W00031886A</t>
        </is>
      </c>
      <c r="D2085" s="6">
        <f>IF(F2085&gt;=5, F2085-5, IF(F2085&lt;5, 0, F2085))</f>
        <v/>
      </c>
      <c r="E2085">
        <f>VLOOKUP(B2085,[1]Namshi!$A:$B,2,0)</f>
        <v/>
      </c>
      <c r="F2085" s="4">
        <f>SUMIFS('Dubai Stock'!I:I,'Dubai Stock'!H:H,Final_UAE!B:B)</f>
        <v/>
      </c>
      <c r="H2085" s="8" t="e">
        <v>#N/A</v>
      </c>
      <c r="I2085" s="8" t="n"/>
    </row>
    <row r="2086">
      <c r="A2086" s="4" t="n">
        <v>33834</v>
      </c>
      <c r="B2086" s="4" t="inlineStr">
        <is>
          <t>clstdai-eve-pure-p30-sp0225</t>
        </is>
      </c>
      <c r="C2086" s="4" t="inlineStr">
        <is>
          <t>W00031886A</t>
        </is>
      </c>
      <c r="D2086" s="6">
        <f>IF(F2086&gt;=5, F2086-5, IF(F2086&lt;5, 0, F2086))</f>
        <v/>
      </c>
      <c r="E2086">
        <f>VLOOKUP(B2086,[1]Namshi!$A:$B,2,0)</f>
        <v/>
      </c>
      <c r="F2086" s="4">
        <f>SUMIFS('Dubai Stock'!I:I,'Dubai Stock'!H:H,Final_UAE!B:B)</f>
        <v/>
      </c>
      <c r="H2086" s="8" t="n">
        <v>186</v>
      </c>
      <c r="I2086" s="8" t="n">
        <v>104.3</v>
      </c>
    </row>
    <row r="2087">
      <c r="A2087" s="4" t="n">
        <v>33834</v>
      </c>
      <c r="B2087" s="4" t="inlineStr">
        <is>
          <t>clstdai-lay-cont-p90-dazzle-brown-sn0850</t>
        </is>
      </c>
      <c r="C2087" s="4" t="inlineStr">
        <is>
          <t>W00031886A</t>
        </is>
      </c>
      <c r="D2087" s="6">
        <f>IF(F2087&gt;=5, F2087-5, IF(F2087&lt;5, 0, F2087))</f>
        <v/>
      </c>
      <c r="E2087">
        <f>VLOOKUP(B2087,[1]Namshi!$A:$B,2,0)</f>
        <v/>
      </c>
      <c r="F2087" s="4">
        <f>SUMIFS('Dubai Stock'!I:I,'Dubai Stock'!H:H,Final_UAE!B:B)</f>
        <v/>
      </c>
      <c r="H2087" s="8" t="e">
        <v>#N/A</v>
      </c>
      <c r="I2087" s="8" t="n"/>
    </row>
    <row r="2088">
      <c r="A2088" s="4" t="n">
        <v>33834</v>
      </c>
      <c r="B2088" s="4" t="inlineStr">
        <is>
          <t>clstdai-eve-pure-p30-sn0275</t>
        </is>
      </c>
      <c r="C2088" s="4" t="inlineStr">
        <is>
          <t>W00031886A</t>
        </is>
      </c>
      <c r="D2088" s="6">
        <f>IF(F2088&gt;=5, F2088-5, IF(F2088&lt;5, 0, F2088))</f>
        <v/>
      </c>
      <c r="E2088">
        <f>VLOOKUP(B2088,[1]Namshi!$A:$B,2,0)</f>
        <v/>
      </c>
      <c r="F2088" s="4">
        <f>SUMIFS('Dubai Stock'!I:I,'Dubai Stock'!H:H,Final_UAE!B:B)</f>
        <v/>
      </c>
      <c r="H2088" s="8" t="n">
        <v>186</v>
      </c>
      <c r="I2088" s="8" t="n">
        <v>104.3</v>
      </c>
    </row>
    <row r="2089">
      <c r="A2089" s="4" t="n">
        <v>33834</v>
      </c>
      <c r="B2089" s="4" t="inlineStr">
        <is>
          <t>clstdai-lay-cont-p90-dazzle-brown-sn0425</t>
        </is>
      </c>
      <c r="C2089" s="4" t="inlineStr">
        <is>
          <t>W00031886A</t>
        </is>
      </c>
      <c r="D2089" s="6">
        <f>IF(F2089&gt;=5, F2089-5, IF(F2089&lt;5, 0, F2089))</f>
        <v/>
      </c>
      <c r="E2089">
        <f>VLOOKUP(B2089,[1]Namshi!$A:$B,2,0)</f>
        <v/>
      </c>
      <c r="F2089" s="4">
        <f>SUMIFS('Dubai Stock'!I:I,'Dubai Stock'!H:H,Final_UAE!B:B)</f>
        <v/>
      </c>
      <c r="H2089" s="8" t="e">
        <v>#N/A</v>
      </c>
      <c r="I2089" s="8" t="n"/>
    </row>
    <row r="2090">
      <c r="A2090" s="4" t="n">
        <v>33834</v>
      </c>
      <c r="B2090" s="4" t="inlineStr">
        <is>
          <t>clstdai-acu-oasy-p30-sn0350</t>
        </is>
      </c>
      <c r="C2090" s="4" t="inlineStr">
        <is>
          <t>W00031886A</t>
        </is>
      </c>
      <c r="D2090" s="6">
        <f>IF(F2090&gt;=5, F2090-5, IF(F2090&lt;5, 0, F2090))</f>
        <v/>
      </c>
      <c r="E2090">
        <f>VLOOKUP(B2090,[1]Namshi!$A:$B,2,0)</f>
        <v/>
      </c>
      <c r="F2090" s="4">
        <f>SUMIFS('Dubai Stock'!I:I,'Dubai Stock'!H:H,Final_UAE!B:B)</f>
        <v/>
      </c>
      <c r="H2090" s="8" t="e">
        <v>#N/A</v>
      </c>
      <c r="I2090" s="8" t="n"/>
    </row>
    <row r="2091">
      <c r="A2091" s="4" t="n">
        <v>33834</v>
      </c>
      <c r="B2091" s="4" t="inlineStr">
        <is>
          <t>clstbiw-acu-0002-p06-sn1050</t>
        </is>
      </c>
      <c r="C2091" s="4" t="inlineStr">
        <is>
          <t>W00031886A</t>
        </is>
      </c>
      <c r="D2091" s="6">
        <f>IF(F2091&gt;=5, F2091-5, IF(F2091&lt;5, 0, F2091))</f>
        <v/>
      </c>
      <c r="E2091">
        <f>VLOOKUP(B2091,[1]Namshi!$A:$B,2,0)</f>
        <v/>
      </c>
      <c r="F2091" s="4">
        <f>SUMIFS('Dubai Stock'!I:I,'Dubai Stock'!H:H,Final_UAE!B:B)</f>
        <v/>
      </c>
      <c r="H2091" s="8" t="e">
        <v>#N/A</v>
      </c>
      <c r="I2091" s="8" t="n"/>
    </row>
    <row r="2092">
      <c r="A2092" s="4" t="n">
        <v>33834</v>
      </c>
      <c r="B2092" s="4" t="inlineStr">
        <is>
          <t>cost3mo-lay-2022-p02-sage-gray-sn0200</t>
        </is>
      </c>
      <c r="C2092" s="4" t="inlineStr">
        <is>
          <t>W00031886A</t>
        </is>
      </c>
      <c r="D2092" s="6">
        <f>IF(F2092&gt;=5, F2092-5, IF(F2092&lt;5, 0, F2092))</f>
        <v/>
      </c>
      <c r="E2092">
        <f>VLOOKUP(B2092,[1]Namshi!$A:$B,2,0)</f>
        <v/>
      </c>
      <c r="F2092" s="4">
        <f>SUMIFS('Dubai Stock'!I:I,'Dubai Stock'!H:H,Final_UAE!B:B)</f>
        <v/>
      </c>
      <c r="H2092" s="8" t="e">
        <v>#N/A</v>
      </c>
      <c r="I2092" s="8" t="n"/>
    </row>
    <row r="2093">
      <c r="A2093" s="4" t="n">
        <v>33834</v>
      </c>
      <c r="B2093" s="4" t="inlineStr">
        <is>
          <t>clstdai-acu-mois-p120-sn0350</t>
        </is>
      </c>
      <c r="C2093" s="4" t="inlineStr">
        <is>
          <t>W00031886A</t>
        </is>
      </c>
      <c r="D2093" s="6">
        <f>IF(F2093&gt;=5, F2093-5, IF(F2093&lt;5, 0, F2093))</f>
        <v/>
      </c>
      <c r="E2093">
        <f>VLOOKUP(B2093,[1]Namshi!$A:$B,2,0)</f>
        <v/>
      </c>
      <c r="F2093" s="4">
        <f>SUMIFS('Dubai Stock'!I:I,'Dubai Stock'!H:H,Final_UAE!B:B)</f>
        <v/>
      </c>
      <c r="H2093" s="8" t="e">
        <v>#N/A</v>
      </c>
      <c r="I2093" s="8" t="n"/>
    </row>
    <row r="2094">
      <c r="A2094" s="4" t="n">
        <v>33834</v>
      </c>
      <c r="B2094" s="4" t="inlineStr">
        <is>
          <t>clstdai-acu-omax-p90-sp0075</t>
        </is>
      </c>
      <c r="C2094" s="4" t="inlineStr">
        <is>
          <t>W00031886A</t>
        </is>
      </c>
      <c r="D2094" s="6">
        <f>IF(F2094&gt;=5, F2094-5, IF(F2094&lt;5, 0, F2094))</f>
        <v/>
      </c>
      <c r="E2094">
        <f>VLOOKUP(B2094,[1]Namshi!$A:$B,2,0)</f>
        <v/>
      </c>
      <c r="F2094" s="4">
        <f>SUMIFS('Dubai Stock'!I:I,'Dubai Stock'!H:H,Final_UAE!B:B)</f>
        <v/>
      </c>
      <c r="H2094" s="8" t="e">
        <v>#N/A</v>
      </c>
      <c r="I2094" s="8" t="n"/>
    </row>
    <row r="2095">
      <c r="A2095" s="4" t="n">
        <v>33834</v>
      </c>
      <c r="B2095" s="4" t="inlineStr">
        <is>
          <t>clstdai-acu-oasy-p90-sp0475</t>
        </is>
      </c>
      <c r="C2095" s="4" t="inlineStr">
        <is>
          <t>W00031886A</t>
        </is>
      </c>
      <c r="D2095" s="6">
        <f>IF(F2095&gt;=5, F2095-5, IF(F2095&lt;5, 0, F2095))</f>
        <v/>
      </c>
      <c r="E2095">
        <f>VLOOKUP(B2095,[1]Namshi!$A:$B,2,0)</f>
        <v/>
      </c>
      <c r="F2095" s="4">
        <f>SUMIFS('Dubai Stock'!I:I,'Dubai Stock'!H:H,Final_UAE!B:B)</f>
        <v/>
      </c>
      <c r="H2095" s="8" t="e">
        <v>#N/A</v>
      </c>
      <c r="I2095" s="8" t="n"/>
    </row>
    <row r="2096">
      <c r="A2096" s="4" t="n">
        <v>33834</v>
      </c>
      <c r="B2096" s="4" t="inlineStr">
        <is>
          <t>cost3mo-lay-2021-p02-sunkiss-brown-sn0350</t>
        </is>
      </c>
      <c r="C2096" s="4" t="inlineStr">
        <is>
          <t>W00031886A</t>
        </is>
      </c>
      <c r="D2096" s="6">
        <f>IF(F2096&gt;=5, F2096-5, IF(F2096&lt;5, 0, F2096))</f>
        <v/>
      </c>
      <c r="E2096">
        <f>VLOOKUP(B2096,[1]Namshi!$A:$B,2,0)</f>
        <v/>
      </c>
      <c r="F2096" s="4">
        <f>SUMIFS('Dubai Stock'!I:I,'Dubai Stock'!H:H,Final_UAE!B:B)</f>
        <v/>
      </c>
      <c r="H2096" s="8" t="e">
        <v>#N/A</v>
      </c>
      <c r="I2096" s="8" t="n"/>
    </row>
    <row r="2097">
      <c r="A2097" s="4" t="n">
        <v>33834</v>
      </c>
      <c r="B2097" s="4" t="inlineStr">
        <is>
          <t>sw50904-30s-000275-0804-48</t>
        </is>
      </c>
      <c r="C2097" s="4" t="inlineStr">
        <is>
          <t>W00031886A</t>
        </is>
      </c>
      <c r="D2097" s="6">
        <f>IF(F2097&gt;=5, F2097-5, IF(F2097&lt;5, 0, F2097))</f>
        <v/>
      </c>
      <c r="E2097">
        <f>VLOOKUP(B2097,[1]Namshi!$A:$B,2,0)</f>
        <v/>
      </c>
      <c r="F2097" s="4">
        <f>SUMIFS('Dubai Stock'!I:I,'Dubai Stock'!H:H,Final_UAE!B:B)</f>
        <v/>
      </c>
      <c r="H2097" s="8" t="e">
        <v>#N/A</v>
      </c>
    </row>
    <row r="2098">
      <c r="A2098" s="4" t="n">
        <v>33834</v>
      </c>
      <c r="B2098" s="4" t="inlineStr">
        <is>
          <t>sw31310-bla-000223-1307-57</t>
        </is>
      </c>
      <c r="C2098" s="4" t="inlineStr">
        <is>
          <t>W00031886A</t>
        </is>
      </c>
      <c r="D2098" s="6">
        <f>IF(F2098&gt;=5, F2098-5, IF(F2098&lt;5, 0, F2098))</f>
        <v/>
      </c>
      <c r="E2098">
        <f>VLOOKUP(B2098,[1]Namshi!$A:$B,2,0)</f>
        <v/>
      </c>
      <c r="F2098" s="4">
        <f>SUMIFS('Dubai Stock'!I:I,'Dubai Stock'!H:H,Final_UAE!B:B)</f>
        <v/>
      </c>
      <c r="H2098" s="8" t="e">
        <v>#N/A</v>
      </c>
    </row>
    <row r="2099">
      <c r="A2099" s="4" t="n">
        <v>33834</v>
      </c>
      <c r="B2099" s="4" t="inlineStr">
        <is>
          <t>fu70218-spc-000832-0218-50</t>
        </is>
      </c>
      <c r="C2099" s="4" t="inlineStr">
        <is>
          <t>W00031886A</t>
        </is>
      </c>
      <c r="D2099" s="6">
        <f>IF(F2099&gt;=5, F2099-5, IF(F2099&lt;5, 0, F2099))</f>
        <v/>
      </c>
      <c r="E2099">
        <f>VLOOKUP(B2099,[1]Namshi!$A:$B,2,0)</f>
        <v/>
      </c>
      <c r="F2099" s="4">
        <f>SUMIFS('Dubai Stock'!I:I,'Dubai Stock'!H:H,Final_UAE!B:B)</f>
        <v/>
      </c>
      <c r="H2099" s="8" t="e">
        <v>#N/A</v>
      </c>
      <c r="I2099" s="8" t="n"/>
    </row>
    <row r="2100">
      <c r="A2100" s="4" t="n">
        <v>33834</v>
      </c>
      <c r="B2100" s="4" t="inlineStr">
        <is>
          <t>clstdai-eve-elit-p90-sn0075</t>
        </is>
      </c>
      <c r="C2100" s="4" t="inlineStr">
        <is>
          <t>W00031886A</t>
        </is>
      </c>
      <c r="D2100" s="6">
        <f>IF(F2100&gt;=5, F2100-5, IF(F2100&lt;5, 0, F2100))</f>
        <v/>
      </c>
      <c r="E2100">
        <f>VLOOKUP(B2100,[1]Namshi!$A:$B,2,0)</f>
        <v/>
      </c>
      <c r="F2100" s="4">
        <f>SUMIFS('Dubai Stock'!I:I,'Dubai Stock'!H:H,Final_UAE!B:B)</f>
        <v/>
      </c>
      <c r="H2100" s="8" t="n">
        <v>729</v>
      </c>
      <c r="I2100" s="8" t="n">
        <v>357</v>
      </c>
    </row>
    <row r="2101">
      <c r="A2101" s="4" t="n">
        <v>33834</v>
      </c>
      <c r="B2101" s="4" t="inlineStr">
        <is>
          <t>clstdai-acu-mois-p90-sp0350</t>
        </is>
      </c>
      <c r="C2101" s="4" t="inlineStr">
        <is>
          <t>W00031886A</t>
        </is>
      </c>
      <c r="D2101" s="6">
        <f>IF(F2101&gt;=5, F2101-5, IF(F2101&lt;5, 0, F2101))</f>
        <v/>
      </c>
      <c r="E2101">
        <f>VLOOKUP(B2101,[1]Namshi!$A:$B,2,0)</f>
        <v/>
      </c>
      <c r="F2101" s="4">
        <f>SUMIFS('Dubai Stock'!I:I,'Dubai Stock'!H:H,Final_UAE!B:B)</f>
        <v/>
      </c>
      <c r="H2101" s="8" t="e">
        <v>#N/A</v>
      </c>
      <c r="I2101" s="8" t="n"/>
    </row>
    <row r="2102">
      <c r="A2102" s="4" t="n">
        <v>33834</v>
      </c>
      <c r="B2102" s="4" t="inlineStr">
        <is>
          <t>clstdai-btr-oned-p30-sn0625</t>
        </is>
      </c>
      <c r="C2102" s="4" t="inlineStr">
        <is>
          <t>W00031886A</t>
        </is>
      </c>
      <c r="D2102" s="6">
        <f>IF(F2102&gt;=5, F2102-5, IF(F2102&lt;5, 0, F2102))</f>
        <v/>
      </c>
      <c r="E2102">
        <f>VLOOKUP(B2102,[1]Namshi!$A:$B,2,0)</f>
        <v/>
      </c>
      <c r="F2102" s="4">
        <f>SUMIFS('Dubai Stock'!I:I,'Dubai Stock'!H:H,Final_UAE!B:B)</f>
        <v/>
      </c>
      <c r="H2102" s="8" t="e">
        <v>#N/A</v>
      </c>
      <c r="I2102" s="8" t="n"/>
    </row>
    <row r="2103">
      <c r="A2103" s="4" t="n">
        <v>33834</v>
      </c>
      <c r="B2103" s="4" t="inlineStr">
        <is>
          <t>saccase-30s-case102-blk-blk-black</t>
        </is>
      </c>
      <c r="C2103" s="4" t="inlineStr">
        <is>
          <t>W00031886A</t>
        </is>
      </c>
      <c r="D2103" s="6">
        <f>IF(F2103&gt;=5, F2103-5, IF(F2103&lt;5, 0, F2103))</f>
        <v/>
      </c>
      <c r="E2103">
        <f>VLOOKUP(B2103,[1]Namshi!$A:$B,2,0)</f>
        <v/>
      </c>
      <c r="F2103" s="4">
        <f>SUMIFS('Dubai Stock'!I:I,'Dubai Stock'!H:H,Final_UAE!B:B)</f>
        <v/>
      </c>
      <c r="H2103" s="8" t="e">
        <v>#N/A</v>
      </c>
      <c r="I2103" s="8" t="n"/>
    </row>
    <row r="2104">
      <c r="A2104" s="4" t="n">
        <v>33834</v>
      </c>
      <c r="B2104" s="4" t="inlineStr">
        <is>
          <t>costmon-ama-2022-p02-tan-sn0100</t>
        </is>
      </c>
      <c r="C2104" s="4" t="inlineStr">
        <is>
          <t>W00031886A</t>
        </is>
      </c>
      <c r="D2104" s="6">
        <f>IF(F2104&gt;=5, F2104-5, IF(F2104&lt;5, 0, F2104))</f>
        <v/>
      </c>
      <c r="E2104">
        <f>VLOOKUP(B2104,[1]Namshi!$A:$B,2,0)</f>
        <v/>
      </c>
      <c r="F2104" s="4">
        <f>SUMIFS('Dubai Stock'!I:I,'Dubai Stock'!H:H,Final_UAE!B:B)</f>
        <v/>
      </c>
      <c r="H2104" s="8" t="e">
        <v>#N/A</v>
      </c>
      <c r="I2104" s="8" t="n"/>
    </row>
    <row r="2105">
      <c r="A2105" s="4" t="n">
        <v>33834</v>
      </c>
      <c r="B2105" s="4" t="inlineStr">
        <is>
          <t>clstdai-bme-1day-p30-sn0475</t>
        </is>
      </c>
      <c r="C2105" s="4" t="inlineStr">
        <is>
          <t>W00031886A</t>
        </is>
      </c>
      <c r="D2105" s="6">
        <f>IF(F2105&gt;=5, F2105-5, IF(F2105&lt;5, 0, F2105))</f>
        <v/>
      </c>
      <c r="E2105">
        <f>VLOOKUP(B2105,[1]Namshi!$A:$B,2,0)</f>
        <v/>
      </c>
      <c r="F2105" s="4">
        <f>SUMIFS('Dubai Stock'!I:I,'Dubai Stock'!H:H,Final_UAE!B:B)</f>
        <v/>
      </c>
      <c r="H2105" s="8" t="e">
        <v>#N/A</v>
      </c>
      <c r="I2105" s="8" t="n"/>
    </row>
    <row r="2106">
      <c r="A2106" s="4" t="n">
        <v>33834</v>
      </c>
      <c r="B2106" s="4" t="inlineStr">
        <is>
          <t>clstdai-sof-sdai-p90-sn0225</t>
        </is>
      </c>
      <c r="C2106" s="4" t="inlineStr">
        <is>
          <t>W00031886A</t>
        </is>
      </c>
      <c r="D2106" s="6">
        <f>IF(F2106&gt;=5, F2106-5, IF(F2106&lt;5, 0, F2106))</f>
        <v/>
      </c>
      <c r="E2106">
        <f>VLOOKUP(B2106,[1]Namshi!$A:$B,2,0)</f>
        <v/>
      </c>
      <c r="F2106" s="4">
        <f>SUMIFS('Dubai Stock'!I:I,'Dubai Stock'!H:H,Final_UAE!B:B)</f>
        <v/>
      </c>
      <c r="H2106" s="8" t="e">
        <v>#N/A</v>
      </c>
      <c r="I2106" s="8" t="n"/>
    </row>
    <row r="2107">
      <c r="A2107" s="4" t="n">
        <v>33834</v>
      </c>
      <c r="B2107" s="4" t="inlineStr">
        <is>
          <t>clstdai-acu-mois-p30-sn0300</t>
        </is>
      </c>
      <c r="C2107" s="4" t="inlineStr">
        <is>
          <t>W00031886A</t>
        </is>
      </c>
      <c r="D2107" s="6">
        <f>IF(F2107&gt;=5, F2107-5, IF(F2107&lt;5, 0, F2107))</f>
        <v/>
      </c>
      <c r="E2107">
        <f>VLOOKUP(B2107,[1]Namshi!$A:$B,2,0)</f>
        <v/>
      </c>
      <c r="F2107" s="4">
        <f>SUMIFS('Dubai Stock'!I:I,'Dubai Stock'!H:H,Final_UAE!B:B)</f>
        <v/>
      </c>
      <c r="H2107" s="8" t="e">
        <v>#N/A</v>
      </c>
      <c r="I2107" s="8" t="n"/>
    </row>
    <row r="2108">
      <c r="A2108" s="4" t="n">
        <v>33834</v>
      </c>
      <c r="B2108" s="4" t="inlineStr">
        <is>
          <t>cost3mo-lay-2022-p02-sage-gray-sn0175</t>
        </is>
      </c>
      <c r="C2108" s="4" t="inlineStr">
        <is>
          <t>W00031886A</t>
        </is>
      </c>
      <c r="D2108" s="6">
        <f>IF(F2108&gt;=5, F2108-5, IF(F2108&lt;5, 0, F2108))</f>
        <v/>
      </c>
      <c r="E2108">
        <f>VLOOKUP(B2108,[1]Namshi!$A:$B,2,0)</f>
        <v/>
      </c>
      <c r="F2108" s="4">
        <f>SUMIFS('Dubai Stock'!I:I,'Dubai Stock'!H:H,Final_UAE!B:B)</f>
        <v/>
      </c>
      <c r="H2108" s="8" t="e">
        <v>#N/A</v>
      </c>
      <c r="I2108" s="8" t="n"/>
    </row>
    <row r="2109">
      <c r="A2109" s="4" t="n">
        <v>33834</v>
      </c>
      <c r="B2109" s="4" t="inlineStr">
        <is>
          <t>sm50404-30s-000298-0404-53</t>
        </is>
      </c>
      <c r="C2109" s="4" t="inlineStr">
        <is>
          <t>W00031886A</t>
        </is>
      </c>
      <c r="D2109" s="6">
        <f>IF(F2109&gt;=5, F2109-5, IF(F2109&lt;5, 0, F2109))</f>
        <v/>
      </c>
      <c r="E2109">
        <f>VLOOKUP(B2109,[1]Namshi!$A:$B,2,0)</f>
        <v/>
      </c>
      <c r="F2109" s="4">
        <f>SUMIFS('Dubai Stock'!I:I,'Dubai Stock'!H:H,Final_UAE!B:B)</f>
        <v/>
      </c>
      <c r="H2109" s="8" t="e">
        <v>#N/A</v>
      </c>
    </row>
    <row r="2110">
      <c r="A2110" s="4" t="n">
        <v>33834</v>
      </c>
      <c r="B2110" s="4" t="inlineStr">
        <is>
          <t>clstdai-acu-dfvi-p60-sn0475</t>
        </is>
      </c>
      <c r="C2110" s="4" t="inlineStr">
        <is>
          <t>W00031886A</t>
        </is>
      </c>
      <c r="D2110" s="6">
        <f>IF(F2110&gt;=5, F2110-5, IF(F2110&lt;5, 0, F2110))</f>
        <v/>
      </c>
      <c r="E2110">
        <f>VLOOKUP(B2110,[1]Namshi!$A:$B,2,0)</f>
        <v/>
      </c>
      <c r="F2110" s="4">
        <f>SUMIFS('Dubai Stock'!I:I,'Dubai Stock'!H:H,Final_UAE!B:B)</f>
        <v/>
      </c>
      <c r="H2110" s="8" t="e">
        <v>#N/A</v>
      </c>
      <c r="I2110" s="8" t="n"/>
    </row>
    <row r="2111">
      <c r="A2111" s="4" t="n">
        <v>33834</v>
      </c>
      <c r="B2111" s="4" t="inlineStr">
        <is>
          <t>sw52909-30s-000225-2909-59</t>
        </is>
      </c>
      <c r="C2111" s="4" t="inlineStr">
        <is>
          <t>W00031886A</t>
        </is>
      </c>
      <c r="D2111" s="6">
        <f>IF(F2111&gt;=5, F2111-5, IF(F2111&lt;5, 0, F2111))</f>
        <v/>
      </c>
      <c r="E2111">
        <f>VLOOKUP(B2111,[1]Namshi!$A:$B,2,0)</f>
        <v/>
      </c>
      <c r="F2111" s="4">
        <f>SUMIFS('Dubai Stock'!I:I,'Dubai Stock'!H:H,Final_UAE!B:B)</f>
        <v/>
      </c>
      <c r="H2111" s="8" t="e">
        <v>#N/A</v>
      </c>
    </row>
    <row r="2112">
      <c r="A2112" s="4" t="n">
        <v>33834</v>
      </c>
      <c r="B2112" s="4" t="inlineStr">
        <is>
          <t>clstdai-acu-oasy-p60-sn0425</t>
        </is>
      </c>
      <c r="C2112" s="4" t="inlineStr">
        <is>
          <t>W00031886A</t>
        </is>
      </c>
      <c r="D2112" s="6">
        <f>IF(F2112&gt;=5, F2112-5, IF(F2112&lt;5, 0, F2112))</f>
        <v/>
      </c>
      <c r="E2112">
        <f>VLOOKUP(B2112,[1]Namshi!$A:$B,2,0)</f>
        <v/>
      </c>
      <c r="F2112" s="4">
        <f>SUMIFS('Dubai Stock'!I:I,'Dubai Stock'!H:H,Final_UAE!B:B)</f>
        <v/>
      </c>
      <c r="H2112" s="8" t="e">
        <v>#N/A</v>
      </c>
      <c r="I2112" s="8" t="n"/>
    </row>
    <row r="2113">
      <c r="A2113" s="4" t="n">
        <v>33834</v>
      </c>
      <c r="B2113" s="4" t="inlineStr">
        <is>
          <t>clstdai-dai-aqua-p30-sp0150</t>
        </is>
      </c>
      <c r="C2113" s="4" t="inlineStr">
        <is>
          <t>W00031886A</t>
        </is>
      </c>
      <c r="D2113" s="6">
        <f>IF(F2113&gt;=5, F2113-5, IF(F2113&lt;5, 0, F2113))</f>
        <v/>
      </c>
      <c r="E2113">
        <f>VLOOKUP(B2113,[1]Namshi!$A:$B,2,0)</f>
        <v/>
      </c>
      <c r="F2113" s="4">
        <f>SUMIFS('Dubai Stock'!I:I,'Dubai Stock'!H:H,Final_UAE!B:B)</f>
        <v/>
      </c>
      <c r="H2113" s="8" t="e">
        <v>#N/A</v>
      </c>
      <c r="I2113" s="8" t="n"/>
    </row>
    <row r="2114">
      <c r="A2114" s="4" t="n">
        <v>33834</v>
      </c>
      <c r="B2114" s="4" t="inlineStr">
        <is>
          <t>costmon-ama-2022-p02-tan-sn0250</t>
        </is>
      </c>
      <c r="C2114" s="4" t="inlineStr">
        <is>
          <t>W00031886A</t>
        </is>
      </c>
      <c r="D2114" s="6">
        <f>IF(F2114&gt;=5, F2114-5, IF(F2114&lt;5, 0, F2114))</f>
        <v/>
      </c>
      <c r="E2114">
        <f>VLOOKUP(B2114,[1]Namshi!$A:$B,2,0)</f>
        <v/>
      </c>
      <c r="F2114" s="4">
        <f>SUMIFS('Dubai Stock'!I:I,'Dubai Stock'!H:H,Final_UAE!B:B)</f>
        <v/>
      </c>
      <c r="H2114" s="8" t="e">
        <v>#N/A</v>
      </c>
      <c r="I2114" s="8" t="n"/>
    </row>
    <row r="2115">
      <c r="A2115" s="4" t="n">
        <v>33834</v>
      </c>
      <c r="B2115" s="4" t="inlineStr">
        <is>
          <t>sunglasses-30Sundays-30s-000447-0507</t>
        </is>
      </c>
      <c r="C2115" s="4" t="inlineStr">
        <is>
          <t>W00031886A</t>
        </is>
      </c>
      <c r="D2115" s="6">
        <f>IF(F2115&gt;=5, F2115-5, IF(F2115&lt;5, 0, F2115))</f>
        <v/>
      </c>
      <c r="E2115">
        <f>VLOOKUP(B2115,[1]Namshi!$A:$B,2,0)</f>
        <v/>
      </c>
      <c r="F2115" s="4">
        <f>SUMIFS('Dubai Stock'!I:I,'Dubai Stock'!H:H,Final_UAE!B:B)</f>
        <v/>
      </c>
      <c r="H2115" s="8" t="e">
        <v>#N/A</v>
      </c>
      <c r="I2115" s="8" t="n"/>
    </row>
    <row r="2116">
      <c r="A2116" s="4" t="n">
        <v>33834</v>
      </c>
      <c r="B2116" s="4" t="inlineStr">
        <is>
          <t>clstdai-acu-dfvi-p90-sn0325</t>
        </is>
      </c>
      <c r="C2116" s="4" t="inlineStr">
        <is>
          <t>W00031886A</t>
        </is>
      </c>
      <c r="D2116" s="6">
        <f>IF(F2116&gt;=5, F2116-5, IF(F2116&lt;5, 0, F2116))</f>
        <v/>
      </c>
      <c r="E2116">
        <f>VLOOKUP(B2116,[1]Namshi!$A:$B,2,0)</f>
        <v/>
      </c>
      <c r="F2116" s="4">
        <f>SUMIFS('Dubai Stock'!I:I,'Dubai Stock'!H:H,Final_UAE!B:B)</f>
        <v/>
      </c>
      <c r="H2116" s="8" t="e">
        <v>#N/A</v>
      </c>
      <c r="I2116" s="8" t="n"/>
    </row>
    <row r="2117">
      <c r="A2117" s="4" t="n">
        <v>33834</v>
      </c>
      <c r="B2117" s="4" t="inlineStr">
        <is>
          <t>cltodai-acu-mois-p30-sn0150-cn0075-a010</t>
        </is>
      </c>
      <c r="C2117" s="4" t="inlineStr">
        <is>
          <t>W00031886A</t>
        </is>
      </c>
      <c r="D2117" s="6">
        <f>IF(F2117&gt;=5, F2117-5, IF(F2117&lt;5, 0, F2117))</f>
        <v/>
      </c>
      <c r="E2117">
        <f>VLOOKUP(B2117,[1]Namshi!$A:$B,2,0)</f>
        <v/>
      </c>
      <c r="F2117" s="4">
        <f>SUMIFS('Dubai Stock'!I:I,'Dubai Stock'!H:H,Final_UAE!B:B)</f>
        <v/>
      </c>
      <c r="H2117" s="8" t="e">
        <v>#N/A</v>
      </c>
      <c r="I2117" s="8" t="n"/>
    </row>
    <row r="2118">
      <c r="A2118" s="4" t="n">
        <v>33834</v>
      </c>
      <c r="B2118" s="4" t="inlineStr">
        <is>
          <t>clstdai-acu-omax-p30-sn0400</t>
        </is>
      </c>
      <c r="C2118" s="4" t="inlineStr">
        <is>
          <t>W00031886A</t>
        </is>
      </c>
      <c r="D2118" s="6">
        <f>IF(F2118&gt;=5, F2118-5, IF(F2118&lt;5, 0, F2118))</f>
        <v/>
      </c>
      <c r="E2118">
        <f>VLOOKUP(B2118,[1]Namshi!$A:$B,2,0)</f>
        <v/>
      </c>
      <c r="F2118" s="4">
        <f>SUMIFS('Dubai Stock'!I:I,'Dubai Stock'!H:H,Final_UAE!B:B)</f>
        <v/>
      </c>
      <c r="H2118" s="8" t="e">
        <v>#N/A</v>
      </c>
      <c r="I2118" s="8" t="n"/>
    </row>
    <row r="2119">
      <c r="A2119" s="4" t="n">
        <v>33834</v>
      </c>
      <c r="B2119" s="4" t="inlineStr">
        <is>
          <t>costdai-ama-dail-p10-moon-stone-sn0575</t>
        </is>
      </c>
      <c r="C2119" s="4" t="inlineStr">
        <is>
          <t>W00031886A</t>
        </is>
      </c>
      <c r="D2119" s="6">
        <f>IF(F2119&gt;=5, F2119-5, IF(F2119&lt;5, 0, F2119))</f>
        <v/>
      </c>
      <c r="E2119">
        <f>VLOOKUP(B2119,[1]Namshi!$A:$B,2,0)</f>
        <v/>
      </c>
      <c r="F2119" s="4">
        <f>SUMIFS('Dubai Stock'!I:I,'Dubai Stock'!H:H,Final_UAE!B:B)</f>
        <v/>
      </c>
      <c r="H2119" s="8" t="e">
        <v>#N/A</v>
      </c>
      <c r="I2119" s="8" t="n"/>
    </row>
    <row r="2120">
      <c r="A2120" s="4" t="n">
        <v>33834</v>
      </c>
      <c r="B2120" s="4" t="inlineStr">
        <is>
          <t>cost3mo-lay-2025-p02-desert-topaz-sn0250</t>
        </is>
      </c>
      <c r="C2120" s="4" t="inlineStr">
        <is>
          <t>W00031886A</t>
        </is>
      </c>
      <c r="D2120" s="6">
        <f>IF(F2120&gt;=5, F2120-5, IF(F2120&lt;5, 0, F2120))</f>
        <v/>
      </c>
      <c r="E2120">
        <f>VLOOKUP(B2120,[1]Namshi!$A:$B,2,0)</f>
        <v/>
      </c>
      <c r="F2120" s="4">
        <f>SUMIFS('Dubai Stock'!I:I,'Dubai Stock'!H:H,Final_UAE!B:B)</f>
        <v/>
      </c>
      <c r="H2120" s="8" t="e">
        <v>#N/A</v>
      </c>
      <c r="I2120" s="8" t="n"/>
    </row>
    <row r="2121">
      <c r="A2121" s="4" t="n">
        <v>33834</v>
      </c>
      <c r="B2121" s="4" t="inlineStr">
        <is>
          <t>clstdai-dai-tot1-p90-sn0900</t>
        </is>
      </c>
      <c r="C2121" s="4" t="inlineStr">
        <is>
          <t>W00031886A</t>
        </is>
      </c>
      <c r="D2121" s="6">
        <f>IF(F2121&gt;=5, F2121-5, IF(F2121&lt;5, 0, F2121))</f>
        <v/>
      </c>
      <c r="E2121">
        <f>VLOOKUP(B2121,[1]Namshi!$A:$B,2,0)</f>
        <v/>
      </c>
      <c r="F2121" s="4">
        <f>SUMIFS('Dubai Stock'!I:I,'Dubai Stock'!H:H,Final_UAE!B:B)</f>
        <v/>
      </c>
      <c r="H2121" s="8" t="e">
        <v>#N/A</v>
      </c>
      <c r="I2121" s="8" t="n"/>
    </row>
    <row r="2122">
      <c r="A2122" s="4" t="n">
        <v>33834</v>
      </c>
      <c r="B2122" s="4" t="inlineStr">
        <is>
          <t>clstdai-acu-dfvi-p60-sn0600</t>
        </is>
      </c>
      <c r="C2122" s="4" t="inlineStr">
        <is>
          <t>W00031886A</t>
        </is>
      </c>
      <c r="D2122" s="6">
        <f>IF(F2122&gt;=5, F2122-5, IF(F2122&lt;5, 0, F2122))</f>
        <v/>
      </c>
      <c r="E2122">
        <f>VLOOKUP(B2122,[1]Namshi!$A:$B,2,0)</f>
        <v/>
      </c>
      <c r="F2122" s="4">
        <f>SUMIFS('Dubai Stock'!I:I,'Dubai Stock'!H:H,Final_UAE!B:B)</f>
        <v/>
      </c>
      <c r="H2122" s="8" t="e">
        <v>#N/A</v>
      </c>
      <c r="I2122" s="8" t="n"/>
    </row>
    <row r="2123">
      <c r="A2123" s="4" t="n">
        <v>33834</v>
      </c>
      <c r="B2123" s="4" t="inlineStr">
        <is>
          <t>costdai-ama-dail-p10-honey-sn0600</t>
        </is>
      </c>
      <c r="C2123" s="4" t="inlineStr">
        <is>
          <t>W00031886A</t>
        </is>
      </c>
      <c r="D2123" s="6">
        <f>IF(F2123&gt;=5, F2123-5, IF(F2123&lt;5, 0, F2123))</f>
        <v/>
      </c>
      <c r="E2123">
        <f>VLOOKUP(B2123,[1]Namshi!$A:$B,2,0)</f>
        <v/>
      </c>
      <c r="F2123" s="4">
        <f>SUMIFS('Dubai Stock'!I:I,'Dubai Stock'!H:H,Final_UAE!B:B)</f>
        <v/>
      </c>
      <c r="H2123" s="8" t="e">
        <v>#N/A</v>
      </c>
      <c r="I2123" s="8" t="n"/>
    </row>
    <row r="2124">
      <c r="A2124" s="4" t="n">
        <v>33834</v>
      </c>
      <c r="B2124" s="4" t="inlineStr">
        <is>
          <t>saccase-30s-case104-nvy-bge-navy-blue</t>
        </is>
      </c>
      <c r="C2124" s="4" t="inlineStr">
        <is>
          <t>W00031886A</t>
        </is>
      </c>
      <c r="D2124" s="6">
        <f>IF(F2124&gt;=5, F2124-5, IF(F2124&lt;5, 0, F2124))</f>
        <v/>
      </c>
      <c r="E2124">
        <f>VLOOKUP(B2124,[1]Namshi!$A:$B,2,0)</f>
        <v/>
      </c>
      <c r="F2124" s="4">
        <f>SUMIFS('Dubai Stock'!I:I,'Dubai Stock'!H:H,Final_UAE!B:B)</f>
        <v/>
      </c>
      <c r="H2124" s="8" t="e">
        <v>#N/A</v>
      </c>
      <c r="I2124" s="8" t="n"/>
    </row>
    <row r="2125">
      <c r="A2125" s="4" t="n">
        <v>33834</v>
      </c>
      <c r="B2125" s="4" t="inlineStr">
        <is>
          <t>clstdai-acu-oasy-p60-sn0950</t>
        </is>
      </c>
      <c r="C2125" s="4" t="inlineStr">
        <is>
          <t>W00031886A</t>
        </is>
      </c>
      <c r="D2125" s="6">
        <f>IF(F2125&gt;=5, F2125-5, IF(F2125&lt;5, 0, F2125))</f>
        <v/>
      </c>
      <c r="E2125">
        <f>VLOOKUP(B2125,[1]Namshi!$A:$B,2,0)</f>
        <v/>
      </c>
      <c r="F2125" s="4">
        <f>SUMIFS('Dubai Stock'!I:I,'Dubai Stock'!H:H,Final_UAE!B:B)</f>
        <v/>
      </c>
      <c r="H2125" s="8" t="e">
        <v>#N/A</v>
      </c>
      <c r="I2125" s="8" t="n"/>
    </row>
    <row r="2126">
      <c r="A2126" s="4" t="n">
        <v>33834</v>
      </c>
      <c r="B2126" s="4" t="inlineStr">
        <is>
          <t>clstdai-eve-elit-p30-sp0175</t>
        </is>
      </c>
      <c r="C2126" s="4" t="inlineStr">
        <is>
          <t>W00031886A</t>
        </is>
      </c>
      <c r="D2126" s="6">
        <f>IF(F2126&gt;=5, F2126-5, IF(F2126&lt;5, 0, F2126))</f>
        <v/>
      </c>
      <c r="E2126">
        <f>VLOOKUP(B2126,[1]Namshi!$A:$B,2,0)</f>
        <v/>
      </c>
      <c r="F2126" s="4">
        <f>SUMIFS('Dubai Stock'!I:I,'Dubai Stock'!H:H,Final_UAE!B:B)</f>
        <v/>
      </c>
      <c r="H2126" s="8" t="n">
        <v>261</v>
      </c>
      <c r="I2126" s="8" t="n">
        <v>146.3</v>
      </c>
    </row>
    <row r="2127">
      <c r="A2127" s="4" t="n">
        <v>33834</v>
      </c>
      <c r="B2127" s="4" t="inlineStr">
        <is>
          <t>clstmon-eve-prom-p06-sp0250</t>
        </is>
      </c>
      <c r="C2127" s="4" t="inlineStr">
        <is>
          <t>W00031886A</t>
        </is>
      </c>
      <c r="D2127" s="6">
        <f>IF(F2127&gt;=5, F2127-5, IF(F2127&lt;5, 0, F2127))</f>
        <v/>
      </c>
      <c r="E2127">
        <f>VLOOKUP(B2127,[1]Namshi!$A:$B,2,0)</f>
        <v/>
      </c>
      <c r="F2127" s="4">
        <f>SUMIFS('Dubai Stock'!I:I,'Dubai Stock'!H:H,Final_UAE!B:B)</f>
        <v/>
      </c>
      <c r="H2127" s="8" t="n">
        <v>212</v>
      </c>
      <c r="I2127" s="8" t="n">
        <v>111.3</v>
      </c>
    </row>
    <row r="2128">
      <c r="A2128" s="4" t="n">
        <v>33834</v>
      </c>
      <c r="B2128" s="4" t="inlineStr">
        <is>
          <t>sm52406-30s-000299-2406p-53</t>
        </is>
      </c>
      <c r="C2128" s="4" t="inlineStr">
        <is>
          <t>W00031886A</t>
        </is>
      </c>
      <c r="D2128" s="6">
        <f>IF(F2128&gt;=5, F2128-5, IF(F2128&lt;5, 0, F2128))</f>
        <v/>
      </c>
      <c r="E2128">
        <f>VLOOKUP(B2128,[1]Namshi!$A:$B,2,0)</f>
        <v/>
      </c>
      <c r="F2128" s="4">
        <f>SUMIFS('Dubai Stock'!I:I,'Dubai Stock'!H:H,Final_UAE!B:B)</f>
        <v/>
      </c>
      <c r="H2128" s="8" t="e">
        <v>#N/A</v>
      </c>
    </row>
    <row r="2129">
      <c r="A2129" s="4" t="n">
        <v>33834</v>
      </c>
      <c r="B2129" s="4" t="inlineStr">
        <is>
          <t>sw30202-bla-000256-0202-51</t>
        </is>
      </c>
      <c r="C2129" s="4" t="inlineStr">
        <is>
          <t>W00031886A</t>
        </is>
      </c>
      <c r="D2129" s="6">
        <f>IF(F2129&gt;=5, F2129-5, IF(F2129&lt;5, 0, F2129))</f>
        <v/>
      </c>
      <c r="E2129">
        <f>VLOOKUP(B2129,[1]Namshi!$A:$B,2,0)</f>
        <v/>
      </c>
      <c r="F2129" s="4">
        <f>SUMIFS('Dubai Stock'!I:I,'Dubai Stock'!H:H,Final_UAE!B:B)</f>
        <v/>
      </c>
      <c r="H2129" s="8" t="e">
        <v>#N/A</v>
      </c>
    </row>
    <row r="2130">
      <c r="A2130" s="4" t="n">
        <v>33834</v>
      </c>
      <c r="B2130" s="4" t="inlineStr">
        <is>
          <t>clstdai-eve-elit-p90-sn0750</t>
        </is>
      </c>
      <c r="C2130" s="4" t="inlineStr">
        <is>
          <t>W00031886A</t>
        </is>
      </c>
      <c r="D2130" s="6">
        <f>IF(F2130&gt;=5, F2130-5, IF(F2130&lt;5, 0, F2130))</f>
        <v/>
      </c>
      <c r="E2130">
        <f>VLOOKUP(B2130,[1]Namshi!$A:$B,2,0)</f>
        <v/>
      </c>
      <c r="F2130" s="4">
        <f>SUMIFS('Dubai Stock'!I:I,'Dubai Stock'!H:H,Final_UAE!B:B)</f>
        <v/>
      </c>
      <c r="H2130" s="8" t="n">
        <v>729</v>
      </c>
      <c r="I2130" s="8" t="n">
        <v>357</v>
      </c>
    </row>
    <row r="2131">
      <c r="A2131" s="4" t="n">
        <v>33834</v>
      </c>
      <c r="B2131" s="4" t="inlineStr">
        <is>
          <t>su100307-bla-000358-0307-47</t>
        </is>
      </c>
      <c r="C2131" s="4" t="inlineStr">
        <is>
          <t>W00031886A</t>
        </is>
      </c>
      <c r="D2131" s="6">
        <f>IF(F2131&gt;=5, F2131-5, IF(F2131&lt;5, 0, F2131))</f>
        <v/>
      </c>
      <c r="E2131">
        <f>VLOOKUP(B2131,[1]Namshi!$A:$B,2,0)</f>
        <v/>
      </c>
      <c r="F2131" s="4">
        <f>SUMIFS('Dubai Stock'!I:I,'Dubai Stock'!H:H,Final_UAE!B:B)</f>
        <v/>
      </c>
      <c r="H2131" s="8" t="e">
        <v>#N/A</v>
      </c>
    </row>
    <row r="2132">
      <c r="A2132" s="4" t="n">
        <v>33834</v>
      </c>
      <c r="B2132" s="4" t="inlineStr">
        <is>
          <t>clstmon-eve-prom-p06-sn0575</t>
        </is>
      </c>
      <c r="C2132" s="4" t="inlineStr">
        <is>
          <t>W00031886A</t>
        </is>
      </c>
      <c r="D2132" s="6">
        <f>IF(F2132&gt;=5, F2132-5, IF(F2132&lt;5, 0, F2132))</f>
        <v/>
      </c>
      <c r="E2132">
        <f>VLOOKUP(B2132,[1]Namshi!$A:$B,2,0)</f>
        <v/>
      </c>
      <c r="F2132" s="4">
        <f>SUMIFS('Dubai Stock'!I:I,'Dubai Stock'!H:H,Final_UAE!B:B)</f>
        <v/>
      </c>
      <c r="H2132" s="8" t="n">
        <v>212</v>
      </c>
      <c r="I2132" s="8" t="n">
        <v>111.3</v>
      </c>
    </row>
    <row r="2133">
      <c r="A2133" s="4" t="n">
        <v>33834</v>
      </c>
      <c r="B2133" s="4" t="inlineStr">
        <is>
          <t>bc52018-bab-000503-2018-46</t>
        </is>
      </c>
      <c r="C2133" s="4" t="inlineStr">
        <is>
          <t>W00031886A</t>
        </is>
      </c>
      <c r="D2133" s="6">
        <f>IF(F2133&gt;=5, F2133-5, IF(F2133&lt;5, 0, F2133))</f>
        <v/>
      </c>
      <c r="E2133">
        <f>VLOOKUP(B2133,[1]Namshi!$A:$B,2,0)</f>
        <v/>
      </c>
      <c r="F2133" s="4">
        <f>SUMIFS('Dubai Stock'!I:I,'Dubai Stock'!H:H,Final_UAE!B:B)</f>
        <v/>
      </c>
      <c r="H2133" s="8" t="e">
        <v>#N/A</v>
      </c>
      <c r="I2133" s="8" t="n"/>
    </row>
    <row r="2134">
      <c r="A2134" s="4" t="n">
        <v>33834</v>
      </c>
      <c r="B2134" s="4" t="inlineStr">
        <is>
          <t>cost3mo-lay-lens-p02-crystal-brown-sn0300</t>
        </is>
      </c>
      <c r="C2134" s="4" t="inlineStr">
        <is>
          <t>W00031886A</t>
        </is>
      </c>
      <c r="D2134" s="6">
        <f>IF(F2134&gt;=5, F2134-5, IF(F2134&lt;5, 0, F2134))</f>
        <v/>
      </c>
      <c r="E2134">
        <f>VLOOKUP(B2134,[1]Namshi!$A:$B,2,0)</f>
        <v/>
      </c>
      <c r="F2134" s="4">
        <f>SUMIFS('Dubai Stock'!I:I,'Dubai Stock'!H:H,Final_UAE!B:B)</f>
        <v/>
      </c>
      <c r="H2134" s="8" t="e">
        <v>#N/A</v>
      </c>
      <c r="I2134" s="8" t="n"/>
    </row>
    <row r="2135">
      <c r="A2135" s="4" t="n">
        <v>33834</v>
      </c>
      <c r="B2135" s="4" t="inlineStr">
        <is>
          <t>fc51418-bab-000504-1418-51</t>
        </is>
      </c>
      <c r="C2135" s="4" t="inlineStr">
        <is>
          <t>W00031886A</t>
        </is>
      </c>
      <c r="D2135" s="6">
        <f>IF(F2135&gt;=5, F2135-5, IF(F2135&lt;5, 0, F2135))</f>
        <v/>
      </c>
      <c r="E2135">
        <f>VLOOKUP(B2135,[1]Namshi!$A:$B,2,0)</f>
        <v/>
      </c>
      <c r="F2135" s="4">
        <f>SUMIFS('Dubai Stock'!I:I,'Dubai Stock'!H:H,Final_UAE!B:B)</f>
        <v/>
      </c>
      <c r="H2135" s="8" t="e">
        <v>#N/A</v>
      </c>
      <c r="I2135" s="8" t="n"/>
    </row>
    <row r="2136">
      <c r="A2136" s="4" t="n">
        <v>33834</v>
      </c>
      <c r="B2136" s="4" t="inlineStr">
        <is>
          <t>su100107-bla-000362-0107-51</t>
        </is>
      </c>
      <c r="C2136" s="4" t="inlineStr">
        <is>
          <t>W00031886A</t>
        </is>
      </c>
      <c r="D2136" s="6">
        <f>IF(F2136&gt;=5, F2136-5, IF(F2136&lt;5, 0, F2136))</f>
        <v/>
      </c>
      <c r="E2136">
        <f>VLOOKUP(B2136,[1]Namshi!$A:$B,2,0)</f>
        <v/>
      </c>
      <c r="F2136" s="4">
        <f>SUMIFS('Dubai Stock'!I:I,'Dubai Stock'!H:H,Final_UAE!B:B)</f>
        <v/>
      </c>
      <c r="H2136" s="8" t="e">
        <v>#N/A</v>
      </c>
    </row>
    <row r="2137">
      <c r="A2137" s="4" t="n">
        <v>33834</v>
      </c>
      <c r="B2137" s="4" t="inlineStr">
        <is>
          <t>clstdai-eve-elit-p30-sp0150</t>
        </is>
      </c>
      <c r="C2137" s="4" t="inlineStr">
        <is>
          <t>W00031886A</t>
        </is>
      </c>
      <c r="D2137" s="6">
        <f>IF(F2137&gt;=5, F2137-5, IF(F2137&lt;5, 0, F2137))</f>
        <v/>
      </c>
      <c r="E2137">
        <f>VLOOKUP(B2137,[1]Namshi!$A:$B,2,0)</f>
        <v/>
      </c>
      <c r="F2137" s="4">
        <f>SUMIFS('Dubai Stock'!I:I,'Dubai Stock'!H:H,Final_UAE!B:B)</f>
        <v/>
      </c>
      <c r="H2137" s="8" t="n">
        <v>261</v>
      </c>
      <c r="I2137" s="8" t="n">
        <v>146.3</v>
      </c>
    </row>
    <row r="2138">
      <c r="A2138" s="4" t="n">
        <v>33834</v>
      </c>
      <c r="B2138" s="4" t="inlineStr">
        <is>
          <t>costdai-acu-dffr-p10-green-sn0300</t>
        </is>
      </c>
      <c r="C2138" s="4" t="inlineStr">
        <is>
          <t>W00031886A</t>
        </is>
      </c>
      <c r="D2138" s="6">
        <f>IF(F2138&gt;=5, F2138-5, IF(F2138&lt;5, 0, F2138))</f>
        <v/>
      </c>
      <c r="E2138">
        <f>VLOOKUP(B2138,[1]Namshi!$A:$B,2,0)</f>
        <v/>
      </c>
      <c r="F2138" s="4">
        <f>SUMIFS('Dubai Stock'!I:I,'Dubai Stock'!H:H,Final_UAE!B:B)</f>
        <v/>
      </c>
      <c r="H2138" s="8" t="e">
        <v>#N/A</v>
      </c>
      <c r="I2138" s="8" t="n"/>
    </row>
    <row r="2139">
      <c r="A2139" s="4" t="n">
        <v>33834</v>
      </c>
      <c r="B2139" s="4" t="inlineStr">
        <is>
          <t>sw10502-bla-000213-2402-61</t>
        </is>
      </c>
      <c r="C2139" s="4" t="inlineStr">
        <is>
          <t>W00031886A</t>
        </is>
      </c>
      <c r="D2139" s="6">
        <f>IF(F2139&gt;=5, F2139-5, IF(F2139&lt;5, 0, F2139))</f>
        <v/>
      </c>
      <c r="E2139">
        <f>VLOOKUP(B2139,[1]Namshi!$A:$B,2,0)</f>
        <v/>
      </c>
      <c r="F2139" s="4">
        <f>SUMIFS('Dubai Stock'!I:I,'Dubai Stock'!H:H,Final_UAE!B:B)</f>
        <v/>
      </c>
      <c r="H2139" s="8" t="e">
        <v>#N/A</v>
      </c>
    </row>
    <row r="2140">
      <c r="A2140" s="4" t="n">
        <v>33834</v>
      </c>
      <c r="B2140" s="4" t="inlineStr">
        <is>
          <t>costmon-ama-2022-p02-dream-sn0275</t>
        </is>
      </c>
      <c r="C2140" s="4" t="inlineStr">
        <is>
          <t>W00031886A</t>
        </is>
      </c>
      <c r="D2140" s="6">
        <f>IF(F2140&gt;=5, F2140-5, IF(F2140&lt;5, 0, F2140))</f>
        <v/>
      </c>
      <c r="E2140">
        <f>VLOOKUP(B2140,[1]Namshi!$A:$B,2,0)</f>
        <v/>
      </c>
      <c r="F2140" s="4">
        <f>SUMIFS('Dubai Stock'!I:I,'Dubai Stock'!H:H,Final_UAE!B:B)</f>
        <v/>
      </c>
      <c r="H2140" s="8" t="e">
        <v>#N/A</v>
      </c>
      <c r="I2140" s="8" t="n"/>
    </row>
    <row r="2141">
      <c r="A2141" s="4" t="n">
        <v>33834</v>
      </c>
      <c r="B2141" s="4" t="inlineStr">
        <is>
          <t>clstdai-dai-aqua-p90-sn0350</t>
        </is>
      </c>
      <c r="C2141" s="4" t="inlineStr">
        <is>
          <t>W00031886A</t>
        </is>
      </c>
      <c r="D2141" s="6">
        <f>IF(F2141&gt;=5, F2141-5, IF(F2141&lt;5, 0, F2141))</f>
        <v/>
      </c>
      <c r="E2141">
        <f>VLOOKUP(B2141,[1]Namshi!$A:$B,2,0)</f>
        <v/>
      </c>
      <c r="F2141" s="4">
        <f>SUMIFS('Dubai Stock'!I:I,'Dubai Stock'!H:H,Final_UAE!B:B)</f>
        <v/>
      </c>
      <c r="H2141" s="8" t="e">
        <v>#N/A</v>
      </c>
      <c r="I2141" s="8" t="n"/>
    </row>
    <row r="2142">
      <c r="A2142" s="4" t="n">
        <v>33834</v>
      </c>
      <c r="B2142" s="4" t="inlineStr">
        <is>
          <t>cost3mo-lay-2023-p02-sable-brown-sn0225</t>
        </is>
      </c>
      <c r="C2142" s="4" t="inlineStr">
        <is>
          <t>W00031886A</t>
        </is>
      </c>
      <c r="D2142" s="6">
        <f>IF(F2142&gt;=5, F2142-5, IF(F2142&lt;5, 0, F2142))</f>
        <v/>
      </c>
      <c r="E2142">
        <f>VLOOKUP(B2142,[1]Namshi!$A:$B,2,0)</f>
        <v/>
      </c>
      <c r="F2142" s="4">
        <f>SUMIFS('Dubai Stock'!I:I,'Dubai Stock'!H:H,Final_UAE!B:B)</f>
        <v/>
      </c>
      <c r="H2142" s="8" t="e">
        <v>#N/A</v>
      </c>
      <c r="I2142" s="8" t="n"/>
    </row>
    <row r="2143">
      <c r="A2143" s="4" t="n">
        <v>33834</v>
      </c>
      <c r="B2143" s="4" t="inlineStr">
        <is>
          <t>su10107-30s-000230-0107-58</t>
        </is>
      </c>
      <c r="C2143" s="4" t="inlineStr">
        <is>
          <t>W00031886A</t>
        </is>
      </c>
      <c r="D2143" s="6">
        <f>IF(F2143&gt;=5, F2143-5, IF(F2143&lt;5, 0, F2143))</f>
        <v/>
      </c>
      <c r="E2143">
        <f>VLOOKUP(B2143,[1]Namshi!$A:$B,2,0)</f>
        <v/>
      </c>
      <c r="F2143" s="4">
        <f>SUMIFS('Dubai Stock'!I:I,'Dubai Stock'!H:H,Final_UAE!B:B)</f>
        <v/>
      </c>
      <c r="H2143" s="8" t="e">
        <v>#N/A</v>
      </c>
    </row>
    <row r="2144">
      <c r="A2144" s="4" t="n">
        <v>33834</v>
      </c>
      <c r="B2144" s="4" t="inlineStr">
        <is>
          <t>clstdai-lay-cont-p10-dazzle-black-sn0025</t>
        </is>
      </c>
      <c r="C2144" s="4" t="inlineStr">
        <is>
          <t>W00031886A</t>
        </is>
      </c>
      <c r="D2144" s="6">
        <f>IF(F2144&gt;=5, F2144-5, IF(F2144&lt;5, 0, F2144))</f>
        <v/>
      </c>
      <c r="E2144">
        <f>VLOOKUP(B2144,[1]Namshi!$A:$B,2,0)</f>
        <v/>
      </c>
      <c r="F2144" s="4">
        <f>SUMIFS('Dubai Stock'!I:I,'Dubai Stock'!H:H,Final_UAE!B:B)</f>
        <v/>
      </c>
      <c r="H2144" s="8" t="e">
        <v>#N/A</v>
      </c>
      <c r="I2144" s="8" t="n"/>
    </row>
    <row r="2145">
      <c r="A2145" s="4" t="n">
        <v>33834</v>
      </c>
      <c r="B2145" s="4" t="inlineStr">
        <is>
          <t>sunglasses-30Sundays-30s-000456-0304</t>
        </is>
      </c>
      <c r="C2145" s="4" t="inlineStr">
        <is>
          <t>W00031886A</t>
        </is>
      </c>
      <c r="D2145" s="6">
        <f>IF(F2145&gt;=5, F2145-5, IF(F2145&lt;5, 0, F2145))</f>
        <v/>
      </c>
      <c r="E2145">
        <f>VLOOKUP(B2145,[1]Namshi!$A:$B,2,0)</f>
        <v/>
      </c>
      <c r="F2145" s="4">
        <f>SUMIFS('Dubai Stock'!I:I,'Dubai Stock'!H:H,Final_UAE!B:B)</f>
        <v/>
      </c>
      <c r="H2145" s="8" t="e">
        <v>#N/A</v>
      </c>
      <c r="I2145" s="8" t="n"/>
    </row>
    <row r="2146">
      <c r="A2146" s="4" t="n">
        <v>33834</v>
      </c>
      <c r="B2146" s="4" t="inlineStr">
        <is>
          <t>sw31201-bla-000230-1201-54</t>
        </is>
      </c>
      <c r="C2146" s="4" t="inlineStr">
        <is>
          <t>W00031886A</t>
        </is>
      </c>
      <c r="D2146" s="6">
        <f>IF(F2146&gt;=5, F2146-5, IF(F2146&lt;5, 0, F2146))</f>
        <v/>
      </c>
      <c r="E2146">
        <f>VLOOKUP(B2146,[1]Namshi!$A:$B,2,0)</f>
        <v/>
      </c>
      <c r="F2146" s="4">
        <f>SUMIFS('Dubai Stock'!I:I,'Dubai Stock'!H:H,Final_UAE!B:B)</f>
        <v/>
      </c>
      <c r="H2146" s="8" t="e">
        <v>#N/A</v>
      </c>
    </row>
    <row r="2147">
      <c r="A2147" s="4" t="n">
        <v>33834</v>
      </c>
      <c r="B2147" s="4" t="inlineStr">
        <is>
          <t>sw72904-bla-000231-2904-58</t>
        </is>
      </c>
      <c r="C2147" s="4" t="inlineStr">
        <is>
          <t>W00031886A</t>
        </is>
      </c>
      <c r="D2147" s="6">
        <f>IF(F2147&gt;=5, F2147-5, IF(F2147&lt;5, 0, F2147))</f>
        <v/>
      </c>
      <c r="E2147">
        <f>VLOOKUP(B2147,[1]Namshi!$A:$B,2,0)</f>
        <v/>
      </c>
      <c r="F2147" s="4">
        <f>SUMIFS('Dubai Stock'!I:I,'Dubai Stock'!H:H,Final_UAE!B:B)</f>
        <v/>
      </c>
      <c r="H2147" s="8" t="e">
        <v>#N/A</v>
      </c>
    </row>
    <row r="2148">
      <c r="A2148" s="4" t="n">
        <v>33834</v>
      </c>
      <c r="B2148" s="4" t="inlineStr">
        <is>
          <t>clstdai-dai-tot1-p90-sn1200</t>
        </is>
      </c>
      <c r="C2148" s="4" t="inlineStr">
        <is>
          <t>W00031886A</t>
        </is>
      </c>
      <c r="D2148" s="6">
        <f>IF(F2148&gt;=5, F2148-5, IF(F2148&lt;5, 0, F2148))</f>
        <v/>
      </c>
      <c r="E2148">
        <f>VLOOKUP(B2148,[1]Namshi!$A:$B,2,0)</f>
        <v/>
      </c>
      <c r="F2148" s="4">
        <f>SUMIFS('Dubai Stock'!I:I,'Dubai Stock'!H:H,Final_UAE!B:B)</f>
        <v/>
      </c>
      <c r="H2148" s="8" t="e">
        <v>#N/A</v>
      </c>
      <c r="I2148" s="8" t="n"/>
    </row>
    <row r="2149">
      <c r="A2149" s="4" t="n">
        <v>33834</v>
      </c>
      <c r="B2149" s="4" t="inlineStr">
        <is>
          <t>sm70506-30s-000250-2706-55</t>
        </is>
      </c>
      <c r="C2149" s="4" t="inlineStr">
        <is>
          <t>W00031886A</t>
        </is>
      </c>
      <c r="D2149" s="6">
        <f>IF(F2149&gt;=5, F2149-5, IF(F2149&lt;5, 0, F2149))</f>
        <v/>
      </c>
      <c r="E2149">
        <f>VLOOKUP(B2149,[1]Namshi!$A:$B,2,0)</f>
        <v/>
      </c>
      <c r="F2149" s="4">
        <f>SUMIFS('Dubai Stock'!I:I,'Dubai Stock'!H:H,Final_UAE!B:B)</f>
        <v/>
      </c>
      <c r="H2149" s="8" t="e">
        <v>#N/A</v>
      </c>
    </row>
    <row r="2150">
      <c r="A2150" s="4" t="n">
        <v>33834</v>
      </c>
      <c r="B2150" s="4" t="inlineStr">
        <is>
          <t>costdai-acu-dffr-p10-rose-sn0175</t>
        </is>
      </c>
      <c r="C2150" s="4" t="inlineStr">
        <is>
          <t>W00031886A</t>
        </is>
      </c>
      <c r="D2150" s="6">
        <f>IF(F2150&gt;=5, F2150-5, IF(F2150&lt;5, 0, F2150))</f>
        <v/>
      </c>
      <c r="E2150">
        <f>VLOOKUP(B2150,[1]Namshi!$A:$B,2,0)</f>
        <v/>
      </c>
      <c r="F2150" s="4">
        <f>SUMIFS('Dubai Stock'!I:I,'Dubai Stock'!H:H,Final_UAE!B:B)</f>
        <v/>
      </c>
      <c r="H2150" s="8" t="e">
        <v>#N/A</v>
      </c>
      <c r="I2150" s="8" t="n"/>
    </row>
    <row r="2151">
      <c r="A2151" s="4" t="n">
        <v>33834</v>
      </c>
      <c r="B2151" s="4" t="inlineStr">
        <is>
          <t>costmon-ama-2024-p02-nmr-sn0175</t>
        </is>
      </c>
      <c r="C2151" s="4" t="inlineStr">
        <is>
          <t>W00031886A</t>
        </is>
      </c>
      <c r="D2151" s="6">
        <f>IF(F2151&gt;=5, F2151-5, IF(F2151&lt;5, 0, F2151))</f>
        <v/>
      </c>
      <c r="E2151">
        <f>VLOOKUP(B2151,[1]Namshi!$A:$B,2,0)</f>
        <v/>
      </c>
      <c r="F2151" s="4">
        <f>SUMIFS('Dubai Stock'!I:I,'Dubai Stock'!H:H,Final_UAE!B:B)</f>
        <v/>
      </c>
      <c r="H2151" s="8" t="e">
        <v>#N/A</v>
      </c>
      <c r="I2151" s="8" t="n"/>
    </row>
    <row r="2152">
      <c r="A2152" s="4" t="n">
        <v>33834</v>
      </c>
      <c r="B2152" s="4" t="inlineStr">
        <is>
          <t>clstdai-dai-aqua-p90-sn1100</t>
        </is>
      </c>
      <c r="C2152" s="4" t="inlineStr">
        <is>
          <t>W00031886A</t>
        </is>
      </c>
      <c r="D2152" s="6">
        <f>IF(F2152&gt;=5, F2152-5, IF(F2152&lt;5, 0, F2152))</f>
        <v/>
      </c>
      <c r="E2152">
        <f>VLOOKUP(B2152,[1]Namshi!$A:$B,2,0)</f>
        <v/>
      </c>
      <c r="F2152" s="4">
        <f>SUMIFS('Dubai Stock'!I:I,'Dubai Stock'!H:H,Final_UAE!B:B)</f>
        <v/>
      </c>
      <c r="H2152" s="8" t="e">
        <v>#N/A</v>
      </c>
      <c r="I2152" s="8" t="n"/>
    </row>
    <row r="2153">
      <c r="A2153" s="4" t="n">
        <v>33834</v>
      </c>
      <c r="B2153" s="4" t="inlineStr">
        <is>
          <t>sacchan-30s-chain113-blu-kona-pastel-blue</t>
        </is>
      </c>
      <c r="C2153" s="4" t="inlineStr">
        <is>
          <t>W00031886A</t>
        </is>
      </c>
      <c r="D2153" s="6">
        <f>IF(F2153&gt;=5, F2153-5, IF(F2153&lt;5, 0, F2153))</f>
        <v/>
      </c>
      <c r="E2153">
        <f>VLOOKUP(B2153,[1]Namshi!$A:$B,2,0)</f>
        <v/>
      </c>
      <c r="F2153" s="4">
        <f>SUMIFS('Dubai Stock'!I:I,'Dubai Stock'!H:H,Final_UAE!B:B)</f>
        <v/>
      </c>
      <c r="H2153" s="8" t="e">
        <v>#N/A</v>
      </c>
      <c r="I2153" s="8" t="n"/>
    </row>
    <row r="2154">
      <c r="A2154" s="4" t="n">
        <v>33834</v>
      </c>
      <c r="B2154" s="4" t="inlineStr">
        <is>
          <t>clstdai-dai-tot1-p30-sn0600</t>
        </is>
      </c>
      <c r="C2154" s="4" t="inlineStr">
        <is>
          <t>W00031886A</t>
        </is>
      </c>
      <c r="D2154" s="6">
        <f>IF(F2154&gt;=5, F2154-5, IF(F2154&lt;5, 0, F2154))</f>
        <v/>
      </c>
      <c r="E2154">
        <f>VLOOKUP(B2154,[1]Namshi!$A:$B,2,0)</f>
        <v/>
      </c>
      <c r="F2154" s="4">
        <f>SUMIFS('Dubai Stock'!I:I,'Dubai Stock'!H:H,Final_UAE!B:B)</f>
        <v/>
      </c>
      <c r="H2154" s="8" t="e">
        <v>#N/A</v>
      </c>
      <c r="I2154" s="8" t="n"/>
    </row>
    <row r="2155">
      <c r="A2155" s="4" t="n">
        <v>33834</v>
      </c>
      <c r="B2155" s="4" t="inlineStr">
        <is>
          <t>sw30107-bla-000307-0107-55</t>
        </is>
      </c>
      <c r="C2155" s="4" t="inlineStr">
        <is>
          <t>W00031886A</t>
        </is>
      </c>
      <c r="D2155" s="6">
        <f>IF(F2155&gt;=5, F2155-5, IF(F2155&lt;5, 0, F2155))</f>
        <v/>
      </c>
      <c r="E2155">
        <f>VLOOKUP(B2155,[1]Namshi!$A:$B,2,0)</f>
        <v/>
      </c>
      <c r="F2155" s="4">
        <f>SUMIFS('Dubai Stock'!I:I,'Dubai Stock'!H:H,Final_UAE!B:B)</f>
        <v/>
      </c>
      <c r="H2155" s="8" t="e">
        <v>#N/A</v>
      </c>
    </row>
    <row r="2156">
      <c r="A2156" s="4" t="n">
        <v>33834</v>
      </c>
      <c r="B2156" s="4" t="inlineStr">
        <is>
          <t>su41202-30s-000287-1202-52</t>
        </is>
      </c>
      <c r="C2156" s="4" t="inlineStr">
        <is>
          <t>W00031886A</t>
        </is>
      </c>
      <c r="D2156" s="6">
        <f>IF(F2156&gt;=5, F2156-5, IF(F2156&lt;5, 0, F2156))</f>
        <v/>
      </c>
      <c r="E2156">
        <f>VLOOKUP(B2156,[1]Namshi!$A:$B,2,0)</f>
        <v/>
      </c>
      <c r="F2156" s="4">
        <f>SUMIFS('Dubai Stock'!I:I,'Dubai Stock'!H:H,Final_UAE!B:B)</f>
        <v/>
      </c>
      <c r="H2156" s="8" t="e">
        <v>#N/A</v>
      </c>
    </row>
    <row r="2157">
      <c r="A2157" s="4" t="n">
        <v>33834</v>
      </c>
      <c r="B2157" s="4" t="inlineStr">
        <is>
          <t>clstdai-acu-omax-p30-sn0075</t>
        </is>
      </c>
      <c r="C2157" s="4" t="inlineStr">
        <is>
          <t>W00031886A</t>
        </is>
      </c>
      <c r="D2157" s="6">
        <f>IF(F2157&gt;=5, F2157-5, IF(F2157&lt;5, 0, F2157))</f>
        <v/>
      </c>
      <c r="E2157">
        <f>VLOOKUP(B2157,[1]Namshi!$A:$B,2,0)</f>
        <v/>
      </c>
      <c r="F2157" s="4">
        <f>SUMIFS('Dubai Stock'!I:I,'Dubai Stock'!H:H,Final_UAE!B:B)</f>
        <v/>
      </c>
      <c r="H2157" s="8" t="e">
        <v>#N/A</v>
      </c>
      <c r="I2157" s="8" t="n"/>
    </row>
    <row r="2158">
      <c r="A2158" s="4" t="n">
        <v>33834</v>
      </c>
      <c r="B2158" s="4" t="inlineStr">
        <is>
          <t>sw30604-30s-000302-0604-53</t>
        </is>
      </c>
      <c r="C2158" s="4" t="inlineStr">
        <is>
          <t>W00031886A</t>
        </is>
      </c>
      <c r="D2158" s="6">
        <f>IF(F2158&gt;=5, F2158-5, IF(F2158&lt;5, 0, F2158))</f>
        <v/>
      </c>
      <c r="E2158">
        <f>VLOOKUP(B2158,[1]Namshi!$A:$B,2,0)</f>
        <v/>
      </c>
      <c r="F2158" s="4">
        <f>SUMIFS('Dubai Stock'!I:I,'Dubai Stock'!H:H,Final_UAE!B:B)</f>
        <v/>
      </c>
      <c r="H2158" s="8" t="e">
        <v>#N/A</v>
      </c>
    </row>
    <row r="2159">
      <c r="A2159" s="4" t="n">
        <v>33834</v>
      </c>
      <c r="B2159" s="4" t="inlineStr">
        <is>
          <t>sm51402-30s-000467-1402-48</t>
        </is>
      </c>
      <c r="C2159" s="4" t="inlineStr">
        <is>
          <t>W00031886A</t>
        </is>
      </c>
      <c r="D2159" s="6">
        <f>IF(F2159&gt;=5, F2159-5, IF(F2159&lt;5, 0, F2159))</f>
        <v/>
      </c>
      <c r="E2159">
        <f>VLOOKUP(B2159,[1]Namshi!$A:$B,2,0)</f>
        <v/>
      </c>
      <c r="F2159" s="4">
        <f>SUMIFS('Dubai Stock'!I:I,'Dubai Stock'!H:H,Final_UAE!B:B)</f>
        <v/>
      </c>
      <c r="H2159" s="8" t="e">
        <v>#N/A</v>
      </c>
    </row>
    <row r="2160">
      <c r="A2160" s="4" t="n">
        <v>33834</v>
      </c>
      <c r="B2160" s="4" t="inlineStr">
        <is>
          <t>sw21306-30s-000128-1306-55</t>
        </is>
      </c>
      <c r="C2160" s="4" t="inlineStr">
        <is>
          <t>W00031886A</t>
        </is>
      </c>
      <c r="D2160" s="6">
        <f>IF(F2160&gt;=5, F2160-5, IF(F2160&lt;5, 0, F2160))</f>
        <v/>
      </c>
      <c r="E2160">
        <f>VLOOKUP(B2160,[1]Namshi!$A:$B,2,0)</f>
        <v/>
      </c>
      <c r="F2160" s="4">
        <f>SUMIFS('Dubai Stock'!I:I,'Dubai Stock'!H:H,Final_UAE!B:B)</f>
        <v/>
      </c>
      <c r="H2160" s="8" t="e">
        <v>#N/A</v>
      </c>
    </row>
    <row r="2161">
      <c r="A2161" s="4" t="n">
        <v>33834</v>
      </c>
      <c r="B2161" s="4" t="inlineStr">
        <is>
          <t>sm100107-bla-000337-0107-57</t>
        </is>
      </c>
      <c r="C2161" s="4" t="inlineStr">
        <is>
          <t>W00031886A</t>
        </is>
      </c>
      <c r="D2161" s="6">
        <f>IF(F2161&gt;=5, F2161-5, IF(F2161&lt;5, 0, F2161))</f>
        <v/>
      </c>
      <c r="E2161">
        <f>VLOOKUP(B2161,[1]Namshi!$A:$B,2,0)</f>
        <v/>
      </c>
      <c r="F2161" s="4">
        <f>SUMIFS('Dubai Stock'!I:I,'Dubai Stock'!H:H,Final_UAE!B:B)</f>
        <v/>
      </c>
      <c r="H2161" s="8" t="e">
        <v>#N/A</v>
      </c>
    </row>
    <row r="2162">
      <c r="A2162" s="4" t="n">
        <v>33834</v>
      </c>
      <c r="B2162" s="4" t="inlineStr">
        <is>
          <t>clstbiw-acu-oasy-p06-sn0550</t>
        </is>
      </c>
      <c r="C2162" s="4" t="inlineStr">
        <is>
          <t>W00031886A</t>
        </is>
      </c>
      <c r="D2162" s="6">
        <f>IF(F2162&gt;=5, F2162-5, IF(F2162&lt;5, 0, F2162))</f>
        <v/>
      </c>
      <c r="E2162">
        <f>VLOOKUP(B2162,[1]Namshi!$A:$B,2,0)</f>
        <v/>
      </c>
      <c r="F2162" s="4">
        <f>SUMIFS('Dubai Stock'!I:I,'Dubai Stock'!H:H,Final_UAE!B:B)</f>
        <v/>
      </c>
      <c r="H2162" s="8" t="e">
        <v>#N/A</v>
      </c>
      <c r="I2162" s="8" t="n"/>
    </row>
    <row r="2163">
      <c r="A2163" s="4" t="n">
        <v>33834</v>
      </c>
      <c r="B2163" s="4" t="inlineStr">
        <is>
          <t>clstdai-acu-oasy-p60-sn0175</t>
        </is>
      </c>
      <c r="C2163" s="4" t="inlineStr">
        <is>
          <t>W00031886A</t>
        </is>
      </c>
      <c r="D2163" s="6">
        <f>IF(F2163&gt;=5, F2163-5, IF(F2163&lt;5, 0, F2163))</f>
        <v/>
      </c>
      <c r="E2163">
        <f>VLOOKUP(B2163,[1]Namshi!$A:$B,2,0)</f>
        <v/>
      </c>
      <c r="F2163" s="4">
        <f>SUMIFS('Dubai Stock'!I:I,'Dubai Stock'!H:H,Final_UAE!B:B)</f>
        <v/>
      </c>
      <c r="H2163" s="8" t="e">
        <v>#N/A</v>
      </c>
      <c r="I2163" s="8" t="n"/>
    </row>
    <row r="2164">
      <c r="A2164" s="4" t="n">
        <v>33834</v>
      </c>
      <c r="B2164" s="4" t="inlineStr">
        <is>
          <t>clstdai-lay-cont-p60-dazzle-brown-sn0700</t>
        </is>
      </c>
      <c r="C2164" s="4" t="inlineStr">
        <is>
          <t>W00031886A</t>
        </is>
      </c>
      <c r="D2164" s="6">
        <f>IF(F2164&gt;=5, F2164-5, IF(F2164&lt;5, 0, F2164))</f>
        <v/>
      </c>
      <c r="E2164">
        <f>VLOOKUP(B2164,[1]Namshi!$A:$B,2,0)</f>
        <v/>
      </c>
      <c r="F2164" s="4">
        <f>SUMIFS('Dubai Stock'!I:I,'Dubai Stock'!H:H,Final_UAE!B:B)</f>
        <v/>
      </c>
      <c r="H2164" s="8" t="e">
        <v>#N/A</v>
      </c>
      <c r="I2164" s="8" t="n"/>
    </row>
    <row r="2165">
      <c r="A2165" s="4" t="n">
        <v>33834</v>
      </c>
      <c r="B2165" s="4" t="inlineStr">
        <is>
          <t>cost3mo-lay-2023-p02-sable-brown-sn0375</t>
        </is>
      </c>
      <c r="C2165" s="4" t="inlineStr">
        <is>
          <t>W00031886A</t>
        </is>
      </c>
      <c r="D2165" s="6">
        <f>IF(F2165&gt;=5, F2165-5, IF(F2165&lt;5, 0, F2165))</f>
        <v/>
      </c>
      <c r="E2165">
        <f>VLOOKUP(B2165,[1]Namshi!$A:$B,2,0)</f>
        <v/>
      </c>
      <c r="F2165" s="4">
        <f>SUMIFS('Dubai Stock'!I:I,'Dubai Stock'!H:H,Final_UAE!B:B)</f>
        <v/>
      </c>
      <c r="H2165" s="8" t="e">
        <v>#N/A</v>
      </c>
      <c r="I2165" s="8" t="n"/>
    </row>
    <row r="2166">
      <c r="A2166" s="4" t="n">
        <v>33834</v>
      </c>
      <c r="B2166" s="4" t="inlineStr">
        <is>
          <t>cost3mo-lay-2021-p02-golden-gray-sn0500</t>
        </is>
      </c>
      <c r="C2166" s="4" t="inlineStr">
        <is>
          <t>W00031886A</t>
        </is>
      </c>
      <c r="D2166" s="6">
        <f>IF(F2166&gt;=5, F2166-5, IF(F2166&lt;5, 0, F2166))</f>
        <v/>
      </c>
      <c r="E2166">
        <f>VLOOKUP(B2166,[1]Namshi!$A:$B,2,0)</f>
        <v/>
      </c>
      <c r="F2166" s="4">
        <f>SUMIFS('Dubai Stock'!I:I,'Dubai Stock'!H:H,Final_UAE!B:B)</f>
        <v/>
      </c>
      <c r="H2166" s="8" t="e">
        <v>#N/A</v>
      </c>
      <c r="I2166" s="8" t="n"/>
    </row>
    <row r="2167">
      <c r="A2167" s="4" t="n">
        <v>33834</v>
      </c>
      <c r="B2167" s="4" t="inlineStr">
        <is>
          <t>clstbiw-acu-0002-p12-sn0550</t>
        </is>
      </c>
      <c r="C2167" s="4" t="inlineStr">
        <is>
          <t>W00031886A</t>
        </is>
      </c>
      <c r="D2167" s="6">
        <f>IF(F2167&gt;=5, F2167-5, IF(F2167&lt;5, 0, F2167))</f>
        <v/>
      </c>
      <c r="E2167">
        <f>VLOOKUP(B2167,[1]Namshi!$A:$B,2,0)</f>
        <v/>
      </c>
      <c r="F2167" s="4">
        <f>SUMIFS('Dubai Stock'!I:I,'Dubai Stock'!H:H,Final_UAE!B:B)</f>
        <v/>
      </c>
      <c r="H2167" s="8" t="e">
        <v>#N/A</v>
      </c>
      <c r="I2167" s="8" t="n"/>
    </row>
    <row r="2168">
      <c r="A2168" s="4" t="n">
        <v>33834</v>
      </c>
      <c r="B2168" s="4" t="inlineStr">
        <is>
          <t>clstbiw-acu-0002-p12-sn0300</t>
        </is>
      </c>
      <c r="C2168" s="4" t="inlineStr">
        <is>
          <t>W00031886A</t>
        </is>
      </c>
      <c r="D2168" s="6">
        <f>IF(F2168&gt;=5, F2168-5, IF(F2168&lt;5, 0, F2168))</f>
        <v/>
      </c>
      <c r="E2168">
        <f>VLOOKUP(B2168,[1]Namshi!$A:$B,2,0)</f>
        <v/>
      </c>
      <c r="F2168" s="4">
        <f>SUMIFS('Dubai Stock'!I:I,'Dubai Stock'!H:H,Final_UAE!B:B)</f>
        <v/>
      </c>
      <c r="H2168" s="8" t="e">
        <v>#N/A</v>
      </c>
      <c r="I2168" s="8" t="n"/>
    </row>
    <row r="2169">
      <c r="A2169" s="4" t="n">
        <v>33834</v>
      </c>
      <c r="B2169" s="4" t="inlineStr">
        <is>
          <t>costmon-ama-2022-p02-dream-sn0175</t>
        </is>
      </c>
      <c r="C2169" s="4" t="inlineStr">
        <is>
          <t>W00031886A</t>
        </is>
      </c>
      <c r="D2169" s="6">
        <f>IF(F2169&gt;=5, F2169-5, IF(F2169&lt;5, 0, F2169))</f>
        <v/>
      </c>
      <c r="E2169">
        <f>VLOOKUP(B2169,[1]Namshi!$A:$B,2,0)</f>
        <v/>
      </c>
      <c r="F2169" s="4">
        <f>SUMIFS('Dubai Stock'!I:I,'Dubai Stock'!H:H,Final_UAE!B:B)</f>
        <v/>
      </c>
      <c r="H2169" s="8" t="e">
        <v>#N/A</v>
      </c>
      <c r="I2169" s="8" t="n"/>
    </row>
    <row r="2170">
      <c r="A2170" s="4" t="n">
        <v>33834</v>
      </c>
      <c r="B2170" s="4" t="inlineStr">
        <is>
          <t>clstdai-acu-oasy-p120-sn0525</t>
        </is>
      </c>
      <c r="C2170" s="4" t="inlineStr">
        <is>
          <t>W00031886A</t>
        </is>
      </c>
      <c r="D2170" s="6">
        <f>IF(F2170&gt;=5, F2170-5, IF(F2170&lt;5, 0, F2170))</f>
        <v/>
      </c>
      <c r="E2170">
        <f>VLOOKUP(B2170,[1]Namshi!$A:$B,2,0)</f>
        <v/>
      </c>
      <c r="F2170" s="4">
        <f>SUMIFS('Dubai Stock'!I:I,'Dubai Stock'!H:H,Final_UAE!B:B)</f>
        <v/>
      </c>
      <c r="H2170" s="8" t="e">
        <v>#N/A</v>
      </c>
      <c r="I2170" s="8" t="n"/>
    </row>
    <row r="2171">
      <c r="A2171" s="4" t="n">
        <v>33834</v>
      </c>
      <c r="B2171" s="4" t="inlineStr">
        <is>
          <t>clstdai-dai-aqua-p30-sn0850</t>
        </is>
      </c>
      <c r="C2171" s="4" t="inlineStr">
        <is>
          <t>W00031886A</t>
        </is>
      </c>
      <c r="D2171" s="6">
        <f>IF(F2171&gt;=5, F2171-5, IF(F2171&lt;5, 0, F2171))</f>
        <v/>
      </c>
      <c r="E2171">
        <f>VLOOKUP(B2171,[1]Namshi!$A:$B,2,0)</f>
        <v/>
      </c>
      <c r="F2171" s="4">
        <f>SUMIFS('Dubai Stock'!I:I,'Dubai Stock'!H:H,Final_UAE!B:B)</f>
        <v/>
      </c>
      <c r="H2171" s="8" t="e">
        <v>#N/A</v>
      </c>
      <c r="I2171" s="8" t="n"/>
    </row>
    <row r="2172">
      <c r="A2172" s="4" t="n">
        <v>33834</v>
      </c>
      <c r="B2172" s="4" t="inlineStr">
        <is>
          <t>clstdai-dai-tot1-p90-sp0400</t>
        </is>
      </c>
      <c r="C2172" s="4" t="inlineStr">
        <is>
          <t>W00031886A</t>
        </is>
      </c>
      <c r="D2172" s="6">
        <f>IF(F2172&gt;=5, F2172-5, IF(F2172&lt;5, 0, F2172))</f>
        <v/>
      </c>
      <c r="E2172">
        <f>VLOOKUP(B2172,[1]Namshi!$A:$B,2,0)</f>
        <v/>
      </c>
      <c r="F2172" s="4">
        <f>SUMIFS('Dubai Stock'!I:I,'Dubai Stock'!H:H,Final_UAE!B:B)</f>
        <v/>
      </c>
      <c r="H2172" s="8" t="e">
        <v>#N/A</v>
      </c>
      <c r="I2172" s="8" t="n"/>
    </row>
    <row r="2173">
      <c r="A2173" s="4" t="n">
        <v>33834</v>
      </c>
      <c r="B2173" s="4" t="inlineStr">
        <is>
          <t>clstbiw-acu-oasy-p06-sn0900</t>
        </is>
      </c>
      <c r="C2173" s="4" t="inlineStr">
        <is>
          <t>W00031886A</t>
        </is>
      </c>
      <c r="D2173" s="6">
        <f>IF(F2173&gt;=5, F2173-5, IF(F2173&lt;5, 0, F2173))</f>
        <v/>
      </c>
      <c r="E2173">
        <f>VLOOKUP(B2173,[1]Namshi!$A:$B,2,0)</f>
        <v/>
      </c>
      <c r="F2173" s="4">
        <f>SUMIFS('Dubai Stock'!I:I,'Dubai Stock'!H:H,Final_UAE!B:B)</f>
        <v/>
      </c>
      <c r="H2173" s="8" t="e">
        <v>#N/A</v>
      </c>
      <c r="I2173" s="8" t="n"/>
    </row>
    <row r="2174">
      <c r="A2174" s="4" t="n">
        <v>33834</v>
      </c>
      <c r="B2174" s="4" t="inlineStr">
        <is>
          <t>cost3mo-lay-2025-p02-emerald-glow-sn0150</t>
        </is>
      </c>
      <c r="C2174" s="4" t="inlineStr">
        <is>
          <t>W00031886A</t>
        </is>
      </c>
      <c r="D2174" s="6">
        <f>IF(F2174&gt;=5, F2174-5, IF(F2174&lt;5, 0, F2174))</f>
        <v/>
      </c>
      <c r="E2174">
        <f>VLOOKUP(B2174,[1]Namshi!$A:$B,2,0)</f>
        <v/>
      </c>
      <c r="F2174" s="4">
        <f>SUMIFS('Dubai Stock'!I:I,'Dubai Stock'!H:H,Final_UAE!B:B)</f>
        <v/>
      </c>
      <c r="H2174" s="8" t="e">
        <v>#N/A</v>
      </c>
      <c r="I2174" s="8" t="n"/>
    </row>
    <row r="2175">
      <c r="A2175" s="4" t="n">
        <v>33834</v>
      </c>
      <c r="B2175" s="4" t="inlineStr">
        <is>
          <t>fu70918-spc-000511-0900-52</t>
        </is>
      </c>
      <c r="C2175" s="4" t="inlineStr">
        <is>
          <t>W00031886A</t>
        </is>
      </c>
      <c r="D2175" s="6">
        <f>IF(F2175&gt;=5, F2175-5, IF(F2175&lt;5, 0, F2175))</f>
        <v/>
      </c>
      <c r="E2175">
        <f>VLOOKUP(B2175,[1]Namshi!$A:$B,2,0)</f>
        <v/>
      </c>
      <c r="F2175" s="4">
        <f>SUMIFS('Dubai Stock'!I:I,'Dubai Stock'!H:H,Final_UAE!B:B)</f>
        <v/>
      </c>
      <c r="H2175" s="8" t="e">
        <v>#N/A</v>
      </c>
      <c r="I2175" s="8" t="n"/>
    </row>
    <row r="2176">
      <c r="A2176" s="4" t="n">
        <v>33834</v>
      </c>
      <c r="B2176" s="4" t="inlineStr">
        <is>
          <t>sw81502-bla-000210-1502-54</t>
        </is>
      </c>
      <c r="C2176" s="4" t="inlineStr">
        <is>
          <t>W00031886A</t>
        </is>
      </c>
      <c r="D2176" s="6">
        <f>IF(F2176&gt;=5, F2176-5, IF(F2176&lt;5, 0, F2176))</f>
        <v/>
      </c>
      <c r="E2176">
        <f>VLOOKUP(B2176,[1]Namshi!$A:$B,2,0)</f>
        <v/>
      </c>
      <c r="F2176" s="4">
        <f>SUMIFS('Dubai Stock'!I:I,'Dubai Stock'!H:H,Final_UAE!B:B)</f>
        <v/>
      </c>
      <c r="H2176" s="8" t="e">
        <v>#N/A</v>
      </c>
    </row>
    <row r="2177">
      <c r="A2177" s="4" t="n">
        <v>33834</v>
      </c>
      <c r="B2177" s="4" t="inlineStr">
        <is>
          <t>sw82311-bla-000212-2311-61</t>
        </is>
      </c>
      <c r="C2177" s="4" t="inlineStr">
        <is>
          <t>W00031886A</t>
        </is>
      </c>
      <c r="D2177" s="6">
        <f>IF(F2177&gt;=5, F2177-5, IF(F2177&lt;5, 0, F2177))</f>
        <v/>
      </c>
      <c r="E2177">
        <f>VLOOKUP(B2177,[1]Namshi!$A:$B,2,0)</f>
        <v/>
      </c>
      <c r="F2177" s="4">
        <f>SUMIFS('Dubai Stock'!I:I,'Dubai Stock'!H:H,Final_UAE!B:B)</f>
        <v/>
      </c>
      <c r="H2177" s="8" t="e">
        <v>#N/A</v>
      </c>
    </row>
    <row r="2178">
      <c r="A2178" s="4" t="n">
        <v>33834</v>
      </c>
      <c r="B2178" s="4" t="inlineStr">
        <is>
          <t>clstdai-acu-omax-p90-sn0575</t>
        </is>
      </c>
      <c r="C2178" s="4" t="inlineStr">
        <is>
          <t>W00031886A</t>
        </is>
      </c>
      <c r="D2178" s="6">
        <f>IF(F2178&gt;=5, F2178-5, IF(F2178&lt;5, 0, F2178))</f>
        <v/>
      </c>
      <c r="E2178">
        <f>VLOOKUP(B2178,[1]Namshi!$A:$B,2,0)</f>
        <v/>
      </c>
      <c r="F2178" s="4">
        <f>SUMIFS('Dubai Stock'!I:I,'Dubai Stock'!H:H,Final_UAE!B:B)</f>
        <v/>
      </c>
      <c r="H2178" s="8" t="e">
        <v>#N/A</v>
      </c>
      <c r="I2178" s="8" t="n"/>
    </row>
    <row r="2179">
      <c r="A2179" s="4" t="n">
        <v>33834</v>
      </c>
      <c r="B2179" s="4" t="inlineStr">
        <is>
          <t>sw50404-bla-000301-0404-53</t>
        </is>
      </c>
      <c r="C2179" s="4" t="inlineStr">
        <is>
          <t>W00031886A</t>
        </is>
      </c>
      <c r="D2179" s="6">
        <f>IF(F2179&gt;=5, F2179-5, IF(F2179&lt;5, 0, F2179))</f>
        <v/>
      </c>
      <c r="E2179">
        <f>VLOOKUP(B2179,[1]Namshi!$A:$B,2,0)</f>
        <v/>
      </c>
      <c r="F2179" s="4">
        <f>SUMIFS('Dubai Stock'!I:I,'Dubai Stock'!H:H,Final_UAE!B:B)</f>
        <v/>
      </c>
      <c r="H2179" s="8" t="e">
        <v>#N/A</v>
      </c>
      <c r="I2179" s="8" t="n"/>
    </row>
    <row r="2180">
      <c r="A2180" s="4" t="n">
        <v>33834</v>
      </c>
      <c r="B2180" s="4" t="inlineStr">
        <is>
          <t>clstdai-acu-mois-p120-sn0800</t>
        </is>
      </c>
      <c r="C2180" s="4" t="inlineStr">
        <is>
          <t>W00031886A</t>
        </is>
      </c>
      <c r="D2180" s="6">
        <f>IF(F2180&gt;=5, F2180-5, IF(F2180&lt;5, 0, F2180))</f>
        <v/>
      </c>
      <c r="E2180">
        <f>VLOOKUP(B2180,[1]Namshi!$A:$B,2,0)</f>
        <v/>
      </c>
      <c r="F2180" s="4">
        <f>SUMIFS('Dubai Stock'!I:I,'Dubai Stock'!H:H,Final_UAE!B:B)</f>
        <v/>
      </c>
      <c r="H2180" s="8" t="e">
        <v>#N/A</v>
      </c>
      <c r="I2180" s="8" t="n"/>
    </row>
    <row r="2181">
      <c r="A2181" s="4" t="n">
        <v>33834</v>
      </c>
      <c r="B2181" s="4" t="inlineStr">
        <is>
          <t>sw100101-30s-000290-0101-54</t>
        </is>
      </c>
      <c r="C2181" s="4" t="inlineStr">
        <is>
          <t>W00031886A</t>
        </is>
      </c>
      <c r="D2181" s="6">
        <f>IF(F2181&gt;=5, F2181-5, IF(F2181&lt;5, 0, F2181))</f>
        <v/>
      </c>
      <c r="E2181">
        <f>VLOOKUP(B2181,[1]Namshi!$A:$B,2,0)</f>
        <v/>
      </c>
      <c r="F2181" s="4">
        <f>SUMIFS('Dubai Stock'!I:I,'Dubai Stock'!H:H,Final_UAE!B:B)</f>
        <v/>
      </c>
      <c r="H2181" s="8" t="e">
        <v>#N/A</v>
      </c>
    </row>
    <row r="2182">
      <c r="A2182" s="4" t="n">
        <v>33834</v>
      </c>
      <c r="B2182" s="4" t="inlineStr">
        <is>
          <t>cost3mo-lay-2023-p02-selene-green-sn0200</t>
        </is>
      </c>
      <c r="C2182" s="4" t="inlineStr">
        <is>
          <t>W00031886A</t>
        </is>
      </c>
      <c r="D2182" s="6">
        <f>IF(F2182&gt;=5, F2182-5, IF(F2182&lt;5, 0, F2182))</f>
        <v/>
      </c>
      <c r="E2182">
        <f>VLOOKUP(B2182,[1]Namshi!$A:$B,2,0)</f>
        <v/>
      </c>
      <c r="F2182" s="4">
        <f>SUMIFS('Dubai Stock'!I:I,'Dubai Stock'!H:H,Final_UAE!B:B)</f>
        <v/>
      </c>
      <c r="H2182" s="8" t="e">
        <v>#N/A</v>
      </c>
      <c r="I2182" s="8" t="n"/>
    </row>
    <row r="2183">
      <c r="A2183" s="4" t="n">
        <v>33834</v>
      </c>
      <c r="B2183" s="4" t="inlineStr">
        <is>
          <t>clstdai-acu-mois-p120-sn0575</t>
        </is>
      </c>
      <c r="C2183" s="4" t="inlineStr">
        <is>
          <t>W00031886A</t>
        </is>
      </c>
      <c r="D2183" s="6">
        <f>IF(F2183&gt;=5, F2183-5, IF(F2183&lt;5, 0, F2183))</f>
        <v/>
      </c>
      <c r="E2183">
        <f>VLOOKUP(B2183,[1]Namshi!$A:$B,2,0)</f>
        <v/>
      </c>
      <c r="F2183" s="4">
        <f>SUMIFS('Dubai Stock'!I:I,'Dubai Stock'!H:H,Final_UAE!B:B)</f>
        <v/>
      </c>
      <c r="H2183" s="8" t="e">
        <v>#N/A</v>
      </c>
      <c r="I2183" s="8" t="n"/>
    </row>
    <row r="2184">
      <c r="A2184" s="4" t="n">
        <v>33834</v>
      </c>
      <c r="B2184" s="4" t="inlineStr">
        <is>
          <t>sm51306-30s-000223-1306-54</t>
        </is>
      </c>
      <c r="C2184" s="4" t="inlineStr">
        <is>
          <t>W00031886A</t>
        </is>
      </c>
      <c r="D2184" s="6">
        <f>IF(F2184&gt;=5, F2184-5, IF(F2184&lt;5, 0, F2184))</f>
        <v/>
      </c>
      <c r="E2184">
        <f>VLOOKUP(B2184,[1]Namshi!$A:$B,2,0)</f>
        <v/>
      </c>
      <c r="F2184" s="4">
        <f>SUMIFS('Dubai Stock'!I:I,'Dubai Stock'!H:H,Final_UAE!B:B)</f>
        <v/>
      </c>
      <c r="H2184" s="8" t="e">
        <v>#N/A</v>
      </c>
    </row>
    <row r="2185">
      <c r="A2185" s="4" t="n">
        <v>33834</v>
      </c>
      <c r="B2185" s="4" t="inlineStr">
        <is>
          <t>cost3mo-lay-lens-p02-ocean-blue-sn0175</t>
        </is>
      </c>
      <c r="C2185" s="4" t="inlineStr">
        <is>
          <t>W00031886A</t>
        </is>
      </c>
      <c r="D2185" s="6">
        <f>IF(F2185&gt;=5, F2185-5, IF(F2185&lt;5, 0, F2185))</f>
        <v/>
      </c>
      <c r="E2185">
        <f>VLOOKUP(B2185,[1]Namshi!$A:$B,2,0)</f>
        <v/>
      </c>
      <c r="F2185" s="4">
        <f>SUMIFS('Dubai Stock'!I:I,'Dubai Stock'!H:H,Final_UAE!B:B)</f>
        <v/>
      </c>
      <c r="H2185" s="8" t="e">
        <v>#N/A</v>
      </c>
      <c r="I2185" s="8" t="n"/>
    </row>
    <row r="2186">
      <c r="A2186" s="4" t="n">
        <v>33834</v>
      </c>
      <c r="B2186" s="4" t="inlineStr">
        <is>
          <t>costmon-ama-2020-p02-pure-hazel-sn0700</t>
        </is>
      </c>
      <c r="C2186" s="4" t="inlineStr">
        <is>
          <t>W00031886A</t>
        </is>
      </c>
      <c r="D2186" s="6">
        <f>IF(F2186&gt;=5, F2186-5, IF(F2186&lt;5, 0, F2186))</f>
        <v/>
      </c>
      <c r="E2186">
        <f>VLOOKUP(B2186,[1]Namshi!$A:$B,2,0)</f>
        <v/>
      </c>
      <c r="F2186" s="4">
        <f>SUMIFS('Dubai Stock'!I:I,'Dubai Stock'!H:H,Final_UAE!B:B)</f>
        <v/>
      </c>
      <c r="H2186" s="8" t="e">
        <v>#N/A</v>
      </c>
      <c r="I2186" s="8" t="n"/>
    </row>
    <row r="2187">
      <c r="A2187" s="4" t="n">
        <v>33834</v>
      </c>
      <c r="B2187" s="4" t="inlineStr">
        <is>
          <t>sm50404-30s-000217-1404-54</t>
        </is>
      </c>
      <c r="C2187" s="4" t="inlineStr">
        <is>
          <t>W00031886A</t>
        </is>
      </c>
      <c r="D2187" s="6">
        <f>IF(F2187&gt;=5, F2187-5, IF(F2187&lt;5, 0, F2187))</f>
        <v/>
      </c>
      <c r="E2187">
        <f>VLOOKUP(B2187,[1]Namshi!$A:$B,2,0)</f>
        <v/>
      </c>
      <c r="F2187" s="4">
        <f>SUMIFS('Dubai Stock'!I:I,'Dubai Stock'!H:H,Final_UAE!B:B)</f>
        <v/>
      </c>
      <c r="H2187" s="8" t="e">
        <v>#N/A</v>
      </c>
    </row>
    <row r="2188">
      <c r="A2188" s="4" t="n">
        <v>33834</v>
      </c>
      <c r="B2188" s="4" t="inlineStr">
        <is>
          <t>clstbiw-acu-oasy-p18-sn0075</t>
        </is>
      </c>
      <c r="C2188" s="4" t="inlineStr">
        <is>
          <t>W00031886A</t>
        </is>
      </c>
      <c r="D2188" s="6">
        <f>IF(F2188&gt;=5, F2188-5, IF(F2188&lt;5, 0, F2188))</f>
        <v/>
      </c>
      <c r="E2188">
        <f>VLOOKUP(B2188,[1]Namshi!$A:$B,2,0)</f>
        <v/>
      </c>
      <c r="F2188" s="4">
        <f>SUMIFS('Dubai Stock'!I:I,'Dubai Stock'!H:H,Final_UAE!B:B)</f>
        <v/>
      </c>
      <c r="H2188" s="8" t="e">
        <v>#N/A</v>
      </c>
      <c r="I2188" s="8" t="n"/>
    </row>
    <row r="2189">
      <c r="A2189" s="4" t="n">
        <v>33834</v>
      </c>
      <c r="B2189" s="4" t="inlineStr">
        <is>
          <t>clstdai-acu-oasy-p90-sn0600</t>
        </is>
      </c>
      <c r="C2189" s="4" t="inlineStr">
        <is>
          <t>W00031886A</t>
        </is>
      </c>
      <c r="D2189" s="6">
        <f>IF(F2189&gt;=5, F2189-5, IF(F2189&lt;5, 0, F2189))</f>
        <v/>
      </c>
      <c r="E2189">
        <f>VLOOKUP(B2189,[1]Namshi!$A:$B,2,0)</f>
        <v/>
      </c>
      <c r="F2189" s="4">
        <f>SUMIFS('Dubai Stock'!I:I,'Dubai Stock'!H:H,Final_UAE!B:B)</f>
        <v/>
      </c>
      <c r="H2189" s="8" t="e">
        <v>#N/A</v>
      </c>
      <c r="I2189" s="8" t="n"/>
    </row>
    <row r="2190">
      <c r="A2190" s="4" t="n">
        <v>33834</v>
      </c>
      <c r="B2190" s="4" t="inlineStr">
        <is>
          <t>sm100702-30s-000444-0702-53</t>
        </is>
      </c>
      <c r="C2190" s="4" t="inlineStr">
        <is>
          <t>W00031886A</t>
        </is>
      </c>
      <c r="D2190" s="6">
        <f>IF(F2190&gt;=5, F2190-5, IF(F2190&lt;5, 0, F2190))</f>
        <v/>
      </c>
      <c r="E2190">
        <f>VLOOKUP(B2190,[1]Namshi!$A:$B,2,0)</f>
        <v/>
      </c>
      <c r="F2190" s="4">
        <f>SUMIFS('Dubai Stock'!I:I,'Dubai Stock'!H:H,Final_UAE!B:B)</f>
        <v/>
      </c>
      <c r="H2190" s="8" t="e">
        <v>#N/A</v>
      </c>
    </row>
    <row r="2191">
      <c r="A2191" s="4" t="n">
        <v>33834</v>
      </c>
      <c r="B2191" s="4" t="inlineStr">
        <is>
          <t>cost3mo-lay-2022-p02-cosmo-gray-sp0000</t>
        </is>
      </c>
      <c r="C2191" s="4" t="inlineStr">
        <is>
          <t>W00031886A</t>
        </is>
      </c>
      <c r="D2191" s="6">
        <f>IF(F2191&gt;=5, F2191-5, IF(F2191&lt;5, 0, F2191))</f>
        <v/>
      </c>
      <c r="E2191">
        <f>VLOOKUP(B2191,[1]Namshi!$A:$B,2,0)</f>
        <v/>
      </c>
      <c r="F2191" s="4">
        <f>SUMIFS('Dubai Stock'!I:I,'Dubai Stock'!H:H,Final_UAE!B:B)</f>
        <v/>
      </c>
      <c r="H2191" s="8" t="e">
        <v>#N/A</v>
      </c>
      <c r="I2191" s="8" t="n"/>
    </row>
    <row r="2192">
      <c r="A2192" s="4" t="n">
        <v>33834</v>
      </c>
      <c r="B2192" s="4" t="inlineStr">
        <is>
          <t>su70701-bla-000237-0701-54</t>
        </is>
      </c>
      <c r="C2192" s="4" t="inlineStr">
        <is>
          <t>W00031886A</t>
        </is>
      </c>
      <c r="D2192" s="6">
        <f>IF(F2192&gt;=5, F2192-5, IF(F2192&lt;5, 0, F2192))</f>
        <v/>
      </c>
      <c r="E2192">
        <f>VLOOKUP(B2192,[1]Namshi!$A:$B,2,0)</f>
        <v/>
      </c>
      <c r="F2192" s="4">
        <f>SUMIFS('Dubai Stock'!I:I,'Dubai Stock'!H:H,Final_UAE!B:B)</f>
        <v/>
      </c>
      <c r="H2192" s="8" t="e">
        <v>#N/A</v>
      </c>
    </row>
    <row r="2193">
      <c r="A2193" s="4" t="n">
        <v>33834</v>
      </c>
      <c r="B2193" s="4" t="inlineStr">
        <is>
          <t>sc70207-bab-000513-0207-46</t>
        </is>
      </c>
      <c r="C2193" s="4" t="inlineStr">
        <is>
          <t>W00031886A</t>
        </is>
      </c>
      <c r="D2193" s="6">
        <f>IF(F2193&gt;=5, F2193-5, IF(F2193&lt;5, 0, F2193))</f>
        <v/>
      </c>
      <c r="E2193">
        <f>VLOOKUP(B2193,[1]Namshi!$A:$B,2,0)</f>
        <v/>
      </c>
      <c r="F2193" s="4">
        <f>SUMIFS('Dubai Stock'!I:I,'Dubai Stock'!H:H,Final_UAE!B:B)</f>
        <v/>
      </c>
      <c r="H2193" s="8" t="e">
        <v>#N/A</v>
      </c>
    </row>
    <row r="2194">
      <c r="A2194" s="4" t="n">
        <v>33834</v>
      </c>
      <c r="B2194" s="4" t="inlineStr">
        <is>
          <t>sunglasses-30Sundays-30s-000457-0107</t>
        </is>
      </c>
      <c r="C2194" s="4" t="inlineStr">
        <is>
          <t>W00031886A</t>
        </is>
      </c>
      <c r="D2194" s="6">
        <f>IF(F2194&gt;=5, F2194-5, IF(F2194&lt;5, 0, F2194))</f>
        <v/>
      </c>
      <c r="E2194">
        <f>VLOOKUP(B2194,[1]Namshi!$A:$B,2,0)</f>
        <v/>
      </c>
      <c r="F2194" s="4">
        <f>SUMIFS('Dubai Stock'!I:I,'Dubai Stock'!H:H,Final_UAE!B:B)</f>
        <v/>
      </c>
      <c r="H2194" s="8" t="e">
        <v>#N/A</v>
      </c>
      <c r="I2194" s="8" t="n"/>
    </row>
    <row r="2195">
      <c r="A2195" s="4" t="n">
        <v>33834</v>
      </c>
      <c r="B2195" s="4" t="inlineStr">
        <is>
          <t>clstmon-bio-biof-p06-sn0450</t>
        </is>
      </c>
      <c r="C2195" s="4" t="inlineStr">
        <is>
          <t>W00031886A</t>
        </is>
      </c>
      <c r="D2195" s="6">
        <f>IF(F2195&gt;=5, F2195-5, IF(F2195&lt;5, 0, F2195))</f>
        <v/>
      </c>
      <c r="E2195">
        <f>VLOOKUP(B2195,[1]Namshi!$A:$B,2,0)</f>
        <v/>
      </c>
      <c r="F2195" s="4">
        <f>SUMIFS('Dubai Stock'!I:I,'Dubai Stock'!H:H,Final_UAE!B:B)</f>
        <v/>
      </c>
      <c r="H2195" s="8" t="e">
        <v>#N/A</v>
      </c>
      <c r="I2195" s="8" t="n"/>
    </row>
    <row r="2196">
      <c r="A2196" s="4" t="n">
        <v>33834</v>
      </c>
      <c r="B2196" s="4" t="inlineStr">
        <is>
          <t>sacchan-30s-chain128-rsg-mia-rose-gold</t>
        </is>
      </c>
      <c r="C2196" s="4" t="inlineStr">
        <is>
          <t>W00031886A</t>
        </is>
      </c>
      <c r="D2196" s="6">
        <f>IF(F2196&gt;=5, F2196-5, IF(F2196&lt;5, 0, F2196))</f>
        <v/>
      </c>
      <c r="E2196">
        <f>VLOOKUP(B2196,[1]Namshi!$A:$B,2,0)</f>
        <v/>
      </c>
      <c r="F2196" s="4">
        <f>SUMIFS('Dubai Stock'!I:I,'Dubai Stock'!H:H,Final_UAE!B:B)</f>
        <v/>
      </c>
      <c r="H2196" s="8" t="e">
        <v>#N/A</v>
      </c>
      <c r="I2196" s="8" t="n"/>
    </row>
    <row r="2197">
      <c r="A2197" s="4" t="n">
        <v>33834</v>
      </c>
      <c r="B2197" s="4" t="inlineStr">
        <is>
          <t>clstbiw-acu-oasy-p18-sn0575</t>
        </is>
      </c>
      <c r="C2197" s="4" t="inlineStr">
        <is>
          <t>W00031886A</t>
        </is>
      </c>
      <c r="D2197" s="6">
        <f>IF(F2197&gt;=5, F2197-5, IF(F2197&lt;5, 0, F2197))</f>
        <v/>
      </c>
      <c r="E2197">
        <f>VLOOKUP(B2197,[1]Namshi!$A:$B,2,0)</f>
        <v/>
      </c>
      <c r="F2197" s="4">
        <f>SUMIFS('Dubai Stock'!I:I,'Dubai Stock'!H:H,Final_UAE!B:B)</f>
        <v/>
      </c>
      <c r="H2197" s="8" t="e">
        <v>#N/A</v>
      </c>
      <c r="I2197" s="8" t="n"/>
    </row>
    <row r="2198">
      <c r="A2198" s="4" t="n">
        <v>33834</v>
      </c>
      <c r="B2198" s="4" t="inlineStr">
        <is>
          <t>clstbiw-acu-0002-p06-sn0600</t>
        </is>
      </c>
      <c r="C2198" s="4" t="inlineStr">
        <is>
          <t>W00031886A</t>
        </is>
      </c>
      <c r="D2198" s="6">
        <f>IF(F2198&gt;=5, F2198-5, IF(F2198&lt;5, 0, F2198))</f>
        <v/>
      </c>
      <c r="E2198">
        <f>VLOOKUP(B2198,[1]Namshi!$A:$B,2,0)</f>
        <v/>
      </c>
      <c r="F2198" s="4">
        <f>SUMIFS('Dubai Stock'!I:I,'Dubai Stock'!H:H,Final_UAE!B:B)</f>
        <v/>
      </c>
      <c r="H2198" s="8" t="e">
        <v>#N/A</v>
      </c>
      <c r="I2198" s="8" t="n"/>
    </row>
    <row r="2199">
      <c r="A2199" s="4" t="n">
        <v>33834</v>
      </c>
      <c r="B2199" s="4" t="inlineStr">
        <is>
          <t>sw100504-30s-000261-2904-62</t>
        </is>
      </c>
      <c r="C2199" s="4" t="inlineStr">
        <is>
          <t>W00031886A</t>
        </is>
      </c>
      <c r="D2199" s="6">
        <f>IF(F2199&gt;=5, F2199-5, IF(F2199&lt;5, 0, F2199))</f>
        <v/>
      </c>
      <c r="E2199">
        <f>VLOOKUP(B2199,[1]Namshi!$A:$B,2,0)</f>
        <v/>
      </c>
      <c r="F2199" s="4">
        <f>SUMIFS('Dubai Stock'!I:I,'Dubai Stock'!H:H,Final_UAE!B:B)</f>
        <v/>
      </c>
      <c r="H2199" s="8" t="e">
        <v>#N/A</v>
      </c>
    </row>
    <row r="2200">
      <c r="A2200" s="4" t="n">
        <v>33834</v>
      </c>
      <c r="B2200" s="4" t="inlineStr">
        <is>
          <t>sm40707-30s-000285-1407-53</t>
        </is>
      </c>
      <c r="C2200" s="4" t="inlineStr">
        <is>
          <t>W00031886A</t>
        </is>
      </c>
      <c r="D2200" s="6">
        <f>IF(F2200&gt;=5, F2200-5, IF(F2200&lt;5, 0, F2200))</f>
        <v/>
      </c>
      <c r="E2200">
        <f>VLOOKUP(B2200,[1]Namshi!$A:$B,2,0)</f>
        <v/>
      </c>
      <c r="F2200" s="4">
        <f>SUMIFS('Dubai Stock'!I:I,'Dubai Stock'!H:H,Final_UAE!B:B)</f>
        <v/>
      </c>
      <c r="H2200" s="8" t="e">
        <v>#N/A</v>
      </c>
    </row>
    <row r="2201">
      <c r="A2201" s="4" t="n">
        <v>33834</v>
      </c>
      <c r="B2201" s="4" t="inlineStr">
        <is>
          <t>clstdai-btr-oned-p90-sn0475</t>
        </is>
      </c>
      <c r="C2201" s="4" t="inlineStr">
        <is>
          <t>W00031886A</t>
        </is>
      </c>
      <c r="D2201" s="6">
        <f>IF(F2201&gt;=5, F2201-5, IF(F2201&lt;5, 0, F2201))</f>
        <v/>
      </c>
      <c r="E2201">
        <f>VLOOKUP(B2201,[1]Namshi!$A:$B,2,0)</f>
        <v/>
      </c>
      <c r="F2201" s="4">
        <f>SUMIFS('Dubai Stock'!I:I,'Dubai Stock'!H:H,Final_UAE!B:B)</f>
        <v/>
      </c>
      <c r="H2201" s="8" t="e">
        <v>#N/A</v>
      </c>
      <c r="I2201" s="8" t="n"/>
    </row>
    <row r="2202">
      <c r="A2202" s="4" t="n">
        <v>33834</v>
      </c>
      <c r="B2202" s="4" t="inlineStr">
        <is>
          <t>cost3mo-lay-2025-p02-desert-topaz-sn0550</t>
        </is>
      </c>
      <c r="C2202" s="4" t="inlineStr">
        <is>
          <t>W00031886A</t>
        </is>
      </c>
      <c r="D2202" s="6">
        <f>IF(F2202&gt;=5, F2202-5, IF(F2202&lt;5, 0, F2202))</f>
        <v/>
      </c>
      <c r="E2202">
        <f>VLOOKUP(B2202,[1]Namshi!$A:$B,2,0)</f>
        <v/>
      </c>
      <c r="F2202" s="4">
        <f>SUMIFS('Dubai Stock'!I:I,'Dubai Stock'!H:H,Final_UAE!B:B)</f>
        <v/>
      </c>
      <c r="H2202" s="8" t="e">
        <v>#N/A</v>
      </c>
      <c r="I2202" s="8" t="n"/>
    </row>
    <row r="2203">
      <c r="A2203" s="4" t="n">
        <v>33834</v>
      </c>
      <c r="B2203" s="4" t="inlineStr">
        <is>
          <t>su102904-bla-000274-2904-55</t>
        </is>
      </c>
      <c r="C2203" s="4" t="inlineStr">
        <is>
          <t>W00031886A</t>
        </is>
      </c>
      <c r="D2203" s="6">
        <f>IF(F2203&gt;=5, F2203-5, IF(F2203&lt;5, 0, F2203))</f>
        <v/>
      </c>
      <c r="E2203">
        <f>VLOOKUP(B2203,[1]Namshi!$A:$B,2,0)</f>
        <v/>
      </c>
      <c r="F2203" s="4">
        <f>SUMIFS('Dubai Stock'!I:I,'Dubai Stock'!H:H,Final_UAE!B:B)</f>
        <v/>
      </c>
      <c r="H2203" s="8" t="e">
        <v>#N/A</v>
      </c>
    </row>
    <row r="2204">
      <c r="A2204" s="4" t="n">
        <v>33834</v>
      </c>
      <c r="B2204" s="4" t="inlineStr">
        <is>
          <t>clstdai-acu-mois-p90-sn0200</t>
        </is>
      </c>
      <c r="C2204" s="4" t="inlineStr">
        <is>
          <t>W00031886A</t>
        </is>
      </c>
      <c r="D2204" s="6">
        <f>IF(F2204&gt;=5, F2204-5, IF(F2204&lt;5, 0, F2204))</f>
        <v/>
      </c>
      <c r="E2204">
        <f>VLOOKUP(B2204,[1]Namshi!$A:$B,2,0)</f>
        <v/>
      </c>
      <c r="F2204" s="4">
        <f>SUMIFS('Dubai Stock'!I:I,'Dubai Stock'!H:H,Final_UAE!B:B)</f>
        <v/>
      </c>
      <c r="H2204" s="8" t="e">
        <v>#N/A</v>
      </c>
      <c r="I2204" s="8" t="n"/>
    </row>
    <row r="2205">
      <c r="A2205" s="4" t="n">
        <v>33834</v>
      </c>
      <c r="B2205" s="4" t="inlineStr">
        <is>
          <t>sw30202-30s-000117-0202-57</t>
        </is>
      </c>
      <c r="C2205" s="4" t="inlineStr">
        <is>
          <t>W00031886A</t>
        </is>
      </c>
      <c r="D2205" s="6">
        <f>IF(F2205&gt;=5, F2205-5, IF(F2205&lt;5, 0, F2205))</f>
        <v/>
      </c>
      <c r="E2205">
        <f>VLOOKUP(B2205,[1]Namshi!$A:$B,2,0)</f>
        <v/>
      </c>
      <c r="F2205" s="4">
        <f>SUMIFS('Dubai Stock'!I:I,'Dubai Stock'!H:H,Final_UAE!B:B)</f>
        <v/>
      </c>
      <c r="H2205" s="8" t="e">
        <v>#N/A</v>
      </c>
    </row>
    <row r="2206">
      <c r="A2206" s="4" t="n">
        <v>33834</v>
      </c>
      <c r="B2206" s="4" t="inlineStr">
        <is>
          <t>clstdai-acu-oasy-p60-sn0200</t>
        </is>
      </c>
      <c r="C2206" s="4" t="inlineStr">
        <is>
          <t>W00031886A</t>
        </is>
      </c>
      <c r="D2206" s="6">
        <f>IF(F2206&gt;=5, F2206-5, IF(F2206&lt;5, 0, F2206))</f>
        <v/>
      </c>
      <c r="E2206">
        <f>VLOOKUP(B2206,[1]Namshi!$A:$B,2,0)</f>
        <v/>
      </c>
      <c r="F2206" s="4">
        <f>SUMIFS('Dubai Stock'!I:I,'Dubai Stock'!H:H,Final_UAE!B:B)</f>
        <v/>
      </c>
      <c r="H2206" s="8" t="e">
        <v>#N/A</v>
      </c>
      <c r="I2206" s="8" t="n"/>
    </row>
    <row r="2207">
      <c r="A2207" s="4" t="n">
        <v>33834</v>
      </c>
      <c r="B2207" s="4" t="inlineStr">
        <is>
          <t>fw72318-spc-000823-2318-50</t>
        </is>
      </c>
      <c r="C2207" s="4" t="inlineStr">
        <is>
          <t>W00031886A</t>
        </is>
      </c>
      <c r="D2207" s="6">
        <f>IF(F2207&gt;=5, F2207-5, IF(F2207&lt;5, 0, F2207))</f>
        <v/>
      </c>
      <c r="E2207">
        <f>VLOOKUP(B2207,[1]Namshi!$A:$B,2,0)</f>
        <v/>
      </c>
      <c r="F2207" s="4">
        <f>SUMIFS('Dubai Stock'!I:I,'Dubai Stock'!H:H,Final_UAE!B:B)</f>
        <v/>
      </c>
      <c r="H2207" s="8" t="e">
        <v>#N/A</v>
      </c>
      <c r="I2207" s="8" t="n"/>
    </row>
    <row r="2208">
      <c r="A2208" s="4" t="n">
        <v>33834</v>
      </c>
      <c r="B2208" s="4" t="inlineStr">
        <is>
          <t>cost3mo-lay-lens-p02-platinum-gray-sn0225</t>
        </is>
      </c>
      <c r="C2208" s="4" t="inlineStr">
        <is>
          <t>W00031886A</t>
        </is>
      </c>
      <c r="D2208" s="6">
        <f>IF(F2208&gt;=5, F2208-5, IF(F2208&lt;5, 0, F2208))</f>
        <v/>
      </c>
      <c r="E2208">
        <f>VLOOKUP(B2208,[1]Namshi!$A:$B,2,0)</f>
        <v/>
      </c>
      <c r="F2208" s="4">
        <f>SUMIFS('Dubai Stock'!I:I,'Dubai Stock'!H:H,Final_UAE!B:B)</f>
        <v/>
      </c>
      <c r="H2208" s="8" t="e">
        <v>#N/A</v>
      </c>
      <c r="I2208" s="8" t="n"/>
    </row>
    <row r="2209">
      <c r="A2209" s="4" t="n">
        <v>33834</v>
      </c>
      <c r="B2209" s="4" t="inlineStr">
        <is>
          <t>sw72007-30s-000295-2007-53</t>
        </is>
      </c>
      <c r="C2209" s="4" t="inlineStr">
        <is>
          <t>W00031886A</t>
        </is>
      </c>
      <c r="D2209" s="6">
        <f>IF(F2209&gt;=5, F2209-5, IF(F2209&lt;5, 0, F2209))</f>
        <v/>
      </c>
      <c r="E2209">
        <f>VLOOKUP(B2209,[1]Namshi!$A:$B,2,0)</f>
        <v/>
      </c>
      <c r="F2209" s="4">
        <f>SUMIFS('Dubai Stock'!I:I,'Dubai Stock'!H:H,Final_UAE!B:B)</f>
        <v/>
      </c>
      <c r="H2209" s="8" t="e">
        <v>#N/A</v>
      </c>
    </row>
    <row r="2210">
      <c r="A2210" s="4" t="n">
        <v>33834</v>
      </c>
      <c r="B2210" s="4" t="inlineStr">
        <is>
          <t>clstdai-eve-elit-p30-sn0350</t>
        </is>
      </c>
      <c r="C2210" s="4" t="inlineStr">
        <is>
          <t>W00031886A</t>
        </is>
      </c>
      <c r="D2210" s="6">
        <f>IF(F2210&gt;=5, F2210-5, IF(F2210&lt;5, 0, F2210))</f>
        <v/>
      </c>
      <c r="E2210">
        <f>VLOOKUP(B2210,[1]Namshi!$A:$B,2,0)</f>
        <v/>
      </c>
      <c r="F2210" s="4">
        <f>SUMIFS('Dubai Stock'!I:I,'Dubai Stock'!H:H,Final_UAE!B:B)</f>
        <v/>
      </c>
      <c r="H2210" s="8" t="n">
        <v>261</v>
      </c>
      <c r="I2210" s="8" t="n">
        <v>146.3</v>
      </c>
    </row>
    <row r="2211">
      <c r="A2211" s="4" t="n">
        <v>33834</v>
      </c>
      <c r="B2211" s="4" t="inlineStr">
        <is>
          <t>clstdai-acu-dfvi-p60-sn0450</t>
        </is>
      </c>
      <c r="C2211" s="4" t="inlineStr">
        <is>
          <t>W00031886A</t>
        </is>
      </c>
      <c r="D2211" s="6">
        <f>IF(F2211&gt;=5, F2211-5, IF(F2211&lt;5, 0, F2211))</f>
        <v/>
      </c>
      <c r="E2211">
        <f>VLOOKUP(B2211,[1]Namshi!$A:$B,2,0)</f>
        <v/>
      </c>
      <c r="F2211" s="4">
        <f>SUMIFS('Dubai Stock'!I:I,'Dubai Stock'!H:H,Final_UAE!B:B)</f>
        <v/>
      </c>
      <c r="H2211" s="8" t="e">
        <v>#N/A</v>
      </c>
      <c r="I2211" s="8" t="n"/>
    </row>
    <row r="2212">
      <c r="A2212" s="4" t="n">
        <v>33834</v>
      </c>
      <c r="B2212" s="4" t="inlineStr">
        <is>
          <t>su50202-30s-00237-0202p-51</t>
        </is>
      </c>
      <c r="C2212" s="4" t="inlineStr">
        <is>
          <t>W00031886A</t>
        </is>
      </c>
      <c r="D2212" s="6">
        <f>IF(F2212&gt;=5, F2212-5, IF(F2212&lt;5, 0, F2212))</f>
        <v/>
      </c>
      <c r="E2212">
        <f>VLOOKUP(B2212,[1]Namshi!$A:$B,2,0)</f>
        <v/>
      </c>
      <c r="F2212" s="4">
        <f>SUMIFS('Dubai Stock'!I:I,'Dubai Stock'!H:H,Final_UAE!B:B)</f>
        <v/>
      </c>
      <c r="H2212" s="8" t="e">
        <v>#N/A</v>
      </c>
    </row>
    <row r="2213">
      <c r="A2213" s="4" t="n">
        <v>33834</v>
      </c>
      <c r="B2213" s="4" t="inlineStr">
        <is>
          <t>sw71304-30s-000245-1304-55</t>
        </is>
      </c>
      <c r="C2213" s="4" t="inlineStr">
        <is>
          <t>W00031886A</t>
        </is>
      </c>
      <c r="D2213" s="6">
        <f>IF(F2213&gt;=5, F2213-5, IF(F2213&lt;5, 0, F2213))</f>
        <v/>
      </c>
      <c r="E2213">
        <f>VLOOKUP(B2213,[1]Namshi!$A:$B,2,0)</f>
        <v/>
      </c>
      <c r="F2213" s="4">
        <f>SUMIFS('Dubai Stock'!I:I,'Dubai Stock'!H:H,Final_UAE!B:B)</f>
        <v/>
      </c>
      <c r="H2213" s="8" t="e">
        <v>#N/A</v>
      </c>
    </row>
    <row r="2214">
      <c r="A2214" s="4" t="n">
        <v>33834</v>
      </c>
      <c r="B2214" s="4" t="inlineStr">
        <is>
          <t>clstdai-acu-oasy-p120-sn0400</t>
        </is>
      </c>
      <c r="C2214" s="4" t="inlineStr">
        <is>
          <t>W00031886A</t>
        </is>
      </c>
      <c r="D2214" s="6">
        <f>IF(F2214&gt;=5, F2214-5, IF(F2214&lt;5, 0, F2214))</f>
        <v/>
      </c>
      <c r="E2214">
        <f>VLOOKUP(B2214,[1]Namshi!$A:$B,2,0)</f>
        <v/>
      </c>
      <c r="F2214" s="4">
        <f>SUMIFS('Dubai Stock'!I:I,'Dubai Stock'!H:H,Final_UAE!B:B)</f>
        <v/>
      </c>
      <c r="H2214" s="8" t="e">
        <v>#N/A</v>
      </c>
      <c r="I2214" s="8" t="n"/>
    </row>
    <row r="2215">
      <c r="A2215" s="4" t="n">
        <v>33834</v>
      </c>
      <c r="B2215" s="4" t="inlineStr">
        <is>
          <t>clstdai-dai-tot1-p90-sn1150</t>
        </is>
      </c>
      <c r="C2215" s="4" t="inlineStr">
        <is>
          <t>W00031886A</t>
        </is>
      </c>
      <c r="D2215" s="6">
        <f>IF(F2215&gt;=5, F2215-5, IF(F2215&lt;5, 0, F2215))</f>
        <v/>
      </c>
      <c r="E2215">
        <f>VLOOKUP(B2215,[1]Namshi!$A:$B,2,0)</f>
        <v/>
      </c>
      <c r="F2215" s="4">
        <f>SUMIFS('Dubai Stock'!I:I,'Dubai Stock'!H:H,Final_UAE!B:B)</f>
        <v/>
      </c>
      <c r="H2215" s="8" t="e">
        <v>#N/A</v>
      </c>
      <c r="I2215" s="8" t="n"/>
    </row>
    <row r="2216">
      <c r="A2216" s="4" t="n">
        <v>33834</v>
      </c>
      <c r="B2216" s="4" t="inlineStr">
        <is>
          <t>sw61207-bla-000378-1207-59</t>
        </is>
      </c>
      <c r="C2216" s="4" t="inlineStr">
        <is>
          <t>W00031886A</t>
        </is>
      </c>
      <c r="D2216" s="6">
        <f>IF(F2216&gt;=5, F2216-5, IF(F2216&lt;5, 0, F2216))</f>
        <v/>
      </c>
      <c r="E2216">
        <f>VLOOKUP(B2216,[1]Namshi!$A:$B,2,0)</f>
        <v/>
      </c>
      <c r="F2216" s="4">
        <f>SUMIFS('Dubai Stock'!I:I,'Dubai Stock'!H:H,Final_UAE!B:B)</f>
        <v/>
      </c>
      <c r="H2216" s="8" t="e">
        <v>#N/A</v>
      </c>
    </row>
    <row r="2217">
      <c r="A2217" s="4" t="n">
        <v>33834</v>
      </c>
      <c r="B2217" s="4" t="inlineStr">
        <is>
          <t>clstdai-acu-oasy-p30-sp0225</t>
        </is>
      </c>
      <c r="C2217" s="4" t="inlineStr">
        <is>
          <t>W00031886A</t>
        </is>
      </c>
      <c r="D2217" s="6">
        <f>IF(F2217&gt;=5, F2217-5, IF(F2217&lt;5, 0, F2217))</f>
        <v/>
      </c>
      <c r="E2217">
        <f>VLOOKUP(B2217,[1]Namshi!$A:$B,2,0)</f>
        <v/>
      </c>
      <c r="F2217" s="4">
        <f>SUMIFS('Dubai Stock'!I:I,'Dubai Stock'!H:H,Final_UAE!B:B)</f>
        <v/>
      </c>
      <c r="H2217" s="8" t="e">
        <v>#N/A</v>
      </c>
      <c r="I2217" s="8" t="n"/>
    </row>
    <row r="2218">
      <c r="A2218" s="4" t="n">
        <v>33834</v>
      </c>
      <c r="B2218" s="4" t="inlineStr">
        <is>
          <t>clstdai-dai-aqua-p90-sn0050</t>
        </is>
      </c>
      <c r="C2218" s="4" t="inlineStr">
        <is>
          <t>W00031886A</t>
        </is>
      </c>
      <c r="D2218" s="6">
        <f>IF(F2218&gt;=5, F2218-5, IF(F2218&lt;5, 0, F2218))</f>
        <v/>
      </c>
      <c r="E2218">
        <f>VLOOKUP(B2218,[1]Namshi!$A:$B,2,0)</f>
        <v/>
      </c>
      <c r="F2218" s="4">
        <f>SUMIFS('Dubai Stock'!I:I,'Dubai Stock'!H:H,Final_UAE!B:B)</f>
        <v/>
      </c>
      <c r="H2218" s="8" t="e">
        <v>#N/A</v>
      </c>
      <c r="I2218" s="8" t="n"/>
    </row>
    <row r="2219">
      <c r="A2219" s="4" t="n">
        <v>33834</v>
      </c>
      <c r="B2219" s="4" t="inlineStr">
        <is>
          <t>clstdai-eve-elit-p30-sp0125</t>
        </is>
      </c>
      <c r="C2219" s="4" t="inlineStr">
        <is>
          <t>W00031886A</t>
        </is>
      </c>
      <c r="D2219" s="6">
        <f>IF(F2219&gt;=5, F2219-5, IF(F2219&lt;5, 0, F2219))</f>
        <v/>
      </c>
      <c r="E2219">
        <f>VLOOKUP(B2219,[1]Namshi!$A:$B,2,0)</f>
        <v/>
      </c>
      <c r="F2219" s="4">
        <f>SUMIFS('Dubai Stock'!I:I,'Dubai Stock'!H:H,Final_UAE!B:B)</f>
        <v/>
      </c>
      <c r="H2219" s="8" t="n">
        <v>261</v>
      </c>
      <c r="I2219" s="8" t="n">
        <v>146.3</v>
      </c>
    </row>
    <row r="2220">
      <c r="A2220" s="4" t="n">
        <v>33834</v>
      </c>
      <c r="B2220" s="4" t="inlineStr">
        <is>
          <t>sw32306-30s-000111-0906-63</t>
        </is>
      </c>
      <c r="C2220" s="4" t="inlineStr">
        <is>
          <t>W00031886A</t>
        </is>
      </c>
      <c r="D2220" s="6">
        <f>IF(F2220&gt;=5, F2220-5, IF(F2220&lt;5, 0, F2220))</f>
        <v/>
      </c>
      <c r="E2220">
        <f>VLOOKUP(B2220,[1]Namshi!$A:$B,2,0)</f>
        <v/>
      </c>
      <c r="F2220" s="4">
        <f>SUMIFS('Dubai Stock'!I:I,'Dubai Stock'!H:H,Final_UAE!B:B)</f>
        <v/>
      </c>
      <c r="H2220" s="8" t="e">
        <v>#N/A</v>
      </c>
    </row>
    <row r="2221">
      <c r="A2221" s="4" t="n">
        <v>33834</v>
      </c>
      <c r="B2221" s="4" t="inlineStr">
        <is>
          <t>clstmon-ava-avai-p06-sp0475</t>
        </is>
      </c>
      <c r="C2221" s="4" t="inlineStr">
        <is>
          <t>W00031886A</t>
        </is>
      </c>
      <c r="D2221" s="6">
        <f>IF(F2221&gt;=5, F2221-5, IF(F2221&lt;5, 0, F2221))</f>
        <v/>
      </c>
      <c r="E2221">
        <f>VLOOKUP(B2221,[1]Namshi!$A:$B,2,0)</f>
        <v/>
      </c>
      <c r="F2221" s="4">
        <f>SUMIFS('Dubai Stock'!I:I,'Dubai Stock'!H:H,Final_UAE!B:B)</f>
        <v/>
      </c>
      <c r="H2221" s="8" t="e">
        <v>#N/A</v>
      </c>
      <c r="I2221" s="8" t="n"/>
    </row>
    <row r="2222">
      <c r="A2222" s="4" t="n">
        <v>33834</v>
      </c>
      <c r="B2222" s="4" t="inlineStr">
        <is>
          <t>clstdai-eve-elit-p30-sp0300</t>
        </is>
      </c>
      <c r="C2222" s="4" t="inlineStr">
        <is>
          <t>W00031886A</t>
        </is>
      </c>
      <c r="D2222" s="6">
        <f>IF(F2222&gt;=5, F2222-5, IF(F2222&lt;5, 0, F2222))</f>
        <v/>
      </c>
      <c r="E2222">
        <f>VLOOKUP(B2222,[1]Namshi!$A:$B,2,0)</f>
        <v/>
      </c>
      <c r="F2222" s="4">
        <f>SUMIFS('Dubai Stock'!I:I,'Dubai Stock'!H:H,Final_UAE!B:B)</f>
        <v/>
      </c>
      <c r="H2222" s="8" t="n">
        <v>261</v>
      </c>
      <c r="I2222" s="8" t="n">
        <v>146.3</v>
      </c>
    </row>
    <row r="2223">
      <c r="A2223" s="4" t="n">
        <v>33834</v>
      </c>
      <c r="B2223" s="4" t="inlineStr">
        <is>
          <t>costmon-ama-2020-p02-charcoal-gray-sn0225</t>
        </is>
      </c>
      <c r="C2223" s="4" t="inlineStr">
        <is>
          <t>W00031886A</t>
        </is>
      </c>
      <c r="D2223" s="6">
        <f>IF(F2223&gt;=5, F2223-5, IF(F2223&lt;5, 0, F2223))</f>
        <v/>
      </c>
      <c r="E2223">
        <f>VLOOKUP(B2223,[1]Namshi!$A:$B,2,0)</f>
        <v/>
      </c>
      <c r="F2223" s="4">
        <f>SUMIFS('Dubai Stock'!I:I,'Dubai Stock'!H:H,Final_UAE!B:B)</f>
        <v/>
      </c>
      <c r="H2223" s="8" t="e">
        <v>#N/A</v>
      </c>
      <c r="I2223" s="8" t="n"/>
    </row>
    <row r="2224">
      <c r="A2224" s="4" t="n">
        <v>33834</v>
      </c>
      <c r="B2224" s="4" t="inlineStr">
        <is>
          <t>ru20118-spc-000881-0118-48-sp0200</t>
        </is>
      </c>
      <c r="C2224" s="4" t="inlineStr">
        <is>
          <t>W00031886A</t>
        </is>
      </c>
      <c r="D2224" s="6">
        <f>IF(F2224&gt;=5, F2224-5, IF(F2224&lt;5, 0, F2224))</f>
        <v/>
      </c>
      <c r="E2224">
        <f>VLOOKUP(B2224,[1]Namshi!$A:$B,2,0)</f>
        <v/>
      </c>
      <c r="F2224" s="4">
        <f>SUMIFS('Dubai Stock'!I:I,'Dubai Stock'!H:H,Final_UAE!B:B)</f>
        <v/>
      </c>
      <c r="H2224" s="8" t="e">
        <v>#N/A</v>
      </c>
      <c r="I2224" s="8" t="n"/>
    </row>
    <row r="2225">
      <c r="A2225" s="4" t="n">
        <v>33834</v>
      </c>
      <c r="B2225" s="4" t="inlineStr">
        <is>
          <t>cost3mo-lay-lens-p02-platinum-gray-sn0300</t>
        </is>
      </c>
      <c r="C2225" s="4" t="inlineStr">
        <is>
          <t>W00031886A</t>
        </is>
      </c>
      <c r="D2225" s="6">
        <f>IF(F2225&gt;=5, F2225-5, IF(F2225&lt;5, 0, F2225))</f>
        <v/>
      </c>
      <c r="E2225">
        <f>VLOOKUP(B2225,[1]Namshi!$A:$B,2,0)</f>
        <v/>
      </c>
      <c r="F2225" s="4">
        <f>SUMIFS('Dubai Stock'!I:I,'Dubai Stock'!H:H,Final_UAE!B:B)</f>
        <v/>
      </c>
      <c r="H2225" s="8" t="e">
        <v>#N/A</v>
      </c>
      <c r="I2225" s="8" t="n"/>
    </row>
    <row r="2226">
      <c r="A2226" s="4" t="n">
        <v>33834</v>
      </c>
      <c r="B2226" s="4" t="inlineStr">
        <is>
          <t>su50404-30s-000281-0304-55</t>
        </is>
      </c>
      <c r="C2226" s="4" t="inlineStr">
        <is>
          <t>W00031886A</t>
        </is>
      </c>
      <c r="D2226" s="6">
        <f>IF(F2226&gt;=5, F2226-5, IF(F2226&lt;5, 0, F2226))</f>
        <v/>
      </c>
      <c r="E2226">
        <f>VLOOKUP(B2226,[1]Namshi!$A:$B,2,0)</f>
        <v/>
      </c>
      <c r="F2226" s="4">
        <f>SUMIFS('Dubai Stock'!I:I,'Dubai Stock'!H:H,Final_UAE!B:B)</f>
        <v/>
      </c>
      <c r="H2226" s="8" t="e">
        <v>#N/A</v>
      </c>
    </row>
    <row r="2227">
      <c r="A2227" s="4" t="n">
        <v>33834</v>
      </c>
      <c r="B2227" s="4" t="inlineStr">
        <is>
          <t>clstdai-sof-sdai-p30-sn0100</t>
        </is>
      </c>
      <c r="C2227" s="4" t="inlineStr">
        <is>
          <t>W00031886A</t>
        </is>
      </c>
      <c r="D2227" s="6">
        <f>IF(F2227&gt;=5, F2227-5, IF(F2227&lt;5, 0, F2227))</f>
        <v/>
      </c>
      <c r="E2227">
        <f>VLOOKUP(B2227,[1]Namshi!$A:$B,2,0)</f>
        <v/>
      </c>
      <c r="F2227" s="4">
        <f>SUMIFS('Dubai Stock'!I:I,'Dubai Stock'!H:H,Final_UAE!B:B)</f>
        <v/>
      </c>
      <c r="H2227" s="8" t="e">
        <v>#N/A</v>
      </c>
      <c r="I2227" s="8" t="n"/>
    </row>
    <row r="2228">
      <c r="A2228" s="4" t="n">
        <v>33834</v>
      </c>
      <c r="B2228" s="4" t="inlineStr">
        <is>
          <t>costdai-ama-dail-p10-amber-sn0950</t>
        </is>
      </c>
      <c r="C2228" s="4" t="inlineStr">
        <is>
          <t>W00031886A</t>
        </is>
      </c>
      <c r="D2228" s="6">
        <f>IF(F2228&gt;=5, F2228-5, IF(F2228&lt;5, 0, F2228))</f>
        <v/>
      </c>
      <c r="E2228">
        <f>VLOOKUP(B2228,[1]Namshi!$A:$B,2,0)</f>
        <v/>
      </c>
      <c r="F2228" s="4">
        <f>SUMIFS('Dubai Stock'!I:I,'Dubai Stock'!H:H,Final_UAE!B:B)</f>
        <v/>
      </c>
      <c r="H2228" s="8" t="e">
        <v>#N/A</v>
      </c>
      <c r="I2228" s="8" t="n"/>
    </row>
    <row r="2229">
      <c r="A2229" s="4" t="n">
        <v>33834</v>
      </c>
      <c r="B2229" s="4" t="inlineStr">
        <is>
          <t>costdai-acu-dffr-p30-green-sn0075</t>
        </is>
      </c>
      <c r="C2229" s="4" t="inlineStr">
        <is>
          <t>W00031886A</t>
        </is>
      </c>
      <c r="D2229" s="6">
        <f>IF(F2229&gt;=5, F2229-5, IF(F2229&lt;5, 0, F2229))</f>
        <v/>
      </c>
      <c r="E2229">
        <f>VLOOKUP(B2229,[1]Namshi!$A:$B,2,0)</f>
        <v/>
      </c>
      <c r="F2229" s="4">
        <f>SUMIFS('Dubai Stock'!I:I,'Dubai Stock'!H:H,Final_UAE!B:B)</f>
        <v/>
      </c>
      <c r="H2229" s="8" t="e">
        <v>#N/A</v>
      </c>
      <c r="I2229" s="8" t="n"/>
    </row>
    <row r="2230">
      <c r="A2230" s="4" t="n">
        <v>33834</v>
      </c>
      <c r="B2230" s="4" t="inlineStr">
        <is>
          <t>clstdai-acu-mois-p90-sp0200</t>
        </is>
      </c>
      <c r="C2230" s="4" t="inlineStr">
        <is>
          <t>W00031886A</t>
        </is>
      </c>
      <c r="D2230" s="6">
        <f>IF(F2230&gt;=5, F2230-5, IF(F2230&lt;5, 0, F2230))</f>
        <v/>
      </c>
      <c r="E2230">
        <f>VLOOKUP(B2230,[1]Namshi!$A:$B,2,0)</f>
        <v/>
      </c>
      <c r="F2230" s="4">
        <f>SUMIFS('Dubai Stock'!I:I,'Dubai Stock'!H:H,Final_UAE!B:B)</f>
        <v/>
      </c>
      <c r="H2230" s="8" t="e">
        <v>#N/A</v>
      </c>
      <c r="I2230" s="8" t="n"/>
    </row>
    <row r="2231">
      <c r="A2231" s="4" t="n">
        <v>33834</v>
      </c>
      <c r="B2231" s="4" t="inlineStr">
        <is>
          <t>fm70418-spc-000546-0400-50</t>
        </is>
      </c>
      <c r="C2231" s="4" t="inlineStr">
        <is>
          <t>W00031886A</t>
        </is>
      </c>
      <c r="D2231" s="6">
        <f>IF(F2231&gt;=5, F2231-5, IF(F2231&lt;5, 0, F2231))</f>
        <v/>
      </c>
      <c r="E2231">
        <f>VLOOKUP(B2231,[1]Namshi!$A:$B,2,0)</f>
        <v/>
      </c>
      <c r="F2231" s="4">
        <f>SUMIFS('Dubai Stock'!I:I,'Dubai Stock'!H:H,Final_UAE!B:B)</f>
        <v/>
      </c>
      <c r="H2231" s="8" t="e">
        <v>#N/A</v>
      </c>
      <c r="I2231" s="8" t="n"/>
    </row>
    <row r="2232">
      <c r="A2232" s="4" t="n">
        <v>33834</v>
      </c>
      <c r="B2232" s="4" t="inlineStr">
        <is>
          <t>cost3mo-lay-lens-p02-ocean-blue-sn0100</t>
        </is>
      </c>
      <c r="C2232" s="4" t="inlineStr">
        <is>
          <t>W00031886A</t>
        </is>
      </c>
      <c r="D2232" s="6">
        <f>IF(F2232&gt;=5, F2232-5, IF(F2232&lt;5, 0, F2232))</f>
        <v/>
      </c>
      <c r="E2232">
        <f>VLOOKUP(B2232,[1]Namshi!$A:$B,2,0)</f>
        <v/>
      </c>
      <c r="F2232" s="4">
        <f>SUMIFS('Dubai Stock'!I:I,'Dubai Stock'!H:H,Final_UAE!B:B)</f>
        <v/>
      </c>
      <c r="H2232" s="8" t="e">
        <v>#N/A</v>
      </c>
      <c r="I2232" s="8" t="n"/>
    </row>
    <row r="2233">
      <c r="A2233" s="4" t="n">
        <v>33834</v>
      </c>
      <c r="B2233" s="4" t="inlineStr">
        <is>
          <t>clstbiw-acu-0002-p06-sn0050</t>
        </is>
      </c>
      <c r="C2233" s="4" t="inlineStr">
        <is>
          <t>W00031886A</t>
        </is>
      </c>
      <c r="D2233" s="6">
        <f>IF(F2233&gt;=5, F2233-5, IF(F2233&lt;5, 0, F2233))</f>
        <v/>
      </c>
      <c r="E2233">
        <f>VLOOKUP(B2233,[1]Namshi!$A:$B,2,0)</f>
        <v/>
      </c>
      <c r="F2233" s="4">
        <f>SUMIFS('Dubai Stock'!I:I,'Dubai Stock'!H:H,Final_UAE!B:B)</f>
        <v/>
      </c>
      <c r="H2233" s="8" t="e">
        <v>#N/A</v>
      </c>
      <c r="I2233" s="8" t="n"/>
    </row>
    <row r="2234">
      <c r="A2234" s="4" t="n">
        <v>33834</v>
      </c>
      <c r="B2234" s="4" t="inlineStr">
        <is>
          <t>sw60702-bla-000376-0702-55</t>
        </is>
      </c>
      <c r="C2234" s="4" t="inlineStr">
        <is>
          <t>W00031886A</t>
        </is>
      </c>
      <c r="D2234" s="6">
        <f>IF(F2234&gt;=5, F2234-5, IF(F2234&lt;5, 0, F2234))</f>
        <v/>
      </c>
      <c r="E2234">
        <f>VLOOKUP(B2234,[1]Namshi!$A:$B,2,0)</f>
        <v/>
      </c>
      <c r="F2234" s="4">
        <f>SUMIFS('Dubai Stock'!I:I,'Dubai Stock'!H:H,Final_UAE!B:B)</f>
        <v/>
      </c>
      <c r="H2234" s="8" t="e">
        <v>#N/A</v>
      </c>
    </row>
    <row r="2235">
      <c r="A2235" s="4" t="n">
        <v>33834</v>
      </c>
      <c r="B2235" s="4" t="inlineStr">
        <is>
          <t>cost3mo-lay-2021-p02-stardust-gray-sn0350</t>
        </is>
      </c>
      <c r="C2235" s="4" t="inlineStr">
        <is>
          <t>W00031886A</t>
        </is>
      </c>
      <c r="D2235" s="6">
        <f>IF(F2235&gt;=5, F2235-5, IF(F2235&lt;5, 0, F2235))</f>
        <v/>
      </c>
      <c r="E2235">
        <f>VLOOKUP(B2235,[1]Namshi!$A:$B,2,0)</f>
        <v/>
      </c>
      <c r="F2235" s="4">
        <f>SUMIFS('Dubai Stock'!I:I,'Dubai Stock'!H:H,Final_UAE!B:B)</f>
        <v/>
      </c>
      <c r="H2235" s="8" t="e">
        <v>#N/A</v>
      </c>
      <c r="I2235" s="8" t="n"/>
    </row>
    <row r="2236">
      <c r="A2236" s="4" t="n">
        <v>33834</v>
      </c>
      <c r="B2236" s="4" t="inlineStr">
        <is>
          <t>clstdai-eve-pure-p30-Sn0650</t>
        </is>
      </c>
      <c r="C2236" s="4" t="inlineStr">
        <is>
          <t>W00031886A</t>
        </is>
      </c>
      <c r="D2236" s="6">
        <f>IF(F2236&gt;=5, F2236-5, IF(F2236&lt;5, 0, F2236))</f>
        <v/>
      </c>
      <c r="E2236">
        <f>VLOOKUP(B2236,[1]Namshi!$A:$B,2,0)</f>
        <v/>
      </c>
      <c r="F2236" s="4">
        <f>SUMIFS('Dubai Stock'!I:I,'Dubai Stock'!H:H,Final_UAE!B:B)</f>
        <v/>
      </c>
      <c r="H2236" s="8" t="n">
        <v>186</v>
      </c>
      <c r="I2236" s="8" t="n">
        <v>104.3</v>
      </c>
    </row>
    <row r="2237">
      <c r="A2237" s="4" t="n">
        <v>33834</v>
      </c>
      <c r="B2237" s="4" t="inlineStr">
        <is>
          <t>sw72404-30s-000259-2404-52</t>
        </is>
      </c>
      <c r="C2237" s="4" t="inlineStr">
        <is>
          <t>W00031886A</t>
        </is>
      </c>
      <c r="D2237" s="6">
        <f>IF(F2237&gt;=5, F2237-5, IF(F2237&lt;5, 0, F2237))</f>
        <v/>
      </c>
      <c r="E2237">
        <f>VLOOKUP(B2237,[1]Namshi!$A:$B,2,0)</f>
        <v/>
      </c>
      <c r="F2237" s="4">
        <f>SUMIFS('Dubai Stock'!I:I,'Dubai Stock'!H:H,Final_UAE!B:B)</f>
        <v/>
      </c>
      <c r="H2237" s="8" t="e">
        <v>#N/A</v>
      </c>
    </row>
    <row r="2238">
      <c r="A2238" s="4" t="n">
        <v>33834</v>
      </c>
      <c r="B2238" s="4" t="inlineStr">
        <is>
          <t>su20107-30s-000229-0101-53</t>
        </is>
      </c>
      <c r="C2238" s="4" t="inlineStr">
        <is>
          <t>W00031886A</t>
        </is>
      </c>
      <c r="D2238" s="6">
        <f>IF(F2238&gt;=5, F2238-5, IF(F2238&lt;5, 0, F2238))</f>
        <v/>
      </c>
      <c r="E2238">
        <f>VLOOKUP(B2238,[1]Namshi!$A:$B,2,0)</f>
        <v/>
      </c>
      <c r="F2238" s="4">
        <f>SUMIFS('Dubai Stock'!I:I,'Dubai Stock'!H:H,Final_UAE!B:B)</f>
        <v/>
      </c>
      <c r="H2238" s="8" t="e">
        <v>#N/A</v>
      </c>
    </row>
    <row r="2239">
      <c r="A2239" s="4" t="n">
        <v>33834</v>
      </c>
      <c r="B2239" s="4" t="inlineStr">
        <is>
          <t>sw32604-30s-000262-2604-50</t>
        </is>
      </c>
      <c r="C2239" s="4" t="inlineStr">
        <is>
          <t>W00031886A</t>
        </is>
      </c>
      <c r="D2239" s="6">
        <f>IF(F2239&gt;=5, F2239-5, IF(F2239&lt;5, 0, F2239))</f>
        <v/>
      </c>
      <c r="E2239">
        <f>VLOOKUP(B2239,[1]Namshi!$A:$B,2,0)</f>
        <v/>
      </c>
      <c r="F2239" s="4">
        <f>SUMIFS('Dubai Stock'!I:I,'Dubai Stock'!H:H,Final_UAE!B:B)</f>
        <v/>
      </c>
      <c r="H2239" s="8" t="e">
        <v>#N/A</v>
      </c>
    </row>
    <row r="2240">
      <c r="A2240" s="4" t="n">
        <v>33834</v>
      </c>
      <c r="B2240" s="4" t="inlineStr">
        <is>
          <t>cost3mo-lay-2023-p02-sable-brown-sn0350</t>
        </is>
      </c>
      <c r="C2240" s="4" t="inlineStr">
        <is>
          <t>W00031886A</t>
        </is>
      </c>
      <c r="D2240" s="6">
        <f>IF(F2240&gt;=5, F2240-5, IF(F2240&lt;5, 0, F2240))</f>
        <v/>
      </c>
      <c r="E2240">
        <f>VLOOKUP(B2240,[1]Namshi!$A:$B,2,0)</f>
        <v/>
      </c>
      <c r="F2240" s="4">
        <f>SUMIFS('Dubai Stock'!I:I,'Dubai Stock'!H:H,Final_UAE!B:B)</f>
        <v/>
      </c>
      <c r="H2240" s="8" t="e">
        <v>#N/A</v>
      </c>
      <c r="I2240" s="8" t="n"/>
    </row>
    <row r="2241">
      <c r="A2241" s="4" t="n">
        <v>33834</v>
      </c>
      <c r="B2241" s="4" t="inlineStr">
        <is>
          <t>clstdai-lay-cont-p30-dazzle-black-sn0025</t>
        </is>
      </c>
      <c r="C2241" s="4" t="inlineStr">
        <is>
          <t>W00031886A</t>
        </is>
      </c>
      <c r="D2241" s="6">
        <f>IF(F2241&gt;=5, F2241-5, IF(F2241&lt;5, 0, F2241))</f>
        <v/>
      </c>
      <c r="E2241">
        <f>VLOOKUP(B2241,[1]Namshi!$A:$B,2,0)</f>
        <v/>
      </c>
      <c r="F2241" s="4">
        <f>SUMIFS('Dubai Stock'!I:I,'Dubai Stock'!H:H,Final_UAE!B:B)</f>
        <v/>
      </c>
      <c r="H2241" s="8" t="e">
        <v>#N/A</v>
      </c>
      <c r="I2241" s="8" t="n"/>
    </row>
    <row r="2242">
      <c r="A2242" s="4" t="n">
        <v>33834</v>
      </c>
      <c r="B2242" s="4" t="inlineStr">
        <is>
          <t>clstdai-acu-omax-p90-sn0275</t>
        </is>
      </c>
      <c r="C2242" s="4" t="inlineStr">
        <is>
          <t>W00031886A</t>
        </is>
      </c>
      <c r="D2242" s="6">
        <f>IF(F2242&gt;=5, F2242-5, IF(F2242&lt;5, 0, F2242))</f>
        <v/>
      </c>
      <c r="E2242">
        <f>VLOOKUP(B2242,[1]Namshi!$A:$B,2,0)</f>
        <v/>
      </c>
      <c r="F2242" s="4">
        <f>SUMIFS('Dubai Stock'!I:I,'Dubai Stock'!H:H,Final_UAE!B:B)</f>
        <v/>
      </c>
      <c r="H2242" s="8" t="e">
        <v>#N/A</v>
      </c>
      <c r="I2242" s="8" t="n"/>
    </row>
    <row r="2243">
      <c r="A2243" s="4" t="n">
        <v>33834</v>
      </c>
      <c r="B2243" s="4" t="inlineStr">
        <is>
          <t>fu22918-spc-000827-2918-50</t>
        </is>
      </c>
      <c r="C2243" s="4" t="inlineStr">
        <is>
          <t>W00031886A</t>
        </is>
      </c>
      <c r="D2243" s="6">
        <f>IF(F2243&gt;=5, F2243-5, IF(F2243&lt;5, 0, F2243))</f>
        <v/>
      </c>
      <c r="E2243">
        <f>VLOOKUP(B2243,[1]Namshi!$A:$B,2,0)</f>
        <v/>
      </c>
      <c r="F2243" s="4">
        <f>SUMIFS('Dubai Stock'!I:I,'Dubai Stock'!H:H,Final_UAE!B:B)</f>
        <v/>
      </c>
      <c r="H2243" s="8" t="e">
        <v>#N/A</v>
      </c>
      <c r="I2243" s="8" t="n"/>
    </row>
    <row r="2244">
      <c r="A2244" s="4" t="n">
        <v>33834</v>
      </c>
      <c r="B2244" s="4" t="inlineStr">
        <is>
          <t>cltodai-acu-mois-p30-sn0075-cn0075-a010</t>
        </is>
      </c>
      <c r="C2244" s="4" t="inlineStr">
        <is>
          <t>W00031886A</t>
        </is>
      </c>
      <c r="D2244" s="6">
        <f>IF(F2244&gt;=5, F2244-5, IF(F2244&lt;5, 0, F2244))</f>
        <v/>
      </c>
      <c r="E2244">
        <f>VLOOKUP(B2244,[1]Namshi!$A:$B,2,0)</f>
        <v/>
      </c>
      <c r="F2244" s="4">
        <f>SUMIFS('Dubai Stock'!I:I,'Dubai Stock'!H:H,Final_UAE!B:B)</f>
        <v/>
      </c>
      <c r="H2244" s="8" t="e">
        <v>#N/A</v>
      </c>
      <c r="I2244" s="8" t="n"/>
    </row>
    <row r="2245">
      <c r="A2245" s="4" t="n">
        <v>33834</v>
      </c>
      <c r="B2245" s="4" t="inlineStr">
        <is>
          <t>clstbiw-acu-oasy-p06-sp0500</t>
        </is>
      </c>
      <c r="C2245" s="4" t="inlineStr">
        <is>
          <t>W00031886A</t>
        </is>
      </c>
      <c r="D2245" s="6">
        <f>IF(F2245&gt;=5, F2245-5, IF(F2245&lt;5, 0, F2245))</f>
        <v/>
      </c>
      <c r="E2245">
        <f>VLOOKUP(B2245,[1]Namshi!$A:$B,2,0)</f>
        <v/>
      </c>
      <c r="F2245" s="4">
        <f>SUMIFS('Dubai Stock'!I:I,'Dubai Stock'!H:H,Final_UAE!B:B)</f>
        <v/>
      </c>
      <c r="H2245" s="8" t="e">
        <v>#N/A</v>
      </c>
      <c r="I2245" s="8" t="n"/>
    </row>
    <row r="2246">
      <c r="A2246" s="4" t="n">
        <v>33834</v>
      </c>
      <c r="B2246" s="4" t="inlineStr">
        <is>
          <t>costmon-ama-2022-p02-dream-sn0075</t>
        </is>
      </c>
      <c r="C2246" s="4" t="inlineStr">
        <is>
          <t>W00031886A</t>
        </is>
      </c>
      <c r="D2246" s="6">
        <f>IF(F2246&gt;=5, F2246-5, IF(F2246&lt;5, 0, F2246))</f>
        <v/>
      </c>
      <c r="E2246">
        <f>VLOOKUP(B2246,[1]Namshi!$A:$B,2,0)</f>
        <v/>
      </c>
      <c r="F2246" s="4">
        <f>SUMIFS('Dubai Stock'!I:I,'Dubai Stock'!H:H,Final_UAE!B:B)</f>
        <v/>
      </c>
      <c r="H2246" s="8" t="e">
        <v>#N/A</v>
      </c>
      <c r="I2246" s="8" t="n"/>
    </row>
    <row r="2247">
      <c r="A2247" s="4" t="n">
        <v>33834</v>
      </c>
      <c r="B2247" s="4" t="inlineStr">
        <is>
          <t>clstmon-bio-biof-p06-sn0225</t>
        </is>
      </c>
      <c r="C2247" s="4" t="inlineStr">
        <is>
          <t>W00031886A</t>
        </is>
      </c>
      <c r="D2247" s="6">
        <f>IF(F2247&gt;=5, F2247-5, IF(F2247&lt;5, 0, F2247))</f>
        <v/>
      </c>
      <c r="E2247">
        <f>VLOOKUP(B2247,[1]Namshi!$A:$B,2,0)</f>
        <v/>
      </c>
      <c r="F2247" s="4">
        <f>SUMIFS('Dubai Stock'!I:I,'Dubai Stock'!H:H,Final_UAE!B:B)</f>
        <v/>
      </c>
      <c r="H2247" s="8" t="e">
        <v>#N/A</v>
      </c>
      <c r="I2247" s="8" t="n"/>
    </row>
    <row r="2248">
      <c r="A2248" s="4" t="n">
        <v>33834</v>
      </c>
      <c r="B2248" s="4" t="inlineStr">
        <is>
          <t>clstdai-acu-omax-p30-sn0350</t>
        </is>
      </c>
      <c r="C2248" s="4" t="inlineStr">
        <is>
          <t>W00031886A</t>
        </is>
      </c>
      <c r="D2248" s="6">
        <f>IF(F2248&gt;=5, F2248-5, IF(F2248&lt;5, 0, F2248))</f>
        <v/>
      </c>
      <c r="E2248">
        <f>VLOOKUP(B2248,[1]Namshi!$A:$B,2,0)</f>
        <v/>
      </c>
      <c r="F2248" s="4">
        <f>SUMIFS('Dubai Stock'!I:I,'Dubai Stock'!H:H,Final_UAE!B:B)</f>
        <v/>
      </c>
      <c r="H2248" s="8" t="e">
        <v>#N/A</v>
      </c>
      <c r="I2248" s="8" t="n"/>
    </row>
    <row r="2249">
      <c r="A2249" s="4" t="n">
        <v>33834</v>
      </c>
      <c r="B2249" s="4" t="inlineStr">
        <is>
          <t>ru100618-spc-000882-0618-46-sp0300</t>
        </is>
      </c>
      <c r="C2249" s="4" t="inlineStr">
        <is>
          <t>W00031886A</t>
        </is>
      </c>
      <c r="D2249" s="6">
        <f>IF(F2249&gt;=5, F2249-5, IF(F2249&lt;5, 0, F2249))</f>
        <v/>
      </c>
      <c r="E2249">
        <f>VLOOKUP(B2249,[1]Namshi!$A:$B,2,0)</f>
        <v/>
      </c>
      <c r="F2249" s="4">
        <f>SUMIFS('Dubai Stock'!I:I,'Dubai Stock'!H:H,Final_UAE!B:B)</f>
        <v/>
      </c>
      <c r="H2249" s="8" t="e">
        <v>#N/A</v>
      </c>
      <c r="I2249" s="8" t="n"/>
    </row>
    <row r="2250">
      <c r="A2250" s="4" t="n">
        <v>33834</v>
      </c>
      <c r="B2250" s="4" t="inlineStr">
        <is>
          <t>sw100404-bla-000327-0404-56</t>
        </is>
      </c>
      <c r="C2250" s="4" t="inlineStr">
        <is>
          <t>W00031886A</t>
        </is>
      </c>
      <c r="D2250" s="6">
        <f>IF(F2250&gt;=5, F2250-5, IF(F2250&lt;5, 0, F2250))</f>
        <v/>
      </c>
      <c r="E2250">
        <f>VLOOKUP(B2250,[1]Namshi!$A:$B,2,0)</f>
        <v/>
      </c>
      <c r="F2250" s="4">
        <f>SUMIFS('Dubai Stock'!I:I,'Dubai Stock'!H:H,Final_UAE!B:B)</f>
        <v/>
      </c>
      <c r="H2250" s="8" t="e">
        <v>#N/A</v>
      </c>
    </row>
    <row r="2251">
      <c r="A2251" s="4" t="n">
        <v>33834</v>
      </c>
      <c r="B2251" s="4" t="inlineStr">
        <is>
          <t>sunglasses-30Sundays-30s-000450-0407</t>
        </is>
      </c>
      <c r="C2251" s="4" t="inlineStr">
        <is>
          <t>W00031886A</t>
        </is>
      </c>
      <c r="D2251" s="6">
        <f>IF(F2251&gt;=5, F2251-5, IF(F2251&lt;5, 0, F2251))</f>
        <v/>
      </c>
      <c r="E2251">
        <f>VLOOKUP(B2251,[1]Namshi!$A:$B,2,0)</f>
        <v/>
      </c>
      <c r="F2251" s="4">
        <f>SUMIFS('Dubai Stock'!I:I,'Dubai Stock'!H:H,Final_UAE!B:B)</f>
        <v/>
      </c>
      <c r="H2251" s="8" t="e">
        <v>#N/A</v>
      </c>
      <c r="I2251" s="8" t="n"/>
    </row>
    <row r="2252">
      <c r="A2252" s="4" t="n">
        <v>33834</v>
      </c>
      <c r="B2252" s="4" t="inlineStr">
        <is>
          <t>clstdai-dai-aqua-p90-sp0700</t>
        </is>
      </c>
      <c r="C2252" s="4" t="inlineStr">
        <is>
          <t>W00031886A</t>
        </is>
      </c>
      <c r="D2252" s="6">
        <f>IF(F2252&gt;=5, F2252-5, IF(F2252&lt;5, 0, F2252))</f>
        <v/>
      </c>
      <c r="E2252">
        <f>VLOOKUP(B2252,[1]Namshi!$A:$B,2,0)</f>
        <v/>
      </c>
      <c r="F2252" s="4">
        <f>SUMIFS('Dubai Stock'!I:I,'Dubai Stock'!H:H,Final_UAE!B:B)</f>
        <v/>
      </c>
      <c r="H2252" s="8" t="e">
        <v>#N/A</v>
      </c>
      <c r="I2252" s="8" t="n"/>
    </row>
    <row r="2253">
      <c r="A2253" s="4" t="n">
        <v>33834</v>
      </c>
      <c r="B2253" s="4" t="inlineStr">
        <is>
          <t>sw50710-bla-000262-0710-56</t>
        </is>
      </c>
      <c r="C2253" s="4" t="inlineStr">
        <is>
          <t>W00031886A</t>
        </is>
      </c>
      <c r="D2253" s="6">
        <f>IF(F2253&gt;=5, F2253-5, IF(F2253&lt;5, 0, F2253))</f>
        <v/>
      </c>
      <c r="E2253">
        <f>VLOOKUP(B2253,[1]Namshi!$A:$B,2,0)</f>
        <v/>
      </c>
      <c r="F2253" s="4">
        <f>SUMIFS('Dubai Stock'!I:I,'Dubai Stock'!H:H,Final_UAE!B:B)</f>
        <v/>
      </c>
      <c r="H2253" s="8" t="e">
        <v>#N/A</v>
      </c>
    </row>
    <row r="2254">
      <c r="A2254" s="4" t="n">
        <v>33834</v>
      </c>
      <c r="B2254" s="4" t="inlineStr">
        <is>
          <t>clstdai-dai-tot1-p90-sn0250</t>
        </is>
      </c>
      <c r="C2254" s="4" t="inlineStr">
        <is>
          <t>W00031886A</t>
        </is>
      </c>
      <c r="D2254" s="6">
        <f>IF(F2254&gt;=5, F2254-5, IF(F2254&lt;5, 0, F2254))</f>
        <v/>
      </c>
      <c r="E2254">
        <f>VLOOKUP(B2254,[1]Namshi!$A:$B,2,0)</f>
        <v/>
      </c>
      <c r="F2254" s="4">
        <f>SUMIFS('Dubai Stock'!I:I,'Dubai Stock'!H:H,Final_UAE!B:B)</f>
        <v/>
      </c>
      <c r="H2254" s="8" t="e">
        <v>#N/A</v>
      </c>
      <c r="I2254" s="8" t="n"/>
    </row>
    <row r="2255">
      <c r="A2255" s="4" t="n">
        <v>33834</v>
      </c>
      <c r="B2255" s="4" t="inlineStr">
        <is>
          <t>costdai-acu-dffr-p30-honey-sn0275</t>
        </is>
      </c>
      <c r="C2255" s="4" t="inlineStr">
        <is>
          <t>W00031886A</t>
        </is>
      </c>
      <c r="D2255" s="6">
        <f>IF(F2255&gt;=5, F2255-5, IF(F2255&lt;5, 0, F2255))</f>
        <v/>
      </c>
      <c r="E2255">
        <f>VLOOKUP(B2255,[1]Namshi!$A:$B,2,0)</f>
        <v/>
      </c>
      <c r="F2255" s="4">
        <f>SUMIFS('Dubai Stock'!I:I,'Dubai Stock'!H:H,Final_UAE!B:B)</f>
        <v/>
      </c>
      <c r="H2255" s="8" t="e">
        <v>#N/A</v>
      </c>
      <c r="I2255" s="8" t="n"/>
    </row>
    <row r="2256">
      <c r="A2256" s="4" t="n">
        <v>33834</v>
      </c>
      <c r="B2256" s="4" t="inlineStr">
        <is>
          <t>clstdai-lay-cont-p30-dazzle-brown-sn0800</t>
        </is>
      </c>
      <c r="C2256" s="4" t="inlineStr">
        <is>
          <t>W00031886A</t>
        </is>
      </c>
      <c r="D2256" s="6">
        <f>IF(F2256&gt;=5, F2256-5, IF(F2256&lt;5, 0, F2256))</f>
        <v/>
      </c>
      <c r="E2256">
        <f>VLOOKUP(B2256,[1]Namshi!$A:$B,2,0)</f>
        <v/>
      </c>
      <c r="F2256" s="4">
        <f>SUMIFS('Dubai Stock'!I:I,'Dubai Stock'!H:H,Final_UAE!B:B)</f>
        <v/>
      </c>
      <c r="H2256" s="8" t="e">
        <v>#N/A</v>
      </c>
      <c r="I2256" s="8" t="n"/>
    </row>
    <row r="2257">
      <c r="A2257" s="4" t="n">
        <v>33834</v>
      </c>
      <c r="B2257" s="4" t="inlineStr">
        <is>
          <t>sw81302-bla-000210-1302-54</t>
        </is>
      </c>
      <c r="C2257" s="4" t="inlineStr">
        <is>
          <t>W00031886A</t>
        </is>
      </c>
      <c r="D2257" s="6">
        <f>IF(F2257&gt;=5, F2257-5, IF(F2257&lt;5, 0, F2257))</f>
        <v/>
      </c>
      <c r="E2257">
        <f>VLOOKUP(B2257,[1]Namshi!$A:$B,2,0)</f>
        <v/>
      </c>
      <c r="F2257" s="4">
        <f>SUMIFS('Dubai Stock'!I:I,'Dubai Stock'!H:H,Final_UAE!B:B)</f>
        <v/>
      </c>
      <c r="H2257" s="8" t="e">
        <v>#N/A</v>
      </c>
    </row>
    <row r="2258">
      <c r="A2258" s="4" t="n">
        <v>33834</v>
      </c>
      <c r="B2258" s="4" t="inlineStr">
        <is>
          <t>sw70107-bla-000201-1707-52</t>
        </is>
      </c>
      <c r="C2258" s="4" t="inlineStr">
        <is>
          <t>W00031886A</t>
        </is>
      </c>
      <c r="D2258" s="6">
        <f>IF(F2258&gt;=5, F2258-5, IF(F2258&lt;5, 0, F2258))</f>
        <v/>
      </c>
      <c r="E2258">
        <f>VLOOKUP(B2258,[1]Namshi!$A:$B,2,0)</f>
        <v/>
      </c>
      <c r="F2258" s="4">
        <f>SUMIFS('Dubai Stock'!I:I,'Dubai Stock'!H:H,Final_UAE!B:B)</f>
        <v/>
      </c>
      <c r="H2258" s="8" t="e">
        <v>#N/A</v>
      </c>
    </row>
    <row r="2259">
      <c r="A2259" s="4" t="n">
        <v>33834</v>
      </c>
      <c r="B2259" s="4" t="inlineStr">
        <is>
          <t>bc50618-bab-000505-0618-43</t>
        </is>
      </c>
      <c r="C2259" s="4" t="inlineStr">
        <is>
          <t>W00031886A</t>
        </is>
      </c>
      <c r="D2259" s="6">
        <f>IF(F2259&gt;=5, F2259-5, IF(F2259&lt;5, 0, F2259))</f>
        <v/>
      </c>
      <c r="E2259">
        <f>VLOOKUP(B2259,[1]Namshi!$A:$B,2,0)</f>
        <v/>
      </c>
      <c r="F2259" s="4">
        <f>SUMIFS('Dubai Stock'!I:I,'Dubai Stock'!H:H,Final_UAE!B:B)</f>
        <v/>
      </c>
      <c r="H2259" s="8" t="e">
        <v>#N/A</v>
      </c>
    </row>
    <row r="2260">
      <c r="A2260" s="4" t="n">
        <v>33834</v>
      </c>
      <c r="B2260" s="4" t="inlineStr">
        <is>
          <t>clstdai-acu-dfvi-p90-sn0250</t>
        </is>
      </c>
      <c r="C2260" s="4" t="inlineStr">
        <is>
          <t>W00031886A</t>
        </is>
      </c>
      <c r="D2260" s="6">
        <f>IF(F2260&gt;=5, F2260-5, IF(F2260&lt;5, 0, F2260))</f>
        <v/>
      </c>
      <c r="E2260">
        <f>VLOOKUP(B2260,[1]Namshi!$A:$B,2,0)</f>
        <v/>
      </c>
      <c r="F2260" s="4">
        <f>SUMIFS('Dubai Stock'!I:I,'Dubai Stock'!H:H,Final_UAE!B:B)</f>
        <v/>
      </c>
      <c r="H2260" s="8" t="e">
        <v>#N/A</v>
      </c>
      <c r="I2260" s="8" t="n"/>
    </row>
    <row r="2261">
      <c r="A2261" s="4" t="n">
        <v>33834</v>
      </c>
      <c r="B2261" s="4" t="inlineStr">
        <is>
          <t>costmon-ama-lens-p02-crocodile-green-sn0475</t>
        </is>
      </c>
      <c r="C2261" s="4" t="inlineStr">
        <is>
          <t>W00031886A</t>
        </is>
      </c>
      <c r="D2261" s="6">
        <f>IF(F2261&gt;=5, F2261-5, IF(F2261&lt;5, 0, F2261))</f>
        <v/>
      </c>
      <c r="E2261">
        <f>VLOOKUP(B2261,[1]Namshi!$A:$B,2,0)</f>
        <v/>
      </c>
      <c r="F2261" s="4">
        <f>SUMIFS('Dubai Stock'!I:I,'Dubai Stock'!H:H,Final_UAE!B:B)</f>
        <v/>
      </c>
      <c r="H2261" s="8" t="e">
        <v>#N/A</v>
      </c>
      <c r="I2261" s="8" t="n"/>
    </row>
    <row r="2262">
      <c r="A2262" s="4" t="n">
        <v>33834</v>
      </c>
      <c r="B2262" s="4" t="inlineStr">
        <is>
          <t>clstdai-acu-mois-p90-sp0450</t>
        </is>
      </c>
      <c r="C2262" s="4" t="inlineStr">
        <is>
          <t>W00031886A</t>
        </is>
      </c>
      <c r="D2262" s="6">
        <f>IF(F2262&gt;=5, F2262-5, IF(F2262&lt;5, 0, F2262))</f>
        <v/>
      </c>
      <c r="E2262">
        <f>VLOOKUP(B2262,[1]Namshi!$A:$B,2,0)</f>
        <v/>
      </c>
      <c r="F2262" s="4">
        <f>SUMIFS('Dubai Stock'!I:I,'Dubai Stock'!H:H,Final_UAE!B:B)</f>
        <v/>
      </c>
      <c r="H2262" s="8" t="e">
        <v>#N/A</v>
      </c>
      <c r="I2262" s="8" t="n"/>
    </row>
    <row r="2263">
      <c r="A2263" s="4" t="n">
        <v>33834</v>
      </c>
      <c r="B2263" s="4" t="inlineStr">
        <is>
          <t>clstdai-dai-aqua-p30-sn1450</t>
        </is>
      </c>
      <c r="C2263" s="4" t="inlineStr">
        <is>
          <t>W00031886A</t>
        </is>
      </c>
      <c r="D2263" s="6">
        <f>IF(F2263&gt;=5, F2263-5, IF(F2263&lt;5, 0, F2263))</f>
        <v/>
      </c>
      <c r="E2263">
        <f>VLOOKUP(B2263,[1]Namshi!$A:$B,2,0)</f>
        <v/>
      </c>
      <c r="F2263" s="4">
        <f>SUMIFS('Dubai Stock'!I:I,'Dubai Stock'!H:H,Final_UAE!B:B)</f>
        <v/>
      </c>
      <c r="H2263" s="8" t="e">
        <v>#N/A</v>
      </c>
      <c r="I2263" s="8" t="n"/>
    </row>
    <row r="2264">
      <c r="A2264" s="4" t="n">
        <v>33834</v>
      </c>
      <c r="B2264" s="4" t="inlineStr">
        <is>
          <t>fw52118-spc-000553-2100-54</t>
        </is>
      </c>
      <c r="C2264" s="4" t="inlineStr">
        <is>
          <t>W00031886A</t>
        </is>
      </c>
      <c r="D2264" s="6">
        <f>IF(F2264&gt;=5, F2264-5, IF(F2264&lt;5, 0, F2264))</f>
        <v/>
      </c>
      <c r="E2264">
        <f>VLOOKUP(B2264,[1]Namshi!$A:$B,2,0)</f>
        <v/>
      </c>
      <c r="F2264" s="4">
        <f>SUMIFS('Dubai Stock'!I:I,'Dubai Stock'!H:H,Final_UAE!B:B)</f>
        <v/>
      </c>
      <c r="H2264" s="8" t="e">
        <v>#N/A</v>
      </c>
      <c r="I2264" s="8" t="n"/>
    </row>
    <row r="2265">
      <c r="A2265" s="4" t="n">
        <v>33834</v>
      </c>
      <c r="B2265" s="4" t="inlineStr">
        <is>
          <t>clstdai-eve-elit-p90-sn0050</t>
        </is>
      </c>
      <c r="C2265" s="4" t="inlineStr">
        <is>
          <t>W00031886A</t>
        </is>
      </c>
      <c r="D2265" s="6">
        <f>IF(F2265&gt;=5, F2265-5, IF(F2265&lt;5, 0, F2265))</f>
        <v/>
      </c>
      <c r="E2265">
        <f>VLOOKUP(B2265,[1]Namshi!$A:$B,2,0)</f>
        <v/>
      </c>
      <c r="F2265" s="4">
        <f>SUMIFS('Dubai Stock'!I:I,'Dubai Stock'!H:H,Final_UAE!B:B)</f>
        <v/>
      </c>
      <c r="H2265" s="8" t="n">
        <v>729</v>
      </c>
      <c r="I2265" s="8" t="n">
        <v>357</v>
      </c>
    </row>
    <row r="2266">
      <c r="A2266" s="4" t="n">
        <v>33834</v>
      </c>
      <c r="B2266" s="4" t="inlineStr">
        <is>
          <t>clstdai-acu-mois-p90-sn0400</t>
        </is>
      </c>
      <c r="C2266" s="4" t="inlineStr">
        <is>
          <t>W00031886A</t>
        </is>
      </c>
      <c r="D2266" s="6">
        <f>IF(F2266&gt;=5, F2266-5, IF(F2266&lt;5, 0, F2266))</f>
        <v/>
      </c>
      <c r="E2266">
        <f>VLOOKUP(B2266,[1]Namshi!$A:$B,2,0)</f>
        <v/>
      </c>
      <c r="F2266" s="4">
        <f>SUMIFS('Dubai Stock'!I:I,'Dubai Stock'!H:H,Final_UAE!B:B)</f>
        <v/>
      </c>
      <c r="H2266" s="8" t="e">
        <v>#N/A</v>
      </c>
      <c r="I2266" s="8" t="n"/>
    </row>
    <row r="2267">
      <c r="A2267" s="4" t="n">
        <v>33834</v>
      </c>
      <c r="B2267" s="4" t="inlineStr">
        <is>
          <t>clstdai-dai-tot1-p90-sn0100</t>
        </is>
      </c>
      <c r="C2267" s="4" t="inlineStr">
        <is>
          <t>W00031886A</t>
        </is>
      </c>
      <c r="D2267" s="6">
        <f>IF(F2267&gt;=5, F2267-5, IF(F2267&lt;5, 0, F2267))</f>
        <v/>
      </c>
      <c r="E2267">
        <f>VLOOKUP(B2267,[1]Namshi!$A:$B,2,0)</f>
        <v/>
      </c>
      <c r="F2267" s="4">
        <f>SUMIFS('Dubai Stock'!I:I,'Dubai Stock'!H:H,Final_UAE!B:B)</f>
        <v/>
      </c>
      <c r="H2267" s="8" t="e">
        <v>#N/A</v>
      </c>
      <c r="I2267" s="8" t="n"/>
    </row>
    <row r="2268">
      <c r="A2268" s="4" t="n">
        <v>33834</v>
      </c>
      <c r="B2268" s="4" t="inlineStr">
        <is>
          <t>clstdai-acu-dfna-p60-sn0350</t>
        </is>
      </c>
      <c r="C2268" s="4" t="inlineStr">
        <is>
          <t>W00031886A</t>
        </is>
      </c>
      <c r="D2268" s="6">
        <f>IF(F2268&gt;=5, F2268-5, IF(F2268&lt;5, 0, F2268))</f>
        <v/>
      </c>
      <c r="E2268">
        <f>VLOOKUP(B2268,[1]Namshi!$A:$B,2,0)</f>
        <v/>
      </c>
      <c r="F2268" s="4">
        <f>SUMIFS('Dubai Stock'!I:I,'Dubai Stock'!H:H,Final_UAE!B:B)</f>
        <v/>
      </c>
      <c r="H2268" s="8" t="e">
        <v>#N/A</v>
      </c>
      <c r="I2268" s="8" t="n"/>
    </row>
    <row r="2269">
      <c r="A2269" s="4" t="n">
        <v>33834</v>
      </c>
      <c r="B2269" s="4" t="inlineStr">
        <is>
          <t>sm20504-30s-000207-2904-52</t>
        </is>
      </c>
      <c r="C2269" s="4" t="inlineStr">
        <is>
          <t>W00031886A</t>
        </is>
      </c>
      <c r="D2269" s="6">
        <f>IF(F2269&gt;=5, F2269-5, IF(F2269&lt;5, 0, F2269))</f>
        <v/>
      </c>
      <c r="E2269">
        <f>VLOOKUP(B2269,[1]Namshi!$A:$B,2,0)</f>
        <v/>
      </c>
      <c r="F2269" s="4">
        <f>SUMIFS('Dubai Stock'!I:I,'Dubai Stock'!H:H,Final_UAE!B:B)</f>
        <v/>
      </c>
      <c r="H2269" s="8" t="e">
        <v>#N/A</v>
      </c>
    </row>
    <row r="2270">
      <c r="A2270" s="4" t="n">
        <v>33834</v>
      </c>
      <c r="B2270" s="4" t="inlineStr">
        <is>
          <t>clstdai-lay-cont-p30-dazzle-brown-sn0500</t>
        </is>
      </c>
      <c r="C2270" s="4" t="inlineStr">
        <is>
          <t>W00031886A</t>
        </is>
      </c>
      <c r="D2270" s="6">
        <f>IF(F2270&gt;=5, F2270-5, IF(F2270&lt;5, 0, F2270))</f>
        <v/>
      </c>
      <c r="E2270">
        <f>VLOOKUP(B2270,[1]Namshi!$A:$B,2,0)</f>
        <v/>
      </c>
      <c r="F2270" s="4">
        <f>SUMIFS('Dubai Stock'!I:I,'Dubai Stock'!H:H,Final_UAE!B:B)</f>
        <v/>
      </c>
      <c r="H2270" s="8" t="e">
        <v>#N/A</v>
      </c>
      <c r="I2270" s="8" t="n"/>
    </row>
    <row r="2271">
      <c r="A2271" s="4" t="n">
        <v>33834</v>
      </c>
      <c r="B2271" s="4" t="inlineStr">
        <is>
          <t>clstdai-acu-mois-p30-sp0600</t>
        </is>
      </c>
      <c r="C2271" s="4" t="inlineStr">
        <is>
          <t>W00031886A</t>
        </is>
      </c>
      <c r="D2271" s="6">
        <f>IF(F2271&gt;=5, F2271-5, IF(F2271&lt;5, 0, F2271))</f>
        <v/>
      </c>
      <c r="E2271">
        <f>VLOOKUP(B2271,[1]Namshi!$A:$B,2,0)</f>
        <v/>
      </c>
      <c r="F2271" s="4">
        <f>SUMIFS('Dubai Stock'!I:I,'Dubai Stock'!H:H,Final_UAE!B:B)</f>
        <v/>
      </c>
      <c r="H2271" s="8" t="e">
        <v>#N/A</v>
      </c>
      <c r="I2271" s="8" t="n"/>
    </row>
    <row r="2272">
      <c r="A2272" s="4" t="n">
        <v>33834</v>
      </c>
      <c r="B2272" s="4" t="inlineStr">
        <is>
          <t>cost3mo-lay-lens-p02-cloudy-gray-sn0500</t>
        </is>
      </c>
      <c r="C2272" s="4" t="inlineStr">
        <is>
          <t>W00031886A</t>
        </is>
      </c>
      <c r="D2272" s="6">
        <f>IF(F2272&gt;=5, F2272-5, IF(F2272&lt;5, 0, F2272))</f>
        <v/>
      </c>
      <c r="E2272">
        <f>VLOOKUP(B2272,[1]Namshi!$A:$B,2,0)</f>
        <v/>
      </c>
      <c r="F2272" s="4">
        <f>SUMIFS('Dubai Stock'!I:I,'Dubai Stock'!H:H,Final_UAE!B:B)</f>
        <v/>
      </c>
      <c r="H2272" s="8" t="e">
        <v>#N/A</v>
      </c>
      <c r="I2272" s="8" t="n"/>
    </row>
    <row r="2273">
      <c r="A2273" s="4" t="n">
        <v>33834</v>
      </c>
      <c r="B2273" s="4" t="inlineStr">
        <is>
          <t>clstdai-dai-aqua-p90-sp0375</t>
        </is>
      </c>
      <c r="C2273" s="4" t="inlineStr">
        <is>
          <t>W00031886A</t>
        </is>
      </c>
      <c r="D2273" s="6">
        <f>IF(F2273&gt;=5, F2273-5, IF(F2273&lt;5, 0, F2273))</f>
        <v/>
      </c>
      <c r="E2273">
        <f>VLOOKUP(B2273,[1]Namshi!$A:$B,2,0)</f>
        <v/>
      </c>
      <c r="F2273" s="4">
        <f>SUMIFS('Dubai Stock'!I:I,'Dubai Stock'!H:H,Final_UAE!B:B)</f>
        <v/>
      </c>
      <c r="H2273" s="8" t="e">
        <v>#N/A</v>
      </c>
      <c r="I2273" s="8" t="n"/>
    </row>
    <row r="2274">
      <c r="A2274" s="4" t="n">
        <v>33834</v>
      </c>
      <c r="B2274" s="4" t="inlineStr">
        <is>
          <t>su40701-30s-000287-0701p-52</t>
        </is>
      </c>
      <c r="C2274" s="4" t="inlineStr">
        <is>
          <t>W00031886A</t>
        </is>
      </c>
      <c r="D2274" s="6">
        <f>IF(F2274&gt;=5, F2274-5, IF(F2274&lt;5, 0, F2274))</f>
        <v/>
      </c>
      <c r="E2274">
        <f>VLOOKUP(B2274,[1]Namshi!$A:$B,2,0)</f>
        <v/>
      </c>
      <c r="F2274" s="4">
        <f>SUMIFS('Dubai Stock'!I:I,'Dubai Stock'!H:H,Final_UAE!B:B)</f>
        <v/>
      </c>
      <c r="H2274" s="8" t="e">
        <v>#N/A</v>
      </c>
    </row>
    <row r="2275">
      <c r="A2275" s="4" t="n">
        <v>33834</v>
      </c>
      <c r="B2275" s="4" t="inlineStr">
        <is>
          <t>clstmon-ava-avai-p06-sp0600</t>
        </is>
      </c>
      <c r="C2275" s="4" t="inlineStr">
        <is>
          <t>W00031886A</t>
        </is>
      </c>
      <c r="D2275" s="6">
        <f>IF(F2275&gt;=5, F2275-5, IF(F2275&lt;5, 0, F2275))</f>
        <v/>
      </c>
      <c r="E2275">
        <f>VLOOKUP(B2275,[1]Namshi!$A:$B,2,0)</f>
        <v/>
      </c>
      <c r="F2275" s="4">
        <f>SUMIFS('Dubai Stock'!I:I,'Dubai Stock'!H:H,Final_UAE!B:B)</f>
        <v/>
      </c>
      <c r="H2275" s="8" t="e">
        <v>#N/A</v>
      </c>
      <c r="I2275" s="8" t="n"/>
    </row>
    <row r="2276">
      <c r="A2276" s="4" t="n">
        <v>33834</v>
      </c>
      <c r="B2276" s="4" t="inlineStr">
        <is>
          <t>sm53207-30s-000495-3207-52</t>
        </is>
      </c>
      <c r="C2276" s="4" t="inlineStr">
        <is>
          <t>W00031886A</t>
        </is>
      </c>
      <c r="D2276" s="6">
        <f>IF(F2276&gt;=5, F2276-5, IF(F2276&lt;5, 0, F2276))</f>
        <v/>
      </c>
      <c r="E2276">
        <f>VLOOKUP(B2276,[1]Namshi!$A:$B,2,0)</f>
        <v/>
      </c>
      <c r="F2276" s="4">
        <f>SUMIFS('Dubai Stock'!I:I,'Dubai Stock'!H:H,Final_UAE!B:B)</f>
        <v/>
      </c>
      <c r="H2276" s="8" t="e">
        <v>#N/A</v>
      </c>
      <c r="I2276" s="8" t="n"/>
    </row>
    <row r="2277">
      <c r="A2277" s="4" t="n">
        <v>33834</v>
      </c>
      <c r="B2277" s="4" t="inlineStr">
        <is>
          <t>clstdai-sof-sdai-p30-sn0050</t>
        </is>
      </c>
      <c r="C2277" s="4" t="inlineStr">
        <is>
          <t>W00031886A</t>
        </is>
      </c>
      <c r="D2277" s="6">
        <f>IF(F2277&gt;=5, F2277-5, IF(F2277&lt;5, 0, F2277))</f>
        <v/>
      </c>
      <c r="E2277">
        <f>VLOOKUP(B2277,[1]Namshi!$A:$B,2,0)</f>
        <v/>
      </c>
      <c r="F2277" s="4">
        <f>SUMIFS('Dubai Stock'!I:I,'Dubai Stock'!H:H,Final_UAE!B:B)</f>
        <v/>
      </c>
      <c r="H2277" s="8" t="e">
        <v>#N/A</v>
      </c>
      <c r="I2277" s="8" t="n"/>
    </row>
    <row r="2278">
      <c r="A2278" s="4" t="n">
        <v>33834</v>
      </c>
      <c r="B2278" s="4" t="inlineStr">
        <is>
          <t>sw22307-30s-000226-2302-54</t>
        </is>
      </c>
      <c r="C2278" s="4" t="inlineStr">
        <is>
          <t>W00031886A</t>
        </is>
      </c>
      <c r="D2278" s="6">
        <f>IF(F2278&gt;=5, F2278-5, IF(F2278&lt;5, 0, F2278))</f>
        <v/>
      </c>
      <c r="E2278">
        <f>VLOOKUP(B2278,[1]Namshi!$A:$B,2,0)</f>
        <v/>
      </c>
      <c r="F2278" s="4">
        <f>SUMIFS('Dubai Stock'!I:I,'Dubai Stock'!H:H,Final_UAE!B:B)</f>
        <v/>
      </c>
      <c r="H2278" s="8" t="e">
        <v>#N/A</v>
      </c>
    </row>
    <row r="2279">
      <c r="A2279" s="4" t="n">
        <v>33834</v>
      </c>
      <c r="B2279" s="4" t="inlineStr">
        <is>
          <t>clstdai-lay-cont-p60-dazzle-brown-sn0300</t>
        </is>
      </c>
      <c r="C2279" s="4" t="inlineStr">
        <is>
          <t>W00031886A</t>
        </is>
      </c>
      <c r="D2279" s="6">
        <f>IF(F2279&gt;=5, F2279-5, IF(F2279&lt;5, 0, F2279))</f>
        <v/>
      </c>
      <c r="E2279">
        <f>VLOOKUP(B2279,[1]Namshi!$A:$B,2,0)</f>
        <v/>
      </c>
      <c r="F2279" s="4">
        <f>SUMIFS('Dubai Stock'!I:I,'Dubai Stock'!H:H,Final_UAE!B:B)</f>
        <v/>
      </c>
      <c r="H2279" s="8" t="e">
        <v>#N/A</v>
      </c>
      <c r="I2279" s="8" t="n"/>
    </row>
    <row r="2280">
      <c r="A2280" s="4" t="n">
        <v>33834</v>
      </c>
      <c r="B2280" s="4" t="inlineStr">
        <is>
          <t>clstdai-acu-oasy-p90-sp0525</t>
        </is>
      </c>
      <c r="C2280" s="4" t="inlineStr">
        <is>
          <t>W00031886A</t>
        </is>
      </c>
      <c r="D2280" s="6">
        <f>IF(F2280&gt;=5, F2280-5, IF(F2280&lt;5, 0, F2280))</f>
        <v/>
      </c>
      <c r="E2280">
        <f>VLOOKUP(B2280,[1]Namshi!$A:$B,2,0)</f>
        <v/>
      </c>
      <c r="F2280" s="4">
        <f>SUMIFS('Dubai Stock'!I:I,'Dubai Stock'!H:H,Final_UAE!B:B)</f>
        <v/>
      </c>
      <c r="H2280" s="8" t="e">
        <v>#N/A</v>
      </c>
      <c r="I2280" s="8" t="n"/>
    </row>
    <row r="2281">
      <c r="A2281" s="4" t="n">
        <v>33834</v>
      </c>
      <c r="B2281" s="4" t="inlineStr">
        <is>
          <t>su20304-30s-000206-0304p-52</t>
        </is>
      </c>
      <c r="C2281" s="4" t="inlineStr">
        <is>
          <t>W00031886A</t>
        </is>
      </c>
      <c r="D2281" s="6">
        <f>IF(F2281&gt;=5, F2281-5, IF(F2281&lt;5, 0, F2281))</f>
        <v/>
      </c>
      <c r="E2281">
        <f>VLOOKUP(B2281,[1]Namshi!$A:$B,2,0)</f>
        <v/>
      </c>
      <c r="F2281" s="4">
        <f>SUMIFS('Dubai Stock'!I:I,'Dubai Stock'!H:H,Final_UAE!B:B)</f>
        <v/>
      </c>
      <c r="H2281" s="8" t="e">
        <v>#N/A</v>
      </c>
    </row>
    <row r="2282">
      <c r="A2282" s="4" t="n">
        <v>33834</v>
      </c>
      <c r="B2282" s="4" t="inlineStr">
        <is>
          <t>clstdai-dai-tot1-p30-sp0500</t>
        </is>
      </c>
      <c r="C2282" s="4" t="inlineStr">
        <is>
          <t>W00031886A</t>
        </is>
      </c>
      <c r="D2282" s="6">
        <f>IF(F2282&gt;=5, F2282-5, IF(F2282&lt;5, 0, F2282))</f>
        <v/>
      </c>
      <c r="E2282">
        <f>VLOOKUP(B2282,[1]Namshi!$A:$B,2,0)</f>
        <v/>
      </c>
      <c r="F2282" s="4">
        <f>SUMIFS('Dubai Stock'!I:I,'Dubai Stock'!H:H,Final_UAE!B:B)</f>
        <v/>
      </c>
      <c r="H2282" s="8" t="e">
        <v>#N/A</v>
      </c>
      <c r="I2282" s="8" t="n"/>
    </row>
    <row r="2283">
      <c r="A2283" s="4" t="n">
        <v>33834</v>
      </c>
      <c r="B2283" s="4" t="inlineStr">
        <is>
          <t>PSKU_33834_85657681859075454034_X</t>
        </is>
      </c>
      <c r="C2283" s="4" t="inlineStr">
        <is>
          <t>W00031886A</t>
        </is>
      </c>
      <c r="D2283" s="6">
        <f>IF(F2283&gt;=5, F2283-5, IF(F2283&lt;5, 0, F2283))</f>
        <v/>
      </c>
      <c r="E2283">
        <f>VLOOKUP(B2283,[1]Namshi!$A:$B,2,0)</f>
        <v/>
      </c>
      <c r="F2283" s="4">
        <f>SUMIFS('Dubai Stock'!I:I,'Dubai Stock'!H:H,Final_UAE!B:B)</f>
        <v/>
      </c>
      <c r="H2283" s="8" t="e">
        <v>#N/A</v>
      </c>
      <c r="I2283" s="8" t="n"/>
    </row>
    <row r="2284">
      <c r="A2284" s="4" t="n">
        <v>33834</v>
      </c>
      <c r="B2284" s="4" t="inlineStr">
        <is>
          <t>sw32404-30s-000264-2404-54</t>
        </is>
      </c>
      <c r="C2284" s="4" t="inlineStr">
        <is>
          <t>W00031886A</t>
        </is>
      </c>
      <c r="D2284" s="6">
        <f>IF(F2284&gt;=5, F2284-5, IF(F2284&lt;5, 0, F2284))</f>
        <v/>
      </c>
      <c r="E2284">
        <f>VLOOKUP(B2284,[1]Namshi!$A:$B,2,0)</f>
        <v/>
      </c>
      <c r="F2284" s="4">
        <f>SUMIFS('Dubai Stock'!I:I,'Dubai Stock'!H:H,Final_UAE!B:B)</f>
        <v/>
      </c>
      <c r="H2284" s="8" t="e">
        <v>#N/A</v>
      </c>
    </row>
    <row r="2285">
      <c r="A2285" s="4" t="n">
        <v>33834</v>
      </c>
      <c r="B2285" s="4" t="inlineStr">
        <is>
          <t>clstdai-acu-dfna-p90-sn0425</t>
        </is>
      </c>
      <c r="C2285" s="4" t="inlineStr">
        <is>
          <t>W00031886A</t>
        </is>
      </c>
      <c r="D2285" s="6">
        <f>IF(F2285&gt;=5, F2285-5, IF(F2285&lt;5, 0, F2285))</f>
        <v/>
      </c>
      <c r="E2285">
        <f>VLOOKUP(B2285,[1]Namshi!$A:$B,2,0)</f>
        <v/>
      </c>
      <c r="F2285" s="4">
        <f>SUMIFS('Dubai Stock'!I:I,'Dubai Stock'!H:H,Final_UAE!B:B)</f>
        <v/>
      </c>
      <c r="H2285" s="8" t="e">
        <v>#N/A</v>
      </c>
      <c r="I2285" s="8" t="n"/>
    </row>
    <row r="2286">
      <c r="A2286" s="4" t="n">
        <v>33834</v>
      </c>
      <c r="B2286" s="4" t="inlineStr">
        <is>
          <t>su11716-rov-1001-13-41-55</t>
        </is>
      </c>
      <c r="C2286" s="4" t="inlineStr">
        <is>
          <t>W00031886A</t>
        </is>
      </c>
      <c r="D2286" s="6">
        <f>IF(F2286&gt;=5, F2286-5, IF(F2286&lt;5, 0, F2286))</f>
        <v/>
      </c>
      <c r="E2286">
        <f>VLOOKUP(B2286,[1]Namshi!$A:$B,2,0)</f>
        <v/>
      </c>
      <c r="F2286" s="4">
        <f>SUMIFS('Dubai Stock'!I:I,'Dubai Stock'!H:H,Final_UAE!B:B)</f>
        <v/>
      </c>
      <c r="H2286" s="8" t="e">
        <v>#N/A</v>
      </c>
      <c r="I2286" s="8" t="n"/>
    </row>
    <row r="2287">
      <c r="A2287" s="4" t="n">
        <v>33834</v>
      </c>
      <c r="B2287" s="4" t="inlineStr">
        <is>
          <t>clstdai-acu-omax-p30-sn0125</t>
        </is>
      </c>
      <c r="C2287" s="4" t="inlineStr">
        <is>
          <t>W00031886A</t>
        </is>
      </c>
      <c r="D2287" s="6">
        <f>IF(F2287&gt;=5, F2287-5, IF(F2287&lt;5, 0, F2287))</f>
        <v/>
      </c>
      <c r="E2287">
        <f>VLOOKUP(B2287,[1]Namshi!$A:$B,2,0)</f>
        <v/>
      </c>
      <c r="F2287" s="4">
        <f>SUMIFS('Dubai Stock'!I:I,'Dubai Stock'!H:H,Final_UAE!B:B)</f>
        <v/>
      </c>
      <c r="H2287" s="8" t="e">
        <v>#N/A</v>
      </c>
      <c r="I2287" s="8" t="n"/>
    </row>
    <row r="2288">
      <c r="A2288" s="4" t="n">
        <v>33834</v>
      </c>
      <c r="B2288" s="4" t="inlineStr">
        <is>
          <t>fm20618-spc-000564-0600-49</t>
        </is>
      </c>
      <c r="C2288" s="4" t="inlineStr">
        <is>
          <t>W00031886A</t>
        </is>
      </c>
      <c r="D2288" s="6">
        <f>IF(F2288&gt;=5, F2288-5, IF(F2288&lt;5, 0, F2288))</f>
        <v/>
      </c>
      <c r="E2288">
        <f>VLOOKUP(B2288,[1]Namshi!$A:$B,2,0)</f>
        <v/>
      </c>
      <c r="F2288" s="4">
        <f>SUMIFS('Dubai Stock'!I:I,'Dubai Stock'!H:H,Final_UAE!B:B)</f>
        <v/>
      </c>
      <c r="H2288" s="8" t="e">
        <v>#N/A</v>
      </c>
      <c r="I2288" s="8" t="n"/>
    </row>
    <row r="2289">
      <c r="A2289" s="4" t="n">
        <v>33834</v>
      </c>
      <c r="B2289" s="4" t="inlineStr">
        <is>
          <t>clstdai-sof-sdai-p30-sn0175</t>
        </is>
      </c>
      <c r="C2289" s="4" t="inlineStr">
        <is>
          <t>W00031886A</t>
        </is>
      </c>
      <c r="D2289" s="6">
        <f>IF(F2289&gt;=5, F2289-5, IF(F2289&lt;5, 0, F2289))</f>
        <v/>
      </c>
      <c r="E2289">
        <f>VLOOKUP(B2289,[1]Namshi!$A:$B,2,0)</f>
        <v/>
      </c>
      <c r="F2289" s="4">
        <f>SUMIFS('Dubai Stock'!I:I,'Dubai Stock'!H:H,Final_UAE!B:B)</f>
        <v/>
      </c>
      <c r="H2289" s="8" t="e">
        <v>#N/A</v>
      </c>
      <c r="I2289" s="8" t="n"/>
    </row>
    <row r="2290">
      <c r="A2290" s="4" t="n">
        <v>33834</v>
      </c>
      <c r="B2290" s="4" t="inlineStr">
        <is>
          <t>clstdai-acu-dfrb-p30-sn0200</t>
        </is>
      </c>
      <c r="C2290" s="4" t="inlineStr">
        <is>
          <t>W00031886A</t>
        </is>
      </c>
      <c r="D2290" s="6">
        <f>IF(F2290&gt;=5, F2290-5, IF(F2290&lt;5, 0, F2290))</f>
        <v/>
      </c>
      <c r="E2290">
        <f>VLOOKUP(B2290,[1]Namshi!$A:$B,2,0)</f>
        <v/>
      </c>
      <c r="F2290" s="4">
        <f>SUMIFS('Dubai Stock'!I:I,'Dubai Stock'!H:H,Final_UAE!B:B)</f>
        <v/>
      </c>
      <c r="H2290" s="8" t="e">
        <v>#N/A</v>
      </c>
      <c r="I2290" s="8" t="n"/>
    </row>
    <row r="2291">
      <c r="A2291" s="4" t="n">
        <v>33834</v>
      </c>
      <c r="B2291" s="4" t="inlineStr">
        <is>
          <t>cost3mo-lay-lens-p02-chocolate-brown-sp0000</t>
        </is>
      </c>
      <c r="C2291" s="4" t="inlineStr">
        <is>
          <t>W00031886A</t>
        </is>
      </c>
      <c r="D2291" s="6">
        <f>IF(F2291&gt;=5, F2291-5, IF(F2291&lt;5, 0, F2291))</f>
        <v/>
      </c>
      <c r="E2291">
        <f>VLOOKUP(B2291,[1]Namshi!$A:$B,2,0)</f>
        <v/>
      </c>
      <c r="F2291" s="4">
        <f>SUMIFS('Dubai Stock'!I:I,'Dubai Stock'!H:H,Final_UAE!B:B)</f>
        <v/>
      </c>
      <c r="H2291" s="8" t="e">
        <v>#N/A</v>
      </c>
      <c r="I2291" s="8" t="n"/>
    </row>
    <row r="2292">
      <c r="A2292" s="4" t="n">
        <v>33834</v>
      </c>
      <c r="B2292" s="4" t="inlineStr">
        <is>
          <t>clstdai-acu-oasy-p60-sn0300</t>
        </is>
      </c>
      <c r="C2292" s="4" t="inlineStr">
        <is>
          <t>W00031886A</t>
        </is>
      </c>
      <c r="D2292" s="6">
        <f>IF(F2292&gt;=5, F2292-5, IF(F2292&lt;5, 0, F2292))</f>
        <v/>
      </c>
      <c r="E2292">
        <f>VLOOKUP(B2292,[1]Namshi!$A:$B,2,0)</f>
        <v/>
      </c>
      <c r="F2292" s="4">
        <f>SUMIFS('Dubai Stock'!I:I,'Dubai Stock'!H:H,Final_UAE!B:B)</f>
        <v/>
      </c>
      <c r="H2292" s="8" t="e">
        <v>#N/A</v>
      </c>
      <c r="I2292" s="8" t="n"/>
    </row>
    <row r="2293">
      <c r="A2293" s="4" t="n">
        <v>33834</v>
      </c>
      <c r="B2293" s="4" t="inlineStr">
        <is>
          <t>costmon-ama-2023-p02-chai-sp0000</t>
        </is>
      </c>
      <c r="C2293" s="4" t="inlineStr">
        <is>
          <t>W00031886A</t>
        </is>
      </c>
      <c r="D2293" s="6">
        <f>IF(F2293&gt;=5, F2293-5, IF(F2293&lt;5, 0, F2293))</f>
        <v/>
      </c>
      <c r="E2293">
        <f>VLOOKUP(B2293,[1]Namshi!$A:$B,2,0)</f>
        <v/>
      </c>
      <c r="F2293" s="4">
        <f>SUMIFS('Dubai Stock'!I:I,'Dubai Stock'!H:H,Final_UAE!B:B)</f>
        <v/>
      </c>
      <c r="H2293" s="8" t="e">
        <v>#N/A</v>
      </c>
      <c r="I2293" s="8" t="n"/>
    </row>
    <row r="2294">
      <c r="A2294" s="4" t="n">
        <v>33834</v>
      </c>
      <c r="B2294" s="4" t="inlineStr">
        <is>
          <t>clstdai-acu-mois-p60-sn0450</t>
        </is>
      </c>
      <c r="C2294" s="4" t="inlineStr">
        <is>
          <t>W00031886A</t>
        </is>
      </c>
      <c r="D2294" s="6">
        <f>IF(F2294&gt;=5, F2294-5, IF(F2294&lt;5, 0, F2294))</f>
        <v/>
      </c>
      <c r="E2294">
        <f>VLOOKUP(B2294,[1]Namshi!$A:$B,2,0)</f>
        <v/>
      </c>
      <c r="F2294" s="4">
        <f>SUMIFS('Dubai Stock'!I:I,'Dubai Stock'!H:H,Final_UAE!B:B)</f>
        <v/>
      </c>
      <c r="H2294" s="8" t="e">
        <v>#N/A</v>
      </c>
      <c r="I2294" s="8" t="n"/>
    </row>
    <row r="2295">
      <c r="A2295" s="4" t="n">
        <v>33834</v>
      </c>
      <c r="B2295" s="4" t="inlineStr">
        <is>
          <t>clstmon-eve-prom-p06-sn0525</t>
        </is>
      </c>
      <c r="C2295" s="4" t="inlineStr">
        <is>
          <t>W00031886A</t>
        </is>
      </c>
      <c r="D2295" s="6">
        <f>IF(F2295&gt;=5, F2295-5, IF(F2295&lt;5, 0, F2295))</f>
        <v/>
      </c>
      <c r="E2295">
        <f>VLOOKUP(B2295,[1]Namshi!$A:$B,2,0)</f>
        <v/>
      </c>
      <c r="F2295" s="4">
        <f>SUMIFS('Dubai Stock'!I:I,'Dubai Stock'!H:H,Final_UAE!B:B)</f>
        <v/>
      </c>
      <c r="H2295" s="8" t="n">
        <v>212</v>
      </c>
      <c r="I2295" s="8" t="n">
        <v>111.3</v>
      </c>
    </row>
    <row r="2296">
      <c r="A2296" s="4" t="n">
        <v>33834</v>
      </c>
      <c r="B2296" s="4" t="inlineStr">
        <is>
          <t>clstdai-btr-oned-p30-sn0350</t>
        </is>
      </c>
      <c r="C2296" s="4" t="inlineStr">
        <is>
          <t>W00031886A</t>
        </is>
      </c>
      <c r="D2296" s="6">
        <f>IF(F2296&gt;=5, F2296-5, IF(F2296&lt;5, 0, F2296))</f>
        <v/>
      </c>
      <c r="E2296">
        <f>VLOOKUP(B2296,[1]Namshi!$A:$B,2,0)</f>
        <v/>
      </c>
      <c r="F2296" s="4">
        <f>SUMIFS('Dubai Stock'!I:I,'Dubai Stock'!H:H,Final_UAE!B:B)</f>
        <v/>
      </c>
      <c r="H2296" s="8" t="e">
        <v>#N/A</v>
      </c>
      <c r="I2296" s="8" t="n"/>
    </row>
    <row r="2297">
      <c r="A2297" s="4" t="n">
        <v>33834</v>
      </c>
      <c r="B2297" s="4" t="inlineStr">
        <is>
          <t>clstdai-lay-cont-p30-dazzle-black-sn0500</t>
        </is>
      </c>
      <c r="C2297" s="4" t="inlineStr">
        <is>
          <t>W00031886A</t>
        </is>
      </c>
      <c r="D2297" s="6">
        <f>IF(F2297&gt;=5, F2297-5, IF(F2297&lt;5, 0, F2297))</f>
        <v/>
      </c>
      <c r="E2297">
        <f>VLOOKUP(B2297,[1]Namshi!$A:$B,2,0)</f>
        <v/>
      </c>
      <c r="F2297" s="4">
        <f>SUMIFS('Dubai Stock'!I:I,'Dubai Stock'!H:H,Final_UAE!B:B)</f>
        <v/>
      </c>
      <c r="H2297" s="8" t="e">
        <v>#N/A</v>
      </c>
      <c r="I2297" s="8" t="n"/>
    </row>
    <row r="2298">
      <c r="A2298" s="4" t="n">
        <v>33834</v>
      </c>
      <c r="B2298" s="4" t="inlineStr">
        <is>
          <t>clstdai-acu-dfrb-p90-sn0475</t>
        </is>
      </c>
      <c r="C2298" s="4" t="inlineStr">
        <is>
          <t>W00031886A</t>
        </is>
      </c>
      <c r="D2298" s="6">
        <f>IF(F2298&gt;=5, F2298-5, IF(F2298&lt;5, 0, F2298))</f>
        <v/>
      </c>
      <c r="E2298">
        <f>VLOOKUP(B2298,[1]Namshi!$A:$B,2,0)</f>
        <v/>
      </c>
      <c r="F2298" s="4">
        <f>SUMIFS('Dubai Stock'!I:I,'Dubai Stock'!H:H,Final_UAE!B:B)</f>
        <v/>
      </c>
      <c r="H2298" s="8" t="e">
        <v>#N/A</v>
      </c>
      <c r="I2298" s="8" t="n"/>
    </row>
    <row r="2299">
      <c r="A2299" s="4" t="n">
        <v>33834</v>
      </c>
      <c r="B2299" s="4" t="inlineStr">
        <is>
          <t>clstdai-lay-cont-p60-dazzle-black-sn0050</t>
        </is>
      </c>
      <c r="C2299" s="4" t="inlineStr">
        <is>
          <t>W00031886A</t>
        </is>
      </c>
      <c r="D2299" s="6">
        <f>IF(F2299&gt;=5, F2299-5, IF(F2299&lt;5, 0, F2299))</f>
        <v/>
      </c>
      <c r="E2299">
        <f>VLOOKUP(B2299,[1]Namshi!$A:$B,2,0)</f>
        <v/>
      </c>
      <c r="F2299" s="4">
        <f>SUMIFS('Dubai Stock'!I:I,'Dubai Stock'!H:H,Final_UAE!B:B)</f>
        <v/>
      </c>
      <c r="H2299" s="8" t="e">
        <v>#N/A</v>
      </c>
      <c r="I2299" s="8" t="n"/>
    </row>
    <row r="2300">
      <c r="A2300" s="4" t="n">
        <v>33834</v>
      </c>
      <c r="B2300" s="4" t="inlineStr">
        <is>
          <t>clstdai-acu-omax-p90-sp0325</t>
        </is>
      </c>
      <c r="C2300" s="4" t="inlineStr">
        <is>
          <t>W00031886A</t>
        </is>
      </c>
      <c r="D2300" s="6">
        <f>IF(F2300&gt;=5, F2300-5, IF(F2300&lt;5, 0, F2300))</f>
        <v/>
      </c>
      <c r="E2300">
        <f>VLOOKUP(B2300,[1]Namshi!$A:$B,2,0)</f>
        <v/>
      </c>
      <c r="F2300" s="4">
        <f>SUMIFS('Dubai Stock'!I:I,'Dubai Stock'!H:H,Final_UAE!B:B)</f>
        <v/>
      </c>
      <c r="H2300" s="8" t="e">
        <v>#N/A</v>
      </c>
      <c r="I2300" s="8" t="n"/>
    </row>
    <row r="2301">
      <c r="A2301" s="4" t="n">
        <v>33834</v>
      </c>
      <c r="B2301" s="4" t="inlineStr">
        <is>
          <t>cost3mo-lay-lens-p02-golden-brown-sn0125</t>
        </is>
      </c>
      <c r="C2301" s="4" t="inlineStr">
        <is>
          <t>W00031886A</t>
        </is>
      </c>
      <c r="D2301" s="6">
        <f>IF(F2301&gt;=5, F2301-5, IF(F2301&lt;5, 0, F2301))</f>
        <v/>
      </c>
      <c r="E2301">
        <f>VLOOKUP(B2301,[1]Namshi!$A:$B,2,0)</f>
        <v/>
      </c>
      <c r="F2301" s="4">
        <f>SUMIFS('Dubai Stock'!I:I,'Dubai Stock'!H:H,Final_UAE!B:B)</f>
        <v/>
      </c>
      <c r="H2301" s="8" t="e">
        <v>#N/A</v>
      </c>
      <c r="I2301" s="8" t="n"/>
    </row>
    <row r="2302">
      <c r="A2302" s="4" t="n">
        <v>33834</v>
      </c>
      <c r="B2302" s="4" t="inlineStr">
        <is>
          <t>sm21202-30s-000249-1202-53</t>
        </is>
      </c>
      <c r="C2302" s="4" t="inlineStr">
        <is>
          <t>W00031886A</t>
        </is>
      </c>
      <c r="D2302" s="6">
        <f>IF(F2302&gt;=5, F2302-5, IF(F2302&lt;5, 0, F2302))</f>
        <v/>
      </c>
      <c r="E2302">
        <f>VLOOKUP(B2302,[1]Namshi!$A:$B,2,0)</f>
        <v/>
      </c>
      <c r="F2302" s="4">
        <f>SUMIFS('Dubai Stock'!I:I,'Dubai Stock'!H:H,Final_UAE!B:B)</f>
        <v/>
      </c>
      <c r="H2302" s="8" t="e">
        <v>#N/A</v>
      </c>
    </row>
    <row r="2303">
      <c r="A2303" s="4" t="n">
        <v>33834</v>
      </c>
      <c r="B2303" s="4" t="inlineStr">
        <is>
          <t>costdai-acu-dffr-p10-green-sn0425</t>
        </is>
      </c>
      <c r="C2303" s="4" t="inlineStr">
        <is>
          <t>W00031886A</t>
        </is>
      </c>
      <c r="D2303" s="6">
        <f>IF(F2303&gt;=5, F2303-5, IF(F2303&lt;5, 0, F2303))</f>
        <v/>
      </c>
      <c r="E2303">
        <f>VLOOKUP(B2303,[1]Namshi!$A:$B,2,0)</f>
        <v/>
      </c>
      <c r="F2303" s="4">
        <f>SUMIFS('Dubai Stock'!I:I,'Dubai Stock'!H:H,Final_UAE!B:B)</f>
        <v/>
      </c>
      <c r="H2303" s="8" t="e">
        <v>#N/A</v>
      </c>
      <c r="I2303" s="8" t="n"/>
    </row>
    <row r="2304">
      <c r="A2304" s="4" t="n">
        <v>33834</v>
      </c>
      <c r="B2304" s="4" t="inlineStr">
        <is>
          <t>bc50218-bab-000503-0200-46</t>
        </is>
      </c>
      <c r="C2304" s="4" t="inlineStr">
        <is>
          <t>W00031886A</t>
        </is>
      </c>
      <c r="D2304" s="6">
        <f>IF(F2304&gt;=5, F2304-5, IF(F2304&lt;5, 0, F2304))</f>
        <v/>
      </c>
      <c r="E2304">
        <f>VLOOKUP(B2304,[1]Namshi!$A:$B,2,0)</f>
        <v/>
      </c>
      <c r="F2304" s="4">
        <f>SUMIFS('Dubai Stock'!I:I,'Dubai Stock'!H:H,Final_UAE!B:B)</f>
        <v/>
      </c>
      <c r="H2304" s="8" t="e">
        <v>#N/A</v>
      </c>
    </row>
    <row r="2305">
      <c r="A2305" s="4" t="n">
        <v>33834</v>
      </c>
      <c r="B2305" s="4" t="inlineStr">
        <is>
          <t>clstdai-btr-oned-p90-sp0250</t>
        </is>
      </c>
      <c r="C2305" s="4" t="inlineStr">
        <is>
          <t>W00031886A</t>
        </is>
      </c>
      <c r="D2305" s="6">
        <f>IF(F2305&gt;=5, F2305-5, IF(F2305&lt;5, 0, F2305))</f>
        <v/>
      </c>
      <c r="E2305">
        <f>VLOOKUP(B2305,[1]Namshi!$A:$B,2,0)</f>
        <v/>
      </c>
      <c r="F2305" s="4">
        <f>SUMIFS('Dubai Stock'!I:I,'Dubai Stock'!H:H,Final_UAE!B:B)</f>
        <v/>
      </c>
      <c r="H2305" s="8" t="e">
        <v>#N/A</v>
      </c>
      <c r="I2305" s="8" t="n"/>
    </row>
    <row r="2306">
      <c r="A2306" s="4" t="n">
        <v>33834</v>
      </c>
      <c r="B2306" s="4" t="inlineStr">
        <is>
          <t>cost3mo-lay-2021-p02-stardust-gray-sn0600</t>
        </is>
      </c>
      <c r="C2306" s="4" t="inlineStr">
        <is>
          <t>W00031886A</t>
        </is>
      </c>
      <c r="D2306" s="6">
        <f>IF(F2306&gt;=5, F2306-5, IF(F2306&lt;5, 0, F2306))</f>
        <v/>
      </c>
      <c r="E2306">
        <f>VLOOKUP(B2306,[1]Namshi!$A:$B,2,0)</f>
        <v/>
      </c>
      <c r="F2306" s="4">
        <f>SUMIFS('Dubai Stock'!I:I,'Dubai Stock'!H:H,Final_UAE!B:B)</f>
        <v/>
      </c>
      <c r="H2306" s="8" t="e">
        <v>#N/A</v>
      </c>
      <c r="I2306" s="8" t="n"/>
    </row>
    <row r="2307">
      <c r="A2307" s="4" t="n">
        <v>33834</v>
      </c>
      <c r="B2307" s="4" t="inlineStr">
        <is>
          <t>clstdai-eve-pure-p30-sp0325</t>
        </is>
      </c>
      <c r="C2307" s="4" t="inlineStr">
        <is>
          <t>W00031886A</t>
        </is>
      </c>
      <c r="D2307" s="6">
        <f>IF(F2307&gt;=5, F2307-5, IF(F2307&lt;5, 0, F2307))</f>
        <v/>
      </c>
      <c r="E2307">
        <f>VLOOKUP(B2307,[1]Namshi!$A:$B,2,0)</f>
        <v/>
      </c>
      <c r="F2307" s="4">
        <f>SUMIFS('Dubai Stock'!I:I,'Dubai Stock'!H:H,Final_UAE!B:B)</f>
        <v/>
      </c>
      <c r="H2307" s="8" t="n">
        <v>186</v>
      </c>
      <c r="I2307" s="8" t="n">
        <v>104.3</v>
      </c>
    </row>
    <row r="2308">
      <c r="A2308" s="4" t="n">
        <v>33834</v>
      </c>
      <c r="B2308" s="4" t="inlineStr">
        <is>
          <t>sw32404-bla-000253-2404-50</t>
        </is>
      </c>
      <c r="C2308" s="4" t="inlineStr">
        <is>
          <t>W00031886A</t>
        </is>
      </c>
      <c r="D2308" s="6">
        <f>IF(F2308&gt;=5, F2308-5, IF(F2308&lt;5, 0, F2308))</f>
        <v/>
      </c>
      <c r="E2308">
        <f>VLOOKUP(B2308,[1]Namshi!$A:$B,2,0)</f>
        <v/>
      </c>
      <c r="F2308" s="4">
        <f>SUMIFS('Dubai Stock'!I:I,'Dubai Stock'!H:H,Final_UAE!B:B)</f>
        <v/>
      </c>
      <c r="H2308" s="8" t="e">
        <v>#N/A</v>
      </c>
    </row>
    <row r="2309">
      <c r="A2309" s="4" t="n">
        <v>33834</v>
      </c>
      <c r="B2309" s="4" t="inlineStr">
        <is>
          <t>clstdai-lay-cont-p60-dazzle-brown-sn0750</t>
        </is>
      </c>
      <c r="C2309" s="4" t="inlineStr">
        <is>
          <t>W00031886A</t>
        </is>
      </c>
      <c r="D2309" s="6">
        <f>IF(F2309&gt;=5, F2309-5, IF(F2309&lt;5, 0, F2309))</f>
        <v/>
      </c>
      <c r="E2309">
        <f>VLOOKUP(B2309,[1]Namshi!$A:$B,2,0)</f>
        <v/>
      </c>
      <c r="F2309" s="4">
        <f>SUMIFS('Dubai Stock'!I:I,'Dubai Stock'!H:H,Final_UAE!B:B)</f>
        <v/>
      </c>
      <c r="H2309" s="8" t="e">
        <v>#N/A</v>
      </c>
      <c r="I2309" s="8" t="n"/>
    </row>
    <row r="2310">
      <c r="A2310" s="4" t="n">
        <v>33834</v>
      </c>
      <c r="B2310" s="4" t="inlineStr">
        <is>
          <t>clstdai-sof-sdai-p90-sn0600</t>
        </is>
      </c>
      <c r="C2310" s="4" t="inlineStr">
        <is>
          <t>W00031886A</t>
        </is>
      </c>
      <c r="D2310" s="6">
        <f>IF(F2310&gt;=5, F2310-5, IF(F2310&lt;5, 0, F2310))</f>
        <v/>
      </c>
      <c r="E2310">
        <f>VLOOKUP(B2310,[1]Namshi!$A:$B,2,0)</f>
        <v/>
      </c>
      <c r="F2310" s="4">
        <f>SUMIFS('Dubai Stock'!I:I,'Dubai Stock'!H:H,Final_UAE!B:B)</f>
        <v/>
      </c>
      <c r="H2310" s="8" t="e">
        <v>#N/A</v>
      </c>
      <c r="I2310" s="8" t="n"/>
    </row>
    <row r="2311">
      <c r="A2311" s="4" t="n">
        <v>33834</v>
      </c>
      <c r="B2311" s="4" t="inlineStr">
        <is>
          <t>clstdai-acu-dfvi-p90-sn0200</t>
        </is>
      </c>
      <c r="C2311" s="4" t="inlineStr">
        <is>
          <t>W00031886A</t>
        </is>
      </c>
      <c r="D2311" s="6">
        <f>IF(F2311&gt;=5, F2311-5, IF(F2311&lt;5, 0, F2311))</f>
        <v/>
      </c>
      <c r="E2311">
        <f>VLOOKUP(B2311,[1]Namshi!$A:$B,2,0)</f>
        <v/>
      </c>
      <c r="F2311" s="4">
        <f>SUMIFS('Dubai Stock'!I:I,'Dubai Stock'!H:H,Final_UAE!B:B)</f>
        <v/>
      </c>
      <c r="H2311" s="8" t="e">
        <v>#N/A</v>
      </c>
      <c r="I2311" s="8" t="n"/>
    </row>
    <row r="2312">
      <c r="A2312" s="4" t="n">
        <v>33834</v>
      </c>
      <c r="B2312" s="4" t="inlineStr">
        <is>
          <t>clstdai-dai-aqua-p30-sp0050</t>
        </is>
      </c>
      <c r="C2312" s="4" t="inlineStr">
        <is>
          <t>W00031886A</t>
        </is>
      </c>
      <c r="D2312" s="6">
        <f>IF(F2312&gt;=5, F2312-5, IF(F2312&lt;5, 0, F2312))</f>
        <v/>
      </c>
      <c r="E2312">
        <f>VLOOKUP(B2312,[1]Namshi!$A:$B,2,0)</f>
        <v/>
      </c>
      <c r="F2312" s="4">
        <f>SUMIFS('Dubai Stock'!I:I,'Dubai Stock'!H:H,Final_UAE!B:B)</f>
        <v/>
      </c>
      <c r="H2312" s="8" t="e">
        <v>#N/A</v>
      </c>
      <c r="I2312" s="8" t="n"/>
    </row>
    <row r="2313">
      <c r="A2313" s="4" t="n">
        <v>33834</v>
      </c>
      <c r="B2313" s="4" t="inlineStr">
        <is>
          <t>cost3mo-lay-2021-p02-stardust-gray-sn0050</t>
        </is>
      </c>
      <c r="C2313" s="4" t="inlineStr">
        <is>
          <t>W00031886A</t>
        </is>
      </c>
      <c r="D2313" s="6">
        <f>IF(F2313&gt;=5, F2313-5, IF(F2313&lt;5, 0, F2313))</f>
        <v/>
      </c>
      <c r="E2313">
        <f>VLOOKUP(B2313,[1]Namshi!$A:$B,2,0)</f>
        <v/>
      </c>
      <c r="F2313" s="4">
        <f>SUMIFS('Dubai Stock'!I:I,'Dubai Stock'!H:H,Final_UAE!B:B)</f>
        <v/>
      </c>
      <c r="H2313" s="8" t="e">
        <v>#N/A</v>
      </c>
      <c r="I2313" s="8" t="n"/>
    </row>
    <row r="2314">
      <c r="A2314" s="4" t="n">
        <v>33834</v>
      </c>
      <c r="B2314" s="4" t="inlineStr">
        <is>
          <t>cost3mo-lay-2022-p02-crescent-gray-sn0075</t>
        </is>
      </c>
      <c r="C2314" s="4" t="inlineStr">
        <is>
          <t>W00031886A</t>
        </is>
      </c>
      <c r="D2314" s="6">
        <f>IF(F2314&gt;=5, F2314-5, IF(F2314&lt;5, 0, F2314))</f>
        <v/>
      </c>
      <c r="E2314">
        <f>VLOOKUP(B2314,[1]Namshi!$A:$B,2,0)</f>
        <v/>
      </c>
      <c r="F2314" s="4">
        <f>SUMIFS('Dubai Stock'!I:I,'Dubai Stock'!H:H,Final_UAE!B:B)</f>
        <v/>
      </c>
      <c r="H2314" s="8" t="e">
        <v>#N/A</v>
      </c>
      <c r="I2314" s="8" t="n"/>
    </row>
    <row r="2315">
      <c r="A2315" s="4" t="n">
        <v>33834</v>
      </c>
      <c r="B2315" s="4" t="inlineStr">
        <is>
          <t>fm20418-spc-000860-0418-49</t>
        </is>
      </c>
      <c r="C2315" s="4" t="inlineStr">
        <is>
          <t>W00031886A</t>
        </is>
      </c>
      <c r="D2315" s="6">
        <f>IF(F2315&gt;=5, F2315-5, IF(F2315&lt;5, 0, F2315))</f>
        <v/>
      </c>
      <c r="E2315">
        <f>VLOOKUP(B2315,[1]Namshi!$A:$B,2,0)</f>
        <v/>
      </c>
      <c r="F2315" s="4">
        <f>SUMIFS('Dubai Stock'!I:I,'Dubai Stock'!H:H,Final_UAE!B:B)</f>
        <v/>
      </c>
      <c r="H2315" s="8" t="e">
        <v>#N/A</v>
      </c>
      <c r="I2315" s="8" t="n"/>
    </row>
    <row r="2316">
      <c r="A2316" s="4" t="n">
        <v>33834</v>
      </c>
      <c r="B2316" s="4" t="inlineStr">
        <is>
          <t>sunglasses-30Sundays-30s-000449-0404</t>
        </is>
      </c>
      <c r="C2316" s="4" t="inlineStr">
        <is>
          <t>W00031886A</t>
        </is>
      </c>
      <c r="D2316" s="6">
        <f>IF(F2316&gt;=5, F2316-5, IF(F2316&lt;5, 0, F2316))</f>
        <v/>
      </c>
      <c r="E2316">
        <f>VLOOKUP(B2316,[1]Namshi!$A:$B,2,0)</f>
        <v/>
      </c>
      <c r="F2316" s="4">
        <f>SUMIFS('Dubai Stock'!I:I,'Dubai Stock'!H:H,Final_UAE!B:B)</f>
        <v/>
      </c>
      <c r="H2316" s="8" t="e">
        <v>#N/A</v>
      </c>
      <c r="I2316" s="8" t="n"/>
    </row>
    <row r="2317">
      <c r="A2317" s="4" t="n">
        <v>33834</v>
      </c>
      <c r="B2317" s="4" t="inlineStr">
        <is>
          <t>sw60202-bla-000242-0202-52</t>
        </is>
      </c>
      <c r="C2317" s="4" t="inlineStr">
        <is>
          <t>W00031886A</t>
        </is>
      </c>
      <c r="D2317" s="6">
        <f>IF(F2317&gt;=5, F2317-5, IF(F2317&lt;5, 0, F2317))</f>
        <v/>
      </c>
      <c r="E2317">
        <f>VLOOKUP(B2317,[1]Namshi!$A:$B,2,0)</f>
        <v/>
      </c>
      <c r="F2317" s="4">
        <f>SUMIFS('Dubai Stock'!I:I,'Dubai Stock'!H:H,Final_UAE!B:B)</f>
        <v/>
      </c>
      <c r="H2317" s="8" t="e">
        <v>#N/A</v>
      </c>
    </row>
    <row r="2318">
      <c r="A2318" s="4" t="n">
        <v>33834</v>
      </c>
      <c r="B2318" s="4" t="inlineStr">
        <is>
          <t>cost3mo-lay-2022-p02-crescent-gray-sp0000</t>
        </is>
      </c>
      <c r="C2318" s="4" t="inlineStr">
        <is>
          <t>W00031886A</t>
        </is>
      </c>
      <c r="D2318" s="6">
        <f>IF(F2318&gt;=5, F2318-5, IF(F2318&lt;5, 0, F2318))</f>
        <v/>
      </c>
      <c r="E2318">
        <f>VLOOKUP(B2318,[1]Namshi!$A:$B,2,0)</f>
        <v/>
      </c>
      <c r="F2318" s="4">
        <f>SUMIFS('Dubai Stock'!I:I,'Dubai Stock'!H:H,Final_UAE!B:B)</f>
        <v/>
      </c>
      <c r="H2318" s="8" t="e">
        <v>#N/A</v>
      </c>
      <c r="I2318" s="8" t="n"/>
    </row>
    <row r="2319">
      <c r="A2319" s="4" t="n">
        <v>33834</v>
      </c>
      <c r="B2319" s="4" t="inlineStr">
        <is>
          <t>sw30404-bla-000222-0404-57</t>
        </is>
      </c>
      <c r="C2319" s="4" t="inlineStr">
        <is>
          <t>W00031886A</t>
        </is>
      </c>
      <c r="D2319" s="6">
        <f>IF(F2319&gt;=5, F2319-5, IF(F2319&lt;5, 0, F2319))</f>
        <v/>
      </c>
      <c r="E2319">
        <f>VLOOKUP(B2319,[1]Namshi!$A:$B,2,0)</f>
        <v/>
      </c>
      <c r="F2319" s="4">
        <f>SUMIFS('Dubai Stock'!I:I,'Dubai Stock'!H:H,Final_UAE!B:B)</f>
        <v/>
      </c>
      <c r="H2319" s="8" t="e">
        <v>#N/A</v>
      </c>
    </row>
    <row r="2320">
      <c r="A2320" s="4" t="n">
        <v>33834</v>
      </c>
      <c r="B2320" s="4" t="inlineStr">
        <is>
          <t>su40107-bla-000314-0107-53</t>
        </is>
      </c>
      <c r="C2320" s="4" t="inlineStr">
        <is>
          <t>W00031886A</t>
        </is>
      </c>
      <c r="D2320" s="6">
        <f>IF(F2320&gt;=5, F2320-5, IF(F2320&lt;5, 0, F2320))</f>
        <v/>
      </c>
      <c r="E2320">
        <f>VLOOKUP(B2320,[1]Namshi!$A:$B,2,0)</f>
        <v/>
      </c>
      <c r="F2320" s="4">
        <f>SUMIFS('Dubai Stock'!I:I,'Dubai Stock'!H:H,Final_UAE!B:B)</f>
        <v/>
      </c>
      <c r="H2320" s="8" t="e">
        <v>#N/A</v>
      </c>
    </row>
    <row r="2321">
      <c r="A2321" s="4" t="n">
        <v>33834</v>
      </c>
      <c r="B2321" s="4" t="inlineStr">
        <is>
          <t>sw101206-30s-000261-1206-62</t>
        </is>
      </c>
      <c r="C2321" s="4" t="inlineStr">
        <is>
          <t>W00031886A</t>
        </is>
      </c>
      <c r="D2321" s="6">
        <f>IF(F2321&gt;=5, F2321-5, IF(F2321&lt;5, 0, F2321))</f>
        <v/>
      </c>
      <c r="E2321">
        <f>VLOOKUP(B2321,[1]Namshi!$A:$B,2,0)</f>
        <v/>
      </c>
      <c r="F2321" s="4">
        <f>SUMIFS('Dubai Stock'!I:I,'Dubai Stock'!H:H,Final_UAE!B:B)</f>
        <v/>
      </c>
      <c r="H2321" s="8" t="e">
        <v>#N/A</v>
      </c>
    </row>
    <row r="2322">
      <c r="A2322" s="4" t="n">
        <v>33834</v>
      </c>
      <c r="B2322" s="4" t="inlineStr">
        <is>
          <t>su100707-30s-00277-0707p-52</t>
        </is>
      </c>
      <c r="C2322" s="4" t="inlineStr">
        <is>
          <t>W00031886A</t>
        </is>
      </c>
      <c r="D2322" s="6">
        <f>IF(F2322&gt;=5, F2322-5, IF(F2322&lt;5, 0, F2322))</f>
        <v/>
      </c>
      <c r="E2322">
        <f>VLOOKUP(B2322,[1]Namshi!$A:$B,2,0)</f>
        <v/>
      </c>
      <c r="F2322" s="4">
        <f>SUMIFS('Dubai Stock'!I:I,'Dubai Stock'!H:H,Final_UAE!B:B)</f>
        <v/>
      </c>
      <c r="H2322" s="8" t="e">
        <v>#N/A</v>
      </c>
    </row>
    <row r="2323">
      <c r="A2323" s="4" t="n">
        <v>33834</v>
      </c>
      <c r="B2323" s="4" t="inlineStr">
        <is>
          <t>sacchan-30s-chain104-gpl-gold</t>
        </is>
      </c>
      <c r="C2323" s="4" t="inlineStr">
        <is>
          <t>W00031886A</t>
        </is>
      </c>
      <c r="D2323" s="6">
        <f>IF(F2323&gt;=5, F2323-5, IF(F2323&lt;5, 0, F2323))</f>
        <v/>
      </c>
      <c r="E2323">
        <f>VLOOKUP(B2323,[1]Namshi!$A:$B,2,0)</f>
        <v/>
      </c>
      <c r="F2323" s="4">
        <f>SUMIFS('Dubai Stock'!I:I,'Dubai Stock'!H:H,Final_UAE!B:B)</f>
        <v/>
      </c>
      <c r="H2323" s="8" t="e">
        <v>#N/A</v>
      </c>
      <c r="I2323" s="8" t="n"/>
    </row>
    <row r="2324">
      <c r="A2324" s="4" t="n">
        <v>33834</v>
      </c>
      <c r="B2324" s="4" t="inlineStr">
        <is>
          <t>cost3mo-lay-2022-p02-royal-green-sn0200</t>
        </is>
      </c>
      <c r="C2324" s="4" t="inlineStr">
        <is>
          <t>W00031886A</t>
        </is>
      </c>
      <c r="D2324" s="6">
        <f>IF(F2324&gt;=5, F2324-5, IF(F2324&lt;5, 0, F2324))</f>
        <v/>
      </c>
      <c r="E2324">
        <f>VLOOKUP(B2324,[1]Namshi!$A:$B,2,0)</f>
        <v/>
      </c>
      <c r="F2324" s="4">
        <f>SUMIFS('Dubai Stock'!I:I,'Dubai Stock'!H:H,Final_UAE!B:B)</f>
        <v/>
      </c>
      <c r="H2324" s="8" t="e">
        <v>#N/A</v>
      </c>
      <c r="I2324" s="8" t="n"/>
    </row>
    <row r="2325">
      <c r="A2325" s="4" t="n">
        <v>33834</v>
      </c>
      <c r="B2325" s="4" t="inlineStr">
        <is>
          <t>costmon-ama-2022-p02-tiger-eyes-sn0100</t>
        </is>
      </c>
      <c r="C2325" s="4" t="inlineStr">
        <is>
          <t>W00031886A</t>
        </is>
      </c>
      <c r="D2325" s="6">
        <f>IF(F2325&gt;=5, F2325-5, IF(F2325&lt;5, 0, F2325))</f>
        <v/>
      </c>
      <c r="E2325">
        <f>VLOOKUP(B2325,[1]Namshi!$A:$B,2,0)</f>
        <v/>
      </c>
      <c r="F2325" s="4">
        <f>SUMIFS('Dubai Stock'!I:I,'Dubai Stock'!H:H,Final_UAE!B:B)</f>
        <v/>
      </c>
      <c r="H2325" s="8" t="e">
        <v>#N/A</v>
      </c>
      <c r="I2325" s="8" t="n"/>
    </row>
    <row r="2326">
      <c r="A2326" s="4" t="n">
        <v>33834</v>
      </c>
      <c r="B2326" s="4" t="inlineStr">
        <is>
          <t>fm22618-spc-000664-2618-51</t>
        </is>
      </c>
      <c r="C2326" s="4" t="inlineStr">
        <is>
          <t>W00031886A</t>
        </is>
      </c>
      <c r="D2326" s="6">
        <f>IF(F2326&gt;=5, F2326-5, IF(F2326&lt;5, 0, F2326))</f>
        <v/>
      </c>
      <c r="E2326">
        <f>VLOOKUP(B2326,[1]Namshi!$A:$B,2,0)</f>
        <v/>
      </c>
      <c r="F2326" s="4">
        <f>SUMIFS('Dubai Stock'!I:I,'Dubai Stock'!H:H,Final_UAE!B:B)</f>
        <v/>
      </c>
      <c r="H2326" s="8" t="e">
        <v>#N/A</v>
      </c>
      <c r="I2326" s="8" t="n"/>
    </row>
    <row r="2327">
      <c r="A2327" s="4" t="n">
        <v>33834</v>
      </c>
      <c r="B2327" s="4" t="inlineStr">
        <is>
          <t>cost3mo-lay-lens-p02-crystal-brown-sn0550</t>
        </is>
      </c>
      <c r="C2327" s="4" t="inlineStr">
        <is>
          <t>W00031886A</t>
        </is>
      </c>
      <c r="D2327" s="6">
        <f>IF(F2327&gt;=5, F2327-5, IF(F2327&lt;5, 0, F2327))</f>
        <v/>
      </c>
      <c r="E2327">
        <f>VLOOKUP(B2327,[1]Namshi!$A:$B,2,0)</f>
        <v/>
      </c>
      <c r="F2327" s="4">
        <f>SUMIFS('Dubai Stock'!I:I,'Dubai Stock'!H:H,Final_UAE!B:B)</f>
        <v/>
      </c>
      <c r="H2327" s="8" t="e">
        <v>#N/A</v>
      </c>
      <c r="I2327" s="8" t="n"/>
    </row>
    <row r="2328">
      <c r="A2328" s="4" t="n">
        <v>33834</v>
      </c>
      <c r="B2328" s="4" t="inlineStr">
        <is>
          <t>cost3mo-lay-2022-p02-sweet-hazel-sn0250</t>
        </is>
      </c>
      <c r="C2328" s="4" t="inlineStr">
        <is>
          <t>W00031886A</t>
        </is>
      </c>
      <c r="D2328" s="6">
        <f>IF(F2328&gt;=5, F2328-5, IF(F2328&lt;5, 0, F2328))</f>
        <v/>
      </c>
      <c r="E2328">
        <f>VLOOKUP(B2328,[1]Namshi!$A:$B,2,0)</f>
        <v/>
      </c>
      <c r="F2328" s="4">
        <f>SUMIFS('Dubai Stock'!I:I,'Dubai Stock'!H:H,Final_UAE!B:B)</f>
        <v/>
      </c>
      <c r="H2328" s="8" t="e">
        <v>#N/A</v>
      </c>
      <c r="I2328" s="8" t="n"/>
    </row>
    <row r="2329">
      <c r="A2329" s="4" t="n">
        <v>33834</v>
      </c>
      <c r="B2329" s="4" t="inlineStr">
        <is>
          <t>sw50904-bla-000235-2404-56</t>
        </is>
      </c>
      <c r="C2329" s="4" t="inlineStr">
        <is>
          <t>W00031886A</t>
        </is>
      </c>
      <c r="D2329" s="6">
        <f>IF(F2329&gt;=5, F2329-5, IF(F2329&lt;5, 0, F2329))</f>
        <v/>
      </c>
      <c r="E2329">
        <f>VLOOKUP(B2329,[1]Namshi!$A:$B,2,0)</f>
        <v/>
      </c>
      <c r="F2329" s="4">
        <f>SUMIFS('Dubai Stock'!I:I,'Dubai Stock'!H:H,Final_UAE!B:B)</f>
        <v/>
      </c>
      <c r="H2329" s="8" t="e">
        <v>#N/A</v>
      </c>
    </row>
    <row r="2330">
      <c r="A2330" s="4" t="n">
        <v>33834</v>
      </c>
      <c r="B2330" s="4" t="inlineStr">
        <is>
          <t>fw32918-spc-000862-2918-49</t>
        </is>
      </c>
      <c r="C2330" s="4" t="inlineStr">
        <is>
          <t>W00031886A</t>
        </is>
      </c>
      <c r="D2330" s="6">
        <f>IF(F2330&gt;=5, F2330-5, IF(F2330&lt;5, 0, F2330))</f>
        <v/>
      </c>
      <c r="E2330">
        <f>VLOOKUP(B2330,[1]Namshi!$A:$B,2,0)</f>
        <v/>
      </c>
      <c r="F2330" s="4">
        <f>SUMIFS('Dubai Stock'!I:I,'Dubai Stock'!H:H,Final_UAE!B:B)</f>
        <v/>
      </c>
      <c r="H2330" s="8" t="e">
        <v>#N/A</v>
      </c>
      <c r="I2330" s="8" t="n"/>
    </row>
    <row r="2331">
      <c r="A2331" s="4" t="n">
        <v>33834</v>
      </c>
      <c r="B2331" s="4" t="inlineStr">
        <is>
          <t>clstmon-bio-biof-p06-sn0300</t>
        </is>
      </c>
      <c r="C2331" s="4" t="inlineStr">
        <is>
          <t>W00031886A</t>
        </is>
      </c>
      <c r="D2331" s="6">
        <f>IF(F2331&gt;=5, F2331-5, IF(F2331&lt;5, 0, F2331))</f>
        <v/>
      </c>
      <c r="E2331">
        <f>VLOOKUP(B2331,[1]Namshi!$A:$B,2,0)</f>
        <v/>
      </c>
      <c r="F2331" s="4">
        <f>SUMIFS('Dubai Stock'!I:I,'Dubai Stock'!H:H,Final_UAE!B:B)</f>
        <v/>
      </c>
      <c r="H2331" s="8" t="e">
        <v>#N/A</v>
      </c>
      <c r="I2331" s="8" t="n"/>
    </row>
    <row r="2332">
      <c r="A2332" s="4" t="n">
        <v>33834</v>
      </c>
      <c r="B2332" s="4" t="inlineStr">
        <is>
          <t>costmon-ama-2022-p02-dream-sp0000</t>
        </is>
      </c>
      <c r="C2332" s="4" t="inlineStr">
        <is>
          <t>W00031886A</t>
        </is>
      </c>
      <c r="D2332" s="6">
        <f>IF(F2332&gt;=5, F2332-5, IF(F2332&lt;5, 0, F2332))</f>
        <v/>
      </c>
      <c r="E2332">
        <f>VLOOKUP(B2332,[1]Namshi!$A:$B,2,0)</f>
        <v/>
      </c>
      <c r="F2332" s="4">
        <f>SUMIFS('Dubai Stock'!I:I,'Dubai Stock'!H:H,Final_UAE!B:B)</f>
        <v/>
      </c>
      <c r="H2332" s="8" t="e">
        <v>#N/A</v>
      </c>
      <c r="I2332" s="8" t="n"/>
    </row>
    <row r="2333">
      <c r="A2333" s="4" t="n">
        <v>33834</v>
      </c>
      <c r="B2333" s="4" t="inlineStr">
        <is>
          <t>cost3mo-lay-lens-p02-chocolate-brown-sn0025</t>
        </is>
      </c>
      <c r="C2333" s="4" t="inlineStr">
        <is>
          <t>W00031886A</t>
        </is>
      </c>
      <c r="D2333" s="6">
        <f>IF(F2333&gt;=5, F2333-5, IF(F2333&lt;5, 0, F2333))</f>
        <v/>
      </c>
      <c r="E2333">
        <f>VLOOKUP(B2333,[1]Namshi!$A:$B,2,0)</f>
        <v/>
      </c>
      <c r="F2333" s="4">
        <f>SUMIFS('Dubai Stock'!I:I,'Dubai Stock'!H:H,Final_UAE!B:B)</f>
        <v/>
      </c>
      <c r="H2333" s="8" t="e">
        <v>#N/A</v>
      </c>
      <c r="I2333" s="8" t="n"/>
    </row>
    <row r="2334">
      <c r="A2334" s="4" t="n">
        <v>33834</v>
      </c>
      <c r="B2334" s="4" t="inlineStr">
        <is>
          <t>costdai-ama-dail-p10-sugar-sn1000</t>
        </is>
      </c>
      <c r="C2334" s="4" t="inlineStr">
        <is>
          <t>W00031886A</t>
        </is>
      </c>
      <c r="D2334" s="6">
        <f>IF(F2334&gt;=5, F2334-5, IF(F2334&lt;5, 0, F2334))</f>
        <v/>
      </c>
      <c r="E2334">
        <f>VLOOKUP(B2334,[1]Namshi!$A:$B,2,0)</f>
        <v/>
      </c>
      <c r="F2334" s="4">
        <f>SUMIFS('Dubai Stock'!I:I,'Dubai Stock'!H:H,Final_UAE!B:B)</f>
        <v/>
      </c>
      <c r="H2334" s="8" t="e">
        <v>#N/A</v>
      </c>
      <c r="I2334" s="8" t="n"/>
    </row>
    <row r="2335">
      <c r="A2335" s="4" t="n">
        <v>33834</v>
      </c>
      <c r="B2335" s="4" t="inlineStr">
        <is>
          <t>cost3mo-lay-2021-p02-sunkiss-brown-sn0275</t>
        </is>
      </c>
      <c r="C2335" s="4" t="inlineStr">
        <is>
          <t>W00031886A</t>
        </is>
      </c>
      <c r="D2335" s="6">
        <f>IF(F2335&gt;=5, F2335-5, IF(F2335&lt;5, 0, F2335))</f>
        <v/>
      </c>
      <c r="E2335">
        <f>VLOOKUP(B2335,[1]Namshi!$A:$B,2,0)</f>
        <v/>
      </c>
      <c r="F2335" s="4">
        <f>SUMIFS('Dubai Stock'!I:I,'Dubai Stock'!H:H,Final_UAE!B:B)</f>
        <v/>
      </c>
      <c r="H2335" s="8" t="e">
        <v>#N/A</v>
      </c>
      <c r="I2335" s="8" t="n"/>
    </row>
    <row r="2336">
      <c r="A2336" s="4" t="n">
        <v>33834</v>
      </c>
      <c r="B2336" s="4" t="inlineStr">
        <is>
          <t>cost3mo-lay-lens-p02-ocean-blue-sn0275</t>
        </is>
      </c>
      <c r="C2336" s="4" t="inlineStr">
        <is>
          <t>W00031886A</t>
        </is>
      </c>
      <c r="D2336" s="6">
        <f>IF(F2336&gt;=5, F2336-5, IF(F2336&lt;5, 0, F2336))</f>
        <v/>
      </c>
      <c r="E2336">
        <f>VLOOKUP(B2336,[1]Namshi!$A:$B,2,0)</f>
        <v/>
      </c>
      <c r="F2336" s="4">
        <f>SUMIFS('Dubai Stock'!I:I,'Dubai Stock'!H:H,Final_UAE!B:B)</f>
        <v/>
      </c>
      <c r="H2336" s="8" t="e">
        <v>#N/A</v>
      </c>
      <c r="I2336" s="8" t="n"/>
    </row>
    <row r="2337">
      <c r="A2337" s="4" t="n">
        <v>33834</v>
      </c>
      <c r="B2337" s="4" t="inlineStr">
        <is>
          <t>clstdai-lay-cont-p90-dazzle-black-sn0125</t>
        </is>
      </c>
      <c r="C2337" s="4" t="inlineStr">
        <is>
          <t>W00031886A</t>
        </is>
      </c>
      <c r="D2337" s="6">
        <f>IF(F2337&gt;=5, F2337-5, IF(F2337&lt;5, 0, F2337))</f>
        <v/>
      </c>
      <c r="E2337">
        <f>VLOOKUP(B2337,[1]Namshi!$A:$B,2,0)</f>
        <v/>
      </c>
      <c r="F2337" s="4">
        <f>SUMIFS('Dubai Stock'!I:I,'Dubai Stock'!H:H,Final_UAE!B:B)</f>
        <v/>
      </c>
      <c r="H2337" s="8" t="e">
        <v>#N/A</v>
      </c>
      <c r="I2337" s="8" t="n"/>
    </row>
    <row r="2338">
      <c r="A2338" s="4" t="n">
        <v>33834</v>
      </c>
      <c r="B2338" s="4" t="inlineStr">
        <is>
          <t>clstbiw-acu-0002-p06-sp0650</t>
        </is>
      </c>
      <c r="C2338" s="4" t="inlineStr">
        <is>
          <t>W00031886A</t>
        </is>
      </c>
      <c r="D2338" s="6">
        <f>IF(F2338&gt;=5, F2338-5, IF(F2338&lt;5, 0, F2338))</f>
        <v/>
      </c>
      <c r="E2338">
        <f>VLOOKUP(B2338,[1]Namshi!$A:$B,2,0)</f>
        <v/>
      </c>
      <c r="F2338" s="4">
        <f>SUMIFS('Dubai Stock'!I:I,'Dubai Stock'!H:H,Final_UAE!B:B)</f>
        <v/>
      </c>
      <c r="H2338" s="8" t="e">
        <v>#N/A</v>
      </c>
      <c r="I2338" s="8" t="n"/>
    </row>
    <row r="2339">
      <c r="A2339" s="4" t="n">
        <v>33834</v>
      </c>
      <c r="B2339" s="4" t="inlineStr">
        <is>
          <t>clstdai-dai-tot1-p30-sp0550</t>
        </is>
      </c>
      <c r="C2339" s="4" t="inlineStr">
        <is>
          <t>W00031886A</t>
        </is>
      </c>
      <c r="D2339" s="6">
        <f>IF(F2339&gt;=5, F2339-5, IF(F2339&lt;5, 0, F2339))</f>
        <v/>
      </c>
      <c r="E2339">
        <f>VLOOKUP(B2339,[1]Namshi!$A:$B,2,0)</f>
        <v/>
      </c>
      <c r="F2339" s="4">
        <f>SUMIFS('Dubai Stock'!I:I,'Dubai Stock'!H:H,Final_UAE!B:B)</f>
        <v/>
      </c>
      <c r="H2339" s="8" t="e">
        <v>#N/A</v>
      </c>
      <c r="I2339" s="8" t="n"/>
    </row>
    <row r="2340">
      <c r="A2340" s="4" t="n">
        <v>33834</v>
      </c>
      <c r="B2340" s="4" t="inlineStr">
        <is>
          <t>clstdai-eve-elit-p30-sn0275</t>
        </is>
      </c>
      <c r="C2340" s="4" t="inlineStr">
        <is>
          <t>W00031886A</t>
        </is>
      </c>
      <c r="D2340" s="6">
        <f>IF(F2340&gt;=5, F2340-5, IF(F2340&lt;5, 0, F2340))</f>
        <v/>
      </c>
      <c r="E2340">
        <f>VLOOKUP(B2340,[1]Namshi!$A:$B,2,0)</f>
        <v/>
      </c>
      <c r="F2340" s="4">
        <f>SUMIFS('Dubai Stock'!I:I,'Dubai Stock'!H:H,Final_UAE!B:B)</f>
        <v/>
      </c>
      <c r="H2340" s="8" t="n">
        <v>261</v>
      </c>
      <c r="I2340" s="8" t="n">
        <v>146.3</v>
      </c>
    </row>
    <row r="2341">
      <c r="A2341" s="4" t="n">
        <v>33834</v>
      </c>
      <c r="B2341" s="4" t="inlineStr">
        <is>
          <t>costdai-ama-dail-p10-honey-sn0275</t>
        </is>
      </c>
      <c r="C2341" s="4" t="inlineStr">
        <is>
          <t>W00031886A</t>
        </is>
      </c>
      <c r="D2341" s="6">
        <f>IF(F2341&gt;=5, F2341-5, IF(F2341&lt;5, 0, F2341))</f>
        <v/>
      </c>
      <c r="E2341">
        <f>VLOOKUP(B2341,[1]Namshi!$A:$B,2,0)</f>
        <v/>
      </c>
      <c r="F2341" s="4">
        <f>SUMIFS('Dubai Stock'!I:I,'Dubai Stock'!H:H,Final_UAE!B:B)</f>
        <v/>
      </c>
      <c r="H2341" s="8" t="e">
        <v>#N/A</v>
      </c>
      <c r="I2341" s="8" t="n"/>
    </row>
    <row r="2342">
      <c r="A2342" s="4" t="n">
        <v>33834</v>
      </c>
      <c r="B2342" s="4" t="inlineStr">
        <is>
          <t>clstdai-acu-dfvi-p60-sn0300</t>
        </is>
      </c>
      <c r="C2342" s="4" t="inlineStr">
        <is>
          <t>W00031886A</t>
        </is>
      </c>
      <c r="D2342" s="6">
        <f>IF(F2342&gt;=5, F2342-5, IF(F2342&lt;5, 0, F2342))</f>
        <v/>
      </c>
      <c r="E2342">
        <f>VLOOKUP(B2342,[1]Namshi!$A:$B,2,0)</f>
        <v/>
      </c>
      <c r="F2342" s="4">
        <f>SUMIFS('Dubai Stock'!I:I,'Dubai Stock'!H:H,Final_UAE!B:B)</f>
        <v/>
      </c>
      <c r="H2342" s="8" t="e">
        <v>#N/A</v>
      </c>
      <c r="I2342" s="8" t="n"/>
    </row>
    <row r="2343">
      <c r="A2343" s="4" t="n">
        <v>33834</v>
      </c>
      <c r="B2343" s="4" t="inlineStr">
        <is>
          <t>clstdai-acu-mois-p60-sn0500</t>
        </is>
      </c>
      <c r="C2343" s="4" t="inlineStr">
        <is>
          <t>W00031886A</t>
        </is>
      </c>
      <c r="D2343" s="6">
        <f>IF(F2343&gt;=5, F2343-5, IF(F2343&lt;5, 0, F2343))</f>
        <v/>
      </c>
      <c r="E2343">
        <f>VLOOKUP(B2343,[1]Namshi!$A:$B,2,0)</f>
        <v/>
      </c>
      <c r="F2343" s="4">
        <f>SUMIFS('Dubai Stock'!I:I,'Dubai Stock'!H:H,Final_UAE!B:B)</f>
        <v/>
      </c>
      <c r="H2343" s="8" t="e">
        <v>#N/A</v>
      </c>
      <c r="I2343" s="8" t="n"/>
    </row>
    <row r="2344">
      <c r="A2344" s="4" t="n">
        <v>33834</v>
      </c>
      <c r="B2344" s="4" t="inlineStr">
        <is>
          <t>clstdai-dai-tot1-p30-sp0275</t>
        </is>
      </c>
      <c r="C2344" s="4" t="inlineStr">
        <is>
          <t>W00031886A</t>
        </is>
      </c>
      <c r="D2344" s="6">
        <f>IF(F2344&gt;=5, F2344-5, IF(F2344&lt;5, 0, F2344))</f>
        <v/>
      </c>
      <c r="E2344">
        <f>VLOOKUP(B2344,[1]Namshi!$A:$B,2,0)</f>
        <v/>
      </c>
      <c r="F2344" s="4">
        <f>SUMIFS('Dubai Stock'!I:I,'Dubai Stock'!H:H,Final_UAE!B:B)</f>
        <v/>
      </c>
      <c r="H2344" s="8" t="e">
        <v>#N/A</v>
      </c>
      <c r="I2344" s="8" t="n"/>
    </row>
    <row r="2345">
      <c r="A2345" s="4" t="n">
        <v>33834</v>
      </c>
      <c r="B2345" s="4" t="inlineStr">
        <is>
          <t>clstdai-eve-pure-p90-sp0500</t>
        </is>
      </c>
      <c r="C2345" s="4" t="inlineStr">
        <is>
          <t>W00031886A</t>
        </is>
      </c>
      <c r="D2345" s="6">
        <f>IF(F2345&gt;=5, F2345-5, IF(F2345&lt;5, 0, F2345))</f>
        <v/>
      </c>
      <c r="E2345">
        <f>VLOOKUP(B2345,[1]Namshi!$A:$B,2,0)</f>
        <v/>
      </c>
      <c r="F2345" s="4">
        <f>SUMIFS('Dubai Stock'!I:I,'Dubai Stock'!H:H,Final_UAE!B:B)</f>
        <v/>
      </c>
      <c r="H2345" s="8" t="n">
        <v>529</v>
      </c>
      <c r="I2345" s="8" t="n">
        <v>259</v>
      </c>
    </row>
    <row r="2346">
      <c r="A2346" s="4" t="n">
        <v>33834</v>
      </c>
      <c r="B2346" s="4" t="inlineStr">
        <is>
          <t>clstdai-eve-elit-p30-sn0225</t>
        </is>
      </c>
      <c r="C2346" s="4" t="inlineStr">
        <is>
          <t>W00031886A</t>
        </is>
      </c>
      <c r="D2346" s="6">
        <f>IF(F2346&gt;=5, F2346-5, IF(F2346&lt;5, 0, F2346))</f>
        <v/>
      </c>
      <c r="E2346">
        <f>VLOOKUP(B2346,[1]Namshi!$A:$B,2,0)</f>
        <v/>
      </c>
      <c r="F2346" s="4">
        <f>SUMIFS('Dubai Stock'!I:I,'Dubai Stock'!H:H,Final_UAE!B:B)</f>
        <v/>
      </c>
      <c r="H2346" s="8" t="n">
        <v>261</v>
      </c>
      <c r="I2346" s="8" t="n">
        <v>146.3</v>
      </c>
    </row>
    <row r="2347">
      <c r="A2347" s="4" t="n">
        <v>33834</v>
      </c>
      <c r="B2347" s="4" t="inlineStr">
        <is>
          <t>clstdai-acu-oasy-p120-sn0550</t>
        </is>
      </c>
      <c r="C2347" s="4" t="inlineStr">
        <is>
          <t>W00031886A</t>
        </is>
      </c>
      <c r="D2347" s="6">
        <f>IF(F2347&gt;=5, F2347-5, IF(F2347&lt;5, 0, F2347))</f>
        <v/>
      </c>
      <c r="E2347">
        <f>VLOOKUP(B2347,[1]Namshi!$A:$B,2,0)</f>
        <v/>
      </c>
      <c r="F2347" s="4">
        <f>SUMIFS('Dubai Stock'!I:I,'Dubai Stock'!H:H,Final_UAE!B:B)</f>
        <v/>
      </c>
      <c r="H2347" s="8" t="e">
        <v>#N/A</v>
      </c>
      <c r="I2347" s="8" t="n"/>
    </row>
    <row r="2348">
      <c r="A2348" s="4" t="n">
        <v>33834</v>
      </c>
      <c r="B2348" s="4" t="inlineStr">
        <is>
          <t>sm70107-30s-000209-0107-60</t>
        </is>
      </c>
      <c r="C2348" s="4" t="inlineStr">
        <is>
          <t>W00031886A</t>
        </is>
      </c>
      <c r="D2348" s="6">
        <f>IF(F2348&gt;=5, F2348-5, IF(F2348&lt;5, 0, F2348))</f>
        <v/>
      </c>
      <c r="E2348">
        <f>VLOOKUP(B2348,[1]Namshi!$A:$B,2,0)</f>
        <v/>
      </c>
      <c r="F2348" s="4">
        <f>SUMIFS('Dubai Stock'!I:I,'Dubai Stock'!H:H,Final_UAE!B:B)</f>
        <v/>
      </c>
      <c r="H2348" s="8" t="e">
        <v>#N/A</v>
      </c>
    </row>
    <row r="2349">
      <c r="A2349" s="4" t="n">
        <v>33834</v>
      </c>
      <c r="B2349" s="4" t="inlineStr">
        <is>
          <t>costmon-ama-lens-p02-mocca-sn0075</t>
        </is>
      </c>
      <c r="C2349" s="4" t="inlineStr">
        <is>
          <t>W00031886A</t>
        </is>
      </c>
      <c r="D2349" s="6">
        <f>IF(F2349&gt;=5, F2349-5, IF(F2349&lt;5, 0, F2349))</f>
        <v/>
      </c>
      <c r="E2349">
        <f>VLOOKUP(B2349,[1]Namshi!$A:$B,2,0)</f>
        <v/>
      </c>
      <c r="F2349" s="4">
        <f>SUMIFS('Dubai Stock'!I:I,'Dubai Stock'!H:H,Final_UAE!B:B)</f>
        <v/>
      </c>
      <c r="H2349" s="8" t="e">
        <v>#N/A</v>
      </c>
      <c r="I2349" s="8" t="n"/>
    </row>
    <row r="2350">
      <c r="A2350" s="4" t="n">
        <v>33834</v>
      </c>
      <c r="B2350" s="4" t="inlineStr">
        <is>
          <t>clstdai-acu-oasy-p60-sn0650</t>
        </is>
      </c>
      <c r="C2350" s="4" t="inlineStr">
        <is>
          <t>W00031886A</t>
        </is>
      </c>
      <c r="D2350" s="6">
        <f>IF(F2350&gt;=5, F2350-5, IF(F2350&lt;5, 0, F2350))</f>
        <v/>
      </c>
      <c r="E2350">
        <f>VLOOKUP(B2350,[1]Namshi!$A:$B,2,0)</f>
        <v/>
      </c>
      <c r="F2350" s="4">
        <f>SUMIFS('Dubai Stock'!I:I,'Dubai Stock'!H:H,Final_UAE!B:B)</f>
        <v/>
      </c>
      <c r="H2350" s="8" t="e">
        <v>#N/A</v>
      </c>
      <c r="I2350" s="8" t="n"/>
    </row>
    <row r="2351">
      <c r="A2351" s="4" t="n">
        <v>33834</v>
      </c>
      <c r="B2351" s="4" t="inlineStr">
        <is>
          <t>costdai-acu-dffr-p10-hazel-sn0375</t>
        </is>
      </c>
      <c r="C2351" s="4" t="inlineStr">
        <is>
          <t>W00031886A</t>
        </is>
      </c>
      <c r="D2351" s="6">
        <f>IF(F2351&gt;=5, F2351-5, IF(F2351&lt;5, 0, F2351))</f>
        <v/>
      </c>
      <c r="E2351">
        <f>VLOOKUP(B2351,[1]Namshi!$A:$B,2,0)</f>
        <v/>
      </c>
      <c r="F2351" s="4">
        <f>SUMIFS('Dubai Stock'!I:I,'Dubai Stock'!H:H,Final_UAE!B:B)</f>
        <v/>
      </c>
      <c r="H2351" s="8" t="e">
        <v>#N/A</v>
      </c>
      <c r="I2351" s="8" t="n"/>
    </row>
    <row r="2352">
      <c r="A2352" s="4" t="n">
        <v>33834</v>
      </c>
      <c r="B2352" s="4" t="inlineStr">
        <is>
          <t>costmon-ama-2024-p02-nmr-sn0300</t>
        </is>
      </c>
      <c r="C2352" s="4" t="inlineStr">
        <is>
          <t>W00031886A</t>
        </is>
      </c>
      <c r="D2352" s="6">
        <f>IF(F2352&gt;=5, F2352-5, IF(F2352&lt;5, 0, F2352))</f>
        <v/>
      </c>
      <c r="E2352">
        <f>VLOOKUP(B2352,[1]Namshi!$A:$B,2,0)</f>
        <v/>
      </c>
      <c r="F2352" s="4">
        <f>SUMIFS('Dubai Stock'!I:I,'Dubai Stock'!H:H,Final_UAE!B:B)</f>
        <v/>
      </c>
      <c r="H2352" s="8" t="e">
        <v>#N/A</v>
      </c>
      <c r="I2352" s="8" t="n"/>
    </row>
    <row r="2353">
      <c r="A2353" s="4" t="n">
        <v>33834</v>
      </c>
      <c r="B2353" s="4" t="inlineStr">
        <is>
          <t>clstdai-acu-dfna-p60-sn0150</t>
        </is>
      </c>
      <c r="C2353" s="4" t="inlineStr">
        <is>
          <t>W00031886A</t>
        </is>
      </c>
      <c r="D2353" s="6">
        <f>IF(F2353&gt;=5, F2353-5, IF(F2353&lt;5, 0, F2353))</f>
        <v/>
      </c>
      <c r="E2353">
        <f>VLOOKUP(B2353,[1]Namshi!$A:$B,2,0)</f>
        <v/>
      </c>
      <c r="F2353" s="4">
        <f>SUMIFS('Dubai Stock'!I:I,'Dubai Stock'!H:H,Final_UAE!B:B)</f>
        <v/>
      </c>
      <c r="H2353" s="8" t="e">
        <v>#N/A</v>
      </c>
      <c r="I2353" s="8" t="n"/>
    </row>
    <row r="2354">
      <c r="A2354" s="4" t="n">
        <v>33834</v>
      </c>
      <c r="B2354" s="4" t="inlineStr">
        <is>
          <t>costdai-acu-dffr-p10-grayzel-sn0275</t>
        </is>
      </c>
      <c r="C2354" s="4" t="inlineStr">
        <is>
          <t>W00031886A</t>
        </is>
      </c>
      <c r="D2354" s="6">
        <f>IF(F2354&gt;=5, F2354-5, IF(F2354&lt;5, 0, F2354))</f>
        <v/>
      </c>
      <c r="E2354">
        <f>VLOOKUP(B2354,[1]Namshi!$A:$B,2,0)</f>
        <v/>
      </c>
      <c r="F2354" s="4">
        <f>SUMIFS('Dubai Stock'!I:I,'Dubai Stock'!H:H,Final_UAE!B:B)</f>
        <v/>
      </c>
      <c r="H2354" s="8" t="e">
        <v>#N/A</v>
      </c>
      <c r="I2354" s="8" t="n"/>
    </row>
    <row r="2355">
      <c r="A2355" s="4" t="n">
        <v>33834</v>
      </c>
      <c r="B2355" s="4" t="inlineStr">
        <is>
          <t>clstdai-acu-mois-p90-sp0150</t>
        </is>
      </c>
      <c r="C2355" s="4" t="inlineStr">
        <is>
          <t>W00031886A</t>
        </is>
      </c>
      <c r="D2355" s="6">
        <f>IF(F2355&gt;=5, F2355-5, IF(F2355&lt;5, 0, F2355))</f>
        <v/>
      </c>
      <c r="E2355">
        <f>VLOOKUP(B2355,[1]Namshi!$A:$B,2,0)</f>
        <v/>
      </c>
      <c r="F2355" s="4">
        <f>SUMIFS('Dubai Stock'!I:I,'Dubai Stock'!H:H,Final_UAE!B:B)</f>
        <v/>
      </c>
      <c r="H2355" s="8" t="e">
        <v>#N/A</v>
      </c>
      <c r="I2355" s="8" t="n"/>
    </row>
    <row r="2356">
      <c r="A2356" s="4" t="n">
        <v>33834</v>
      </c>
      <c r="B2356" s="4" t="inlineStr">
        <is>
          <t>costmon-ama-2022-p02-dream-sn0425</t>
        </is>
      </c>
      <c r="C2356" s="4" t="inlineStr">
        <is>
          <t>W00031886A</t>
        </is>
      </c>
      <c r="D2356" s="6">
        <f>IF(F2356&gt;=5, F2356-5, IF(F2356&lt;5, 0, F2356))</f>
        <v/>
      </c>
      <c r="E2356">
        <f>VLOOKUP(B2356,[1]Namshi!$A:$B,2,0)</f>
        <v/>
      </c>
      <c r="F2356" s="4">
        <f>SUMIFS('Dubai Stock'!I:I,'Dubai Stock'!H:H,Final_UAE!B:B)</f>
        <v/>
      </c>
      <c r="H2356" s="8" t="e">
        <v>#N/A</v>
      </c>
      <c r="I2356" s="8" t="n"/>
    </row>
    <row r="2357">
      <c r="A2357" s="4" t="n">
        <v>33834</v>
      </c>
      <c r="B2357" s="4" t="inlineStr">
        <is>
          <t>su20101-30s-000206-0101-52</t>
        </is>
      </c>
      <c r="C2357" s="4" t="inlineStr">
        <is>
          <t>W00031886A</t>
        </is>
      </c>
      <c r="D2357" s="6">
        <f>IF(F2357&gt;=5, F2357-5, IF(F2357&lt;5, 0, F2357))</f>
        <v/>
      </c>
      <c r="E2357">
        <f>VLOOKUP(B2357,[1]Namshi!$A:$B,2,0)</f>
        <v/>
      </c>
      <c r="F2357" s="4">
        <f>SUMIFS('Dubai Stock'!I:I,'Dubai Stock'!H:H,Final_UAE!B:B)</f>
        <v/>
      </c>
      <c r="H2357" s="8" t="e">
        <v>#N/A</v>
      </c>
    </row>
    <row r="2358">
      <c r="A2358" s="4" t="n">
        <v>33834</v>
      </c>
      <c r="B2358" s="4" t="inlineStr">
        <is>
          <t>clstdai-btr-oned-p30-sn0700</t>
        </is>
      </c>
      <c r="C2358" s="4" t="inlineStr">
        <is>
          <t>W00031886A</t>
        </is>
      </c>
      <c r="D2358" s="6">
        <f>IF(F2358&gt;=5, F2358-5, IF(F2358&lt;5, 0, F2358))</f>
        <v/>
      </c>
      <c r="E2358">
        <f>VLOOKUP(B2358,[1]Namshi!$A:$B,2,0)</f>
        <v/>
      </c>
      <c r="F2358" s="4">
        <f>SUMIFS('Dubai Stock'!I:I,'Dubai Stock'!H:H,Final_UAE!B:B)</f>
        <v/>
      </c>
      <c r="H2358" s="8" t="e">
        <v>#N/A</v>
      </c>
      <c r="I2358" s="8" t="n"/>
    </row>
    <row r="2359">
      <c r="A2359" s="4" t="n">
        <v>33834</v>
      </c>
      <c r="B2359" s="4" t="inlineStr">
        <is>
          <t>sw30107-30s-000238-0101-51</t>
        </is>
      </c>
      <c r="C2359" s="4" t="inlineStr">
        <is>
          <t>W00031886A</t>
        </is>
      </c>
      <c r="D2359" s="6">
        <f>IF(F2359&gt;=5, F2359-5, IF(F2359&lt;5, 0, F2359))</f>
        <v/>
      </c>
      <c r="E2359">
        <f>VLOOKUP(B2359,[1]Namshi!$A:$B,2,0)</f>
        <v/>
      </c>
      <c r="F2359" s="4">
        <f>SUMIFS('Dubai Stock'!I:I,'Dubai Stock'!H:H,Final_UAE!B:B)</f>
        <v/>
      </c>
      <c r="H2359" s="8" t="e">
        <v>#N/A</v>
      </c>
    </row>
    <row r="2360">
      <c r="A2360" s="4" t="n">
        <v>33834</v>
      </c>
      <c r="B2360" s="4" t="inlineStr">
        <is>
          <t>clstdai-acu-dfna-p30-sn0250</t>
        </is>
      </c>
      <c r="C2360" s="4" t="inlineStr">
        <is>
          <t>W00031886A</t>
        </is>
      </c>
      <c r="D2360" s="6">
        <f>IF(F2360&gt;=5, F2360-5, IF(F2360&lt;5, 0, F2360))</f>
        <v/>
      </c>
      <c r="E2360">
        <f>VLOOKUP(B2360,[1]Namshi!$A:$B,2,0)</f>
        <v/>
      </c>
      <c r="F2360" s="4">
        <f>SUMIFS('Dubai Stock'!I:I,'Dubai Stock'!H:H,Final_UAE!B:B)</f>
        <v/>
      </c>
      <c r="H2360" s="8" t="e">
        <v>#N/A</v>
      </c>
      <c r="I2360" s="8" t="n"/>
    </row>
    <row r="2361">
      <c r="A2361" s="4" t="n">
        <v>33834</v>
      </c>
      <c r="B2361" s="4" t="inlineStr">
        <is>
          <t>clstdai-acu-dfrb-p60-sn0375</t>
        </is>
      </c>
      <c r="C2361" s="4" t="inlineStr">
        <is>
          <t>W00031886A</t>
        </is>
      </c>
      <c r="D2361" s="6">
        <f>IF(F2361&gt;=5, F2361-5, IF(F2361&lt;5, 0, F2361))</f>
        <v/>
      </c>
      <c r="E2361">
        <f>VLOOKUP(B2361,[1]Namshi!$A:$B,2,0)</f>
        <v/>
      </c>
      <c r="F2361" s="4">
        <f>SUMIFS('Dubai Stock'!I:I,'Dubai Stock'!H:H,Final_UAE!B:B)</f>
        <v/>
      </c>
      <c r="H2361" s="8" t="e">
        <v>#N/A</v>
      </c>
      <c r="I2361" s="8" t="n"/>
    </row>
    <row r="2362">
      <c r="A2362" s="4" t="n">
        <v>33834</v>
      </c>
      <c r="B2362" s="4" t="inlineStr">
        <is>
          <t>sacchan-30s-chain120-gld-gia-ii-gold</t>
        </is>
      </c>
      <c r="C2362" s="4" t="inlineStr">
        <is>
          <t>W00031886A</t>
        </is>
      </c>
      <c r="D2362" s="6">
        <f>IF(F2362&gt;=5, F2362-5, IF(F2362&lt;5, 0, F2362))</f>
        <v/>
      </c>
      <c r="E2362">
        <f>VLOOKUP(B2362,[1]Namshi!$A:$B,2,0)</f>
        <v/>
      </c>
      <c r="F2362" s="4">
        <f>SUMIFS('Dubai Stock'!I:I,'Dubai Stock'!H:H,Final_UAE!B:B)</f>
        <v/>
      </c>
      <c r="H2362" s="8" t="e">
        <v>#N/A</v>
      </c>
      <c r="I2362" s="8" t="n"/>
    </row>
    <row r="2363">
      <c r="A2363" s="4" t="n">
        <v>33834</v>
      </c>
      <c r="B2363" s="4" t="inlineStr">
        <is>
          <t>clstdai-lay-cont-p60-dazzle-black-sn0075</t>
        </is>
      </c>
      <c r="C2363" s="4" t="inlineStr">
        <is>
          <t>W00031886A</t>
        </is>
      </c>
      <c r="D2363" s="6">
        <f>IF(F2363&gt;=5, F2363-5, IF(F2363&lt;5, 0, F2363))</f>
        <v/>
      </c>
      <c r="E2363">
        <f>VLOOKUP(B2363,[1]Namshi!$A:$B,2,0)</f>
        <v/>
      </c>
      <c r="F2363" s="4">
        <f>SUMIFS('Dubai Stock'!I:I,'Dubai Stock'!H:H,Final_UAE!B:B)</f>
        <v/>
      </c>
      <c r="H2363" s="8" t="e">
        <v>#N/A</v>
      </c>
      <c r="I2363" s="8" t="n"/>
    </row>
    <row r="2364">
      <c r="A2364" s="4" t="n">
        <v>33834</v>
      </c>
      <c r="B2364" s="4" t="inlineStr">
        <is>
          <t>su20102-bla-000238-0502-49</t>
        </is>
      </c>
      <c r="C2364" s="4" t="inlineStr">
        <is>
          <t>W00031886A</t>
        </is>
      </c>
      <c r="D2364" s="6">
        <f>IF(F2364&gt;=5, F2364-5, IF(F2364&lt;5, 0, F2364))</f>
        <v/>
      </c>
      <c r="E2364">
        <f>VLOOKUP(B2364,[1]Namshi!$A:$B,2,0)</f>
        <v/>
      </c>
      <c r="F2364" s="4">
        <f>SUMIFS('Dubai Stock'!I:I,'Dubai Stock'!H:H,Final_UAE!B:B)</f>
        <v/>
      </c>
      <c r="H2364" s="8" t="e">
        <v>#N/A</v>
      </c>
    </row>
    <row r="2365">
      <c r="A2365" s="4" t="n">
        <v>33834</v>
      </c>
      <c r="B2365" s="4" t="inlineStr">
        <is>
          <t>fm10218-spc-000636-0218-53</t>
        </is>
      </c>
      <c r="C2365" s="4" t="inlineStr">
        <is>
          <t>W00031886A</t>
        </is>
      </c>
      <c r="D2365" s="6">
        <f>IF(F2365&gt;=5, F2365-5, IF(F2365&lt;5, 0, F2365))</f>
        <v/>
      </c>
      <c r="E2365">
        <f>VLOOKUP(B2365,[1]Namshi!$A:$B,2,0)</f>
        <v/>
      </c>
      <c r="F2365" s="4">
        <f>SUMIFS('Dubai Stock'!I:I,'Dubai Stock'!H:H,Final_UAE!B:B)</f>
        <v/>
      </c>
      <c r="H2365" s="8" t="e">
        <v>#N/A</v>
      </c>
      <c r="I2365" s="8" t="n"/>
    </row>
    <row r="2366">
      <c r="A2366" s="4" t="n">
        <v>33834</v>
      </c>
      <c r="B2366" s="4" t="inlineStr">
        <is>
          <t>clstbiw-acu-0002-p06-sp0050</t>
        </is>
      </c>
      <c r="C2366" s="4" t="inlineStr">
        <is>
          <t>W00031886A</t>
        </is>
      </c>
      <c r="D2366" s="6">
        <f>IF(F2366&gt;=5, F2366-5, IF(F2366&lt;5, 0, F2366))</f>
        <v/>
      </c>
      <c r="E2366">
        <f>VLOOKUP(B2366,[1]Namshi!$A:$B,2,0)</f>
        <v/>
      </c>
      <c r="F2366" s="4">
        <f>SUMIFS('Dubai Stock'!I:I,'Dubai Stock'!H:H,Final_UAE!B:B)</f>
        <v/>
      </c>
      <c r="H2366" s="8" t="e">
        <v>#N/A</v>
      </c>
      <c r="I2366" s="8" t="n"/>
    </row>
    <row r="2367">
      <c r="A2367" s="4" t="n">
        <v>33834</v>
      </c>
      <c r="B2367" s="4" t="inlineStr">
        <is>
          <t>sw100107-30s-000454-0107-54</t>
        </is>
      </c>
      <c r="C2367" s="4" t="inlineStr">
        <is>
          <t>W00031886A</t>
        </is>
      </c>
      <c r="D2367" s="6">
        <f>IF(F2367&gt;=5, F2367-5, IF(F2367&lt;5, 0, F2367))</f>
        <v/>
      </c>
      <c r="E2367">
        <f>VLOOKUP(B2367,[1]Namshi!$A:$B,2,0)</f>
        <v/>
      </c>
      <c r="F2367" s="4">
        <f>SUMIFS('Dubai Stock'!I:I,'Dubai Stock'!H:H,Final_UAE!B:B)</f>
        <v/>
      </c>
      <c r="H2367" s="8" t="e">
        <v>#N/A</v>
      </c>
    </row>
    <row r="2368">
      <c r="A2368" s="4" t="n">
        <v>33834</v>
      </c>
      <c r="B2368" s="4" t="inlineStr">
        <is>
          <t>cost3mo-lay-2025-p02-emerald-glow-sn0200</t>
        </is>
      </c>
      <c r="C2368" s="4" t="inlineStr">
        <is>
          <t>W00031886A</t>
        </is>
      </c>
      <c r="D2368" s="6">
        <f>IF(F2368&gt;=5, F2368-5, IF(F2368&lt;5, 0, F2368))</f>
        <v/>
      </c>
      <c r="E2368">
        <f>VLOOKUP(B2368,[1]Namshi!$A:$B,2,0)</f>
        <v/>
      </c>
      <c r="F2368" s="4">
        <f>SUMIFS('Dubai Stock'!I:I,'Dubai Stock'!H:H,Final_UAE!B:B)</f>
        <v/>
      </c>
      <c r="H2368" s="8" t="e">
        <v>#N/A</v>
      </c>
      <c r="I2368" s="8" t="n"/>
    </row>
    <row r="2369">
      <c r="A2369" s="4" t="n">
        <v>33834</v>
      </c>
      <c r="B2369" s="4" t="inlineStr">
        <is>
          <t>sw30107-30s-000273-0101-54</t>
        </is>
      </c>
      <c r="C2369" s="4" t="inlineStr">
        <is>
          <t>W00031886A</t>
        </is>
      </c>
      <c r="D2369" s="6">
        <f>IF(F2369&gt;=5, F2369-5, IF(F2369&lt;5, 0, F2369))</f>
        <v/>
      </c>
      <c r="E2369">
        <f>VLOOKUP(B2369,[1]Namshi!$A:$B,2,0)</f>
        <v/>
      </c>
      <c r="F2369" s="4">
        <f>SUMIFS('Dubai Stock'!I:I,'Dubai Stock'!H:H,Final_UAE!B:B)</f>
        <v/>
      </c>
      <c r="H2369" s="8" t="e">
        <v>#N/A</v>
      </c>
    </row>
    <row r="2370">
      <c r="A2370" s="4" t="n">
        <v>33834</v>
      </c>
      <c r="B2370" s="4" t="inlineStr">
        <is>
          <t>sw30202-30s-000291-0202-51</t>
        </is>
      </c>
      <c r="C2370" s="4" t="inlineStr">
        <is>
          <t>W00031886A</t>
        </is>
      </c>
      <c r="D2370" s="6">
        <f>IF(F2370&gt;=5, F2370-5, IF(F2370&lt;5, 0, F2370))</f>
        <v/>
      </c>
      <c r="E2370">
        <f>VLOOKUP(B2370,[1]Namshi!$A:$B,2,0)</f>
        <v/>
      </c>
      <c r="F2370" s="4">
        <f>SUMIFS('Dubai Stock'!I:I,'Dubai Stock'!H:H,Final_UAE!B:B)</f>
        <v/>
      </c>
      <c r="H2370" s="8" t="e">
        <v>#N/A</v>
      </c>
    </row>
    <row r="2371">
      <c r="A2371" s="4" t="n">
        <v>33834</v>
      </c>
      <c r="B2371" s="4" t="inlineStr">
        <is>
          <t>fw20618-spc-000653-0618-47</t>
        </is>
      </c>
      <c r="C2371" s="4" t="inlineStr">
        <is>
          <t>W00031886A</t>
        </is>
      </c>
      <c r="D2371" s="6">
        <f>IF(F2371&gt;=5, F2371-5, IF(F2371&lt;5, 0, F2371))</f>
        <v/>
      </c>
      <c r="E2371">
        <f>VLOOKUP(B2371,[1]Namshi!$A:$B,2,0)</f>
        <v/>
      </c>
      <c r="F2371" s="4">
        <f>SUMIFS('Dubai Stock'!I:I,'Dubai Stock'!H:H,Final_UAE!B:B)</f>
        <v/>
      </c>
      <c r="H2371" s="8" t="e">
        <v>#N/A</v>
      </c>
      <c r="I2371" s="8" t="n"/>
    </row>
    <row r="2372">
      <c r="A2372" s="4" t="n">
        <v>33834</v>
      </c>
      <c r="B2372" s="4" t="inlineStr">
        <is>
          <t>clstdai-dai-aqua-p30-sn0575</t>
        </is>
      </c>
      <c r="C2372" s="4" t="inlineStr">
        <is>
          <t>W00031886A</t>
        </is>
      </c>
      <c r="D2372" s="6">
        <f>IF(F2372&gt;=5, F2372-5, IF(F2372&lt;5, 0, F2372))</f>
        <v/>
      </c>
      <c r="E2372">
        <f>VLOOKUP(B2372,[1]Namshi!$A:$B,2,0)</f>
        <v/>
      </c>
      <c r="F2372" s="4">
        <f>SUMIFS('Dubai Stock'!I:I,'Dubai Stock'!H:H,Final_UAE!B:B)</f>
        <v/>
      </c>
      <c r="H2372" s="8" t="e">
        <v>#N/A</v>
      </c>
      <c r="I2372" s="8" t="n"/>
    </row>
    <row r="2373">
      <c r="A2373" s="4" t="n">
        <v>33834</v>
      </c>
      <c r="B2373" s="4" t="inlineStr">
        <is>
          <t>clstdai-lay-cont-p10-dazzle-brown-sn0300</t>
        </is>
      </c>
      <c r="C2373" s="4" t="inlineStr">
        <is>
          <t>W00031886A</t>
        </is>
      </c>
      <c r="D2373" s="6">
        <f>IF(F2373&gt;=5, F2373-5, IF(F2373&lt;5, 0, F2373))</f>
        <v/>
      </c>
      <c r="E2373">
        <f>VLOOKUP(B2373,[1]Namshi!$A:$B,2,0)</f>
        <v/>
      </c>
      <c r="F2373" s="4">
        <f>SUMIFS('Dubai Stock'!I:I,'Dubai Stock'!H:H,Final_UAE!B:B)</f>
        <v/>
      </c>
      <c r="H2373" s="8" t="e">
        <v>#N/A</v>
      </c>
      <c r="I2373" s="8" t="n"/>
    </row>
    <row r="2374">
      <c r="A2374" s="4" t="n">
        <v>33834</v>
      </c>
      <c r="B2374" s="4" t="inlineStr">
        <is>
          <t>clstdai-sof-sdai-p90-sn0350</t>
        </is>
      </c>
      <c r="C2374" s="4" t="inlineStr">
        <is>
          <t>W00031886A</t>
        </is>
      </c>
      <c r="D2374" s="6">
        <f>IF(F2374&gt;=5, F2374-5, IF(F2374&lt;5, 0, F2374))</f>
        <v/>
      </c>
      <c r="E2374">
        <f>VLOOKUP(B2374,[1]Namshi!$A:$B,2,0)</f>
        <v/>
      </c>
      <c r="F2374" s="4">
        <f>SUMIFS('Dubai Stock'!I:I,'Dubai Stock'!H:H,Final_UAE!B:B)</f>
        <v/>
      </c>
      <c r="H2374" s="8" t="e">
        <v>#N/A</v>
      </c>
      <c r="I2374" s="8" t="n"/>
    </row>
    <row r="2375">
      <c r="A2375" s="4" t="n">
        <v>33834</v>
      </c>
      <c r="B2375" s="4" t="inlineStr">
        <is>
          <t>clstdai-acu-mois-p120-sn0150</t>
        </is>
      </c>
      <c r="C2375" s="4" t="inlineStr">
        <is>
          <t>W00031886A</t>
        </is>
      </c>
      <c r="D2375" s="6">
        <f>IF(F2375&gt;=5, F2375-5, IF(F2375&lt;5, 0, F2375))</f>
        <v/>
      </c>
      <c r="E2375">
        <f>VLOOKUP(B2375,[1]Namshi!$A:$B,2,0)</f>
        <v/>
      </c>
      <c r="F2375" s="4">
        <f>SUMIFS('Dubai Stock'!I:I,'Dubai Stock'!H:H,Final_UAE!B:B)</f>
        <v/>
      </c>
      <c r="H2375" s="8" t="e">
        <v>#N/A</v>
      </c>
      <c r="I2375" s="8" t="n"/>
    </row>
    <row r="2376">
      <c r="A2376" s="4" t="n">
        <v>33834</v>
      </c>
      <c r="B2376" s="4" t="inlineStr">
        <is>
          <t>clstbiw-acu-cle-p06-sn0100</t>
        </is>
      </c>
      <c r="C2376" s="4" t="inlineStr">
        <is>
          <t>W00031886A</t>
        </is>
      </c>
      <c r="D2376" s="6">
        <f>IF(F2376&gt;=5, F2376-5, IF(F2376&lt;5, 0, F2376))</f>
        <v/>
      </c>
      <c r="E2376">
        <f>VLOOKUP(B2376,[1]Namshi!$A:$B,2,0)</f>
        <v/>
      </c>
      <c r="F2376" s="4">
        <f>SUMIFS('Dubai Stock'!I:I,'Dubai Stock'!H:H,Final_UAE!B:B)</f>
        <v/>
      </c>
      <c r="H2376" s="8" t="e">
        <v>#N/A</v>
      </c>
      <c r="I2376" s="8" t="n"/>
    </row>
    <row r="2377">
      <c r="A2377" s="4" t="n">
        <v>33834</v>
      </c>
      <c r="B2377" s="4" t="inlineStr">
        <is>
          <t>clstmon-ava-avai-p06-sp0175</t>
        </is>
      </c>
      <c r="C2377" s="4" t="inlineStr">
        <is>
          <t>W00031886A</t>
        </is>
      </c>
      <c r="D2377" s="6">
        <f>IF(F2377&gt;=5, F2377-5, IF(F2377&lt;5, 0, F2377))</f>
        <v/>
      </c>
      <c r="E2377">
        <f>VLOOKUP(B2377,[1]Namshi!$A:$B,2,0)</f>
        <v/>
      </c>
      <c r="F2377" s="4">
        <f>SUMIFS('Dubai Stock'!I:I,'Dubai Stock'!H:H,Final_UAE!B:B)</f>
        <v/>
      </c>
      <c r="H2377" s="8" t="e">
        <v>#N/A</v>
      </c>
      <c r="I2377" s="8" t="n"/>
    </row>
    <row r="2378">
      <c r="A2378" s="4" t="n">
        <v>33834</v>
      </c>
      <c r="B2378" s="4" t="inlineStr">
        <is>
          <t>clstdai-dai-aqua-p90-sp0350</t>
        </is>
      </c>
      <c r="C2378" s="4" t="inlineStr">
        <is>
          <t>W00031886A</t>
        </is>
      </c>
      <c r="D2378" s="6">
        <f>IF(F2378&gt;=5, F2378-5, IF(F2378&lt;5, 0, F2378))</f>
        <v/>
      </c>
      <c r="E2378">
        <f>VLOOKUP(B2378,[1]Namshi!$A:$B,2,0)</f>
        <v/>
      </c>
      <c r="F2378" s="4">
        <f>SUMIFS('Dubai Stock'!I:I,'Dubai Stock'!H:H,Final_UAE!B:B)</f>
        <v/>
      </c>
      <c r="H2378" s="8" t="e">
        <v>#N/A</v>
      </c>
      <c r="I2378" s="8" t="n"/>
    </row>
    <row r="2379">
      <c r="A2379" s="4" t="n">
        <v>33834</v>
      </c>
      <c r="B2379" s="4" t="inlineStr">
        <is>
          <t>clstdai-acu-mois-p90-sn0575</t>
        </is>
      </c>
      <c r="C2379" s="4" t="inlineStr">
        <is>
          <t>W00031886A</t>
        </is>
      </c>
      <c r="D2379" s="6">
        <f>IF(F2379&gt;=5, F2379-5, IF(F2379&lt;5, 0, F2379))</f>
        <v/>
      </c>
      <c r="E2379">
        <f>VLOOKUP(B2379,[1]Namshi!$A:$B,2,0)</f>
        <v/>
      </c>
      <c r="F2379" s="4">
        <f>SUMIFS('Dubai Stock'!I:I,'Dubai Stock'!H:H,Final_UAE!B:B)</f>
        <v/>
      </c>
      <c r="H2379" s="8" t="e">
        <v>#N/A</v>
      </c>
      <c r="I2379" s="8" t="n"/>
    </row>
    <row r="2380">
      <c r="A2380" s="4" t="n">
        <v>33834</v>
      </c>
      <c r="B2380" s="4" t="inlineStr">
        <is>
          <t>sw50204-bla-000262-0204-56</t>
        </is>
      </c>
      <c r="C2380" s="4" t="inlineStr">
        <is>
          <t>W00031886A</t>
        </is>
      </c>
      <c r="D2380" s="6">
        <f>IF(F2380&gt;=5, F2380-5, IF(F2380&lt;5, 0, F2380))</f>
        <v/>
      </c>
      <c r="E2380">
        <f>VLOOKUP(B2380,[1]Namshi!$A:$B,2,0)</f>
        <v/>
      </c>
      <c r="F2380" s="4">
        <f>SUMIFS('Dubai Stock'!I:I,'Dubai Stock'!H:H,Final_UAE!B:B)</f>
        <v/>
      </c>
      <c r="H2380" s="8" t="e">
        <v>#N/A</v>
      </c>
    </row>
    <row r="2381">
      <c r="A2381" s="4" t="n">
        <v>33834</v>
      </c>
      <c r="B2381" s="4" t="inlineStr">
        <is>
          <t>clstdai-bme-1day-p30-sn0150</t>
        </is>
      </c>
      <c r="C2381" s="4" t="inlineStr">
        <is>
          <t>W00031886A</t>
        </is>
      </c>
      <c r="D2381" s="6">
        <f>IF(F2381&gt;=5, F2381-5, IF(F2381&lt;5, 0, F2381))</f>
        <v/>
      </c>
      <c r="E2381">
        <f>VLOOKUP(B2381,[1]Namshi!$A:$B,2,0)</f>
        <v/>
      </c>
      <c r="F2381" s="4">
        <f>SUMIFS('Dubai Stock'!I:I,'Dubai Stock'!H:H,Final_UAE!B:B)</f>
        <v/>
      </c>
      <c r="H2381" s="8" t="e">
        <v>#N/A</v>
      </c>
      <c r="I2381" s="8" t="n"/>
    </row>
    <row r="2382">
      <c r="A2382" s="4" t="n">
        <v>33834</v>
      </c>
      <c r="B2382" s="4" t="inlineStr">
        <is>
          <t>sacchan-30s-chain107-gld-gold</t>
        </is>
      </c>
      <c r="C2382" s="4" t="inlineStr">
        <is>
          <t>W00031886A</t>
        </is>
      </c>
      <c r="D2382" s="6">
        <f>IF(F2382&gt;=5, F2382-5, IF(F2382&lt;5, 0, F2382))</f>
        <v/>
      </c>
      <c r="E2382">
        <f>VLOOKUP(B2382,[1]Namshi!$A:$B,2,0)</f>
        <v/>
      </c>
      <c r="F2382" s="4">
        <f>SUMIFS('Dubai Stock'!I:I,'Dubai Stock'!H:H,Final_UAE!B:B)</f>
        <v/>
      </c>
      <c r="H2382" s="8" t="e">
        <v>#N/A</v>
      </c>
      <c r="I2382" s="8" t="n"/>
    </row>
    <row r="2383">
      <c r="A2383" s="4" t="n">
        <v>33834</v>
      </c>
      <c r="B2383" s="4" t="inlineStr">
        <is>
          <t>fm21218-spc-000612-1218-49</t>
        </is>
      </c>
      <c r="C2383" s="4" t="inlineStr">
        <is>
          <t>W00031886A</t>
        </is>
      </c>
      <c r="D2383" s="6">
        <f>IF(F2383&gt;=5, F2383-5, IF(F2383&lt;5, 0, F2383))</f>
        <v/>
      </c>
      <c r="E2383">
        <f>VLOOKUP(B2383,[1]Namshi!$A:$B,2,0)</f>
        <v/>
      </c>
      <c r="F2383" s="4">
        <f>SUMIFS('Dubai Stock'!I:I,'Dubai Stock'!H:H,Final_UAE!B:B)</f>
        <v/>
      </c>
      <c r="H2383" s="8" t="e">
        <v>#N/A</v>
      </c>
      <c r="I2383" s="8" t="n"/>
    </row>
    <row r="2384">
      <c r="A2384" s="4" t="n">
        <v>33834</v>
      </c>
      <c r="B2384" s="4" t="inlineStr">
        <is>
          <t>clstbiw-acu-0002-p06-sn1100</t>
        </is>
      </c>
      <c r="C2384" s="4" t="inlineStr">
        <is>
          <t>W00031886A</t>
        </is>
      </c>
      <c r="D2384" s="6">
        <f>IF(F2384&gt;=5, F2384-5, IF(F2384&lt;5, 0, F2384))</f>
        <v/>
      </c>
      <c r="E2384">
        <f>VLOOKUP(B2384,[1]Namshi!$A:$B,2,0)</f>
        <v/>
      </c>
      <c r="F2384" s="4">
        <f>SUMIFS('Dubai Stock'!I:I,'Dubai Stock'!H:H,Final_UAE!B:B)</f>
        <v/>
      </c>
      <c r="H2384" s="8" t="e">
        <v>#N/A</v>
      </c>
      <c r="I2384" s="8" t="n"/>
    </row>
    <row r="2385">
      <c r="A2385" s="4" t="n">
        <v>33834</v>
      </c>
      <c r="B2385" s="4" t="inlineStr">
        <is>
          <t>costdai-acu-dffr-p30-green-sn0225</t>
        </is>
      </c>
      <c r="C2385" s="4" t="inlineStr">
        <is>
          <t>W00031886A</t>
        </is>
      </c>
      <c r="D2385" s="6">
        <f>IF(F2385&gt;=5, F2385-5, IF(F2385&lt;5, 0, F2385))</f>
        <v/>
      </c>
      <c r="E2385">
        <f>VLOOKUP(B2385,[1]Namshi!$A:$B,2,0)</f>
        <v/>
      </c>
      <c r="F2385" s="4">
        <f>SUMIFS('Dubai Stock'!I:I,'Dubai Stock'!H:H,Final_UAE!B:B)</f>
        <v/>
      </c>
      <c r="H2385" s="8" t="e">
        <v>#N/A</v>
      </c>
      <c r="I2385" s="8" t="n"/>
    </row>
    <row r="2386">
      <c r="A2386" s="4" t="n">
        <v>33834</v>
      </c>
      <c r="B2386" s="4" t="inlineStr">
        <is>
          <t>sw30107-30s-000111-0107-63</t>
        </is>
      </c>
      <c r="C2386" s="4" t="inlineStr">
        <is>
          <t>W00031886A</t>
        </is>
      </c>
      <c r="D2386" s="6">
        <f>IF(F2386&gt;=5, F2386-5, IF(F2386&lt;5, 0, F2386))</f>
        <v/>
      </c>
      <c r="E2386">
        <f>VLOOKUP(B2386,[1]Namshi!$A:$B,2,0)</f>
        <v/>
      </c>
      <c r="F2386" s="4">
        <f>SUMIFS('Dubai Stock'!I:I,'Dubai Stock'!H:H,Final_UAE!B:B)</f>
        <v/>
      </c>
      <c r="H2386" s="8" t="e">
        <v>#N/A</v>
      </c>
    </row>
    <row r="2387">
      <c r="A2387" s="4" t="n">
        <v>33834</v>
      </c>
      <c r="B2387" s="4" t="inlineStr">
        <is>
          <t>sm110606-30s-000451-0606-49</t>
        </is>
      </c>
      <c r="C2387" s="4" t="inlineStr">
        <is>
          <t>W00031886A</t>
        </is>
      </c>
      <c r="D2387" s="6">
        <f>IF(F2387&gt;=5, F2387-5, IF(F2387&lt;5, 0, F2387))</f>
        <v/>
      </c>
      <c r="E2387">
        <f>VLOOKUP(B2387,[1]Namshi!$A:$B,2,0)</f>
        <v/>
      </c>
      <c r="F2387" s="4">
        <f>SUMIFS('Dubai Stock'!I:I,'Dubai Stock'!H:H,Final_UAE!B:B)</f>
        <v/>
      </c>
      <c r="H2387" s="8" t="e">
        <v>#N/A</v>
      </c>
    </row>
    <row r="2388">
      <c r="A2388" s="4" t="n">
        <v>33834</v>
      </c>
      <c r="B2388" s="4" t="inlineStr">
        <is>
          <t>cltobiw-acu-oasy-p06-sn0350-cn0075-a080</t>
        </is>
      </c>
      <c r="C2388" s="4" t="inlineStr">
        <is>
          <t>W00031886A</t>
        </is>
      </c>
      <c r="D2388" s="6">
        <f>IF(F2388&gt;=5, F2388-5, IF(F2388&lt;5, 0, F2388))</f>
        <v/>
      </c>
      <c r="E2388">
        <f>VLOOKUP(B2388,[1]Namshi!$A:$B,2,0)</f>
        <v/>
      </c>
      <c r="F2388" s="4">
        <f>SUMIFS('Dubai Stock'!I:I,'Dubai Stock'!H:H,Final_UAE!B:B)</f>
        <v/>
      </c>
      <c r="H2388" s="8" t="e">
        <v>#N/A</v>
      </c>
      <c r="I2388" s="8" t="n"/>
    </row>
    <row r="2389">
      <c r="A2389" s="4" t="n">
        <v>33834</v>
      </c>
      <c r="B2389" s="4" t="inlineStr">
        <is>
          <t>clstdai-lay-cont-p10-dazzle-black-sn0900</t>
        </is>
      </c>
      <c r="C2389" s="4" t="inlineStr">
        <is>
          <t>W00031886A</t>
        </is>
      </c>
      <c r="D2389" s="6">
        <f>IF(F2389&gt;=5, F2389-5, IF(F2389&lt;5, 0, F2389))</f>
        <v/>
      </c>
      <c r="E2389">
        <f>VLOOKUP(B2389,[1]Namshi!$A:$B,2,0)</f>
        <v/>
      </c>
      <c r="F2389" s="4">
        <f>SUMIFS('Dubai Stock'!I:I,'Dubai Stock'!H:H,Final_UAE!B:B)</f>
        <v/>
      </c>
      <c r="H2389" s="8" t="e">
        <v>#N/A</v>
      </c>
      <c r="I2389" s="8" t="n"/>
    </row>
    <row r="2390">
      <c r="A2390" s="4" t="n">
        <v>33834</v>
      </c>
      <c r="B2390" s="4" t="inlineStr">
        <is>
          <t>clstdai-dai-aqua-p90-sp0475</t>
        </is>
      </c>
      <c r="C2390" s="4" t="inlineStr">
        <is>
          <t>W00031886A</t>
        </is>
      </c>
      <c r="D2390" s="6">
        <f>IF(F2390&gt;=5, F2390-5, IF(F2390&lt;5, 0, F2390))</f>
        <v/>
      </c>
      <c r="E2390">
        <f>VLOOKUP(B2390,[1]Namshi!$A:$B,2,0)</f>
        <v/>
      </c>
      <c r="F2390" s="4">
        <f>SUMIFS('Dubai Stock'!I:I,'Dubai Stock'!H:H,Final_UAE!B:B)</f>
        <v/>
      </c>
      <c r="H2390" s="8" t="e">
        <v>#N/A</v>
      </c>
      <c r="I2390" s="8" t="n"/>
    </row>
    <row r="2391">
      <c r="A2391" s="4" t="n">
        <v>33834</v>
      </c>
      <c r="B2391" s="4" t="inlineStr">
        <is>
          <t>fu71218-spc-000512-1200-51</t>
        </is>
      </c>
      <c r="C2391" s="4" t="inlineStr">
        <is>
          <t>W00031886A</t>
        </is>
      </c>
      <c r="D2391" s="6">
        <f>IF(F2391&gt;=5, F2391-5, IF(F2391&lt;5, 0, F2391))</f>
        <v/>
      </c>
      <c r="E2391">
        <f>VLOOKUP(B2391,[1]Namshi!$A:$B,2,0)</f>
        <v/>
      </c>
      <c r="F2391" s="4">
        <f>SUMIFS('Dubai Stock'!I:I,'Dubai Stock'!H:H,Final_UAE!B:B)</f>
        <v/>
      </c>
      <c r="H2391" s="8" t="e">
        <v>#N/A</v>
      </c>
      <c r="I2391" s="8" t="n"/>
    </row>
    <row r="2392">
      <c r="A2392" s="4" t="n">
        <v>33834</v>
      </c>
      <c r="B2392" s="4" t="inlineStr">
        <is>
          <t>su100404-bla-000317-0404-52</t>
        </is>
      </c>
      <c r="C2392" s="4" t="inlineStr">
        <is>
          <t>W00031886A</t>
        </is>
      </c>
      <c r="D2392" s="6">
        <f>IF(F2392&gt;=5, F2392-5, IF(F2392&lt;5, 0, F2392))</f>
        <v/>
      </c>
      <c r="E2392">
        <f>VLOOKUP(B2392,[1]Namshi!$A:$B,2,0)</f>
        <v/>
      </c>
      <c r="F2392" s="4">
        <f>SUMIFS('Dubai Stock'!I:I,'Dubai Stock'!H:H,Final_UAE!B:B)</f>
        <v/>
      </c>
      <c r="H2392" s="8" t="e">
        <v>#N/A</v>
      </c>
    </row>
    <row r="2393">
      <c r="A2393" s="4" t="n">
        <v>33834</v>
      </c>
      <c r="B2393" s="4" t="inlineStr">
        <is>
          <t>cost3mo-lay-2021-p02-skye-blue-sp0000</t>
        </is>
      </c>
      <c r="C2393" s="4" t="inlineStr">
        <is>
          <t>W00031886A</t>
        </is>
      </c>
      <c r="D2393" s="6">
        <f>IF(F2393&gt;=5, F2393-5, IF(F2393&lt;5, 0, F2393))</f>
        <v/>
      </c>
      <c r="E2393">
        <f>VLOOKUP(B2393,[1]Namshi!$A:$B,2,0)</f>
        <v/>
      </c>
      <c r="F2393" s="4">
        <f>SUMIFS('Dubai Stock'!I:I,'Dubai Stock'!H:H,Final_UAE!B:B)</f>
        <v/>
      </c>
      <c r="H2393" s="8" t="e">
        <v>#N/A</v>
      </c>
      <c r="I2393" s="8" t="n"/>
    </row>
    <row r="2394">
      <c r="A2394" s="4" t="n">
        <v>33834</v>
      </c>
      <c r="B2394" s="4" t="inlineStr">
        <is>
          <t>costdai-ama-dail-p10-moon-stone-sn0450</t>
        </is>
      </c>
      <c r="C2394" s="4" t="inlineStr">
        <is>
          <t>W00031886A</t>
        </is>
      </c>
      <c r="D2394" s="6">
        <f>IF(F2394&gt;=5, F2394-5, IF(F2394&lt;5, 0, F2394))</f>
        <v/>
      </c>
      <c r="E2394">
        <f>VLOOKUP(B2394,[1]Namshi!$A:$B,2,0)</f>
        <v/>
      </c>
      <c r="F2394" s="4">
        <f>SUMIFS('Dubai Stock'!I:I,'Dubai Stock'!H:H,Final_UAE!B:B)</f>
        <v/>
      </c>
      <c r="H2394" s="8" t="e">
        <v>#N/A</v>
      </c>
      <c r="I2394" s="8" t="n"/>
    </row>
    <row r="2395">
      <c r="A2395" s="4" t="n">
        <v>33834</v>
      </c>
      <c r="B2395" s="4" t="inlineStr">
        <is>
          <t>costdai-acu-dffr-p10-green-sn0150</t>
        </is>
      </c>
      <c r="C2395" s="4" t="inlineStr">
        <is>
          <t>W00031886A</t>
        </is>
      </c>
      <c r="D2395" s="6">
        <f>IF(F2395&gt;=5, F2395-5, IF(F2395&lt;5, 0, F2395))</f>
        <v/>
      </c>
      <c r="E2395">
        <f>VLOOKUP(B2395,[1]Namshi!$A:$B,2,0)</f>
        <v/>
      </c>
      <c r="F2395" s="4">
        <f>SUMIFS('Dubai Stock'!I:I,'Dubai Stock'!H:H,Final_UAE!B:B)</f>
        <v/>
      </c>
      <c r="H2395" s="8" t="e">
        <v>#N/A</v>
      </c>
      <c r="I2395" s="8" t="n"/>
    </row>
    <row r="2396">
      <c r="A2396" s="4" t="n">
        <v>33834</v>
      </c>
      <c r="B2396" s="4" t="inlineStr">
        <is>
          <t>clstdai-dai-aqua-p30-sn1350</t>
        </is>
      </c>
      <c r="C2396" s="4" t="inlineStr">
        <is>
          <t>W00031886A</t>
        </is>
      </c>
      <c r="D2396" s="6">
        <f>IF(F2396&gt;=5, F2396-5, IF(F2396&lt;5, 0, F2396))</f>
        <v/>
      </c>
      <c r="E2396">
        <f>VLOOKUP(B2396,[1]Namshi!$A:$B,2,0)</f>
        <v/>
      </c>
      <c r="F2396" s="4">
        <f>SUMIFS('Dubai Stock'!I:I,'Dubai Stock'!H:H,Final_UAE!B:B)</f>
        <v/>
      </c>
      <c r="H2396" s="8" t="e">
        <v>#N/A</v>
      </c>
      <c r="I2396" s="8" t="n"/>
    </row>
    <row r="2397">
      <c r="A2397" s="4" t="n">
        <v>33834</v>
      </c>
      <c r="B2397" s="4" t="inlineStr">
        <is>
          <t>sw30107-30s-000127-0107-49</t>
        </is>
      </c>
      <c r="C2397" s="4" t="inlineStr">
        <is>
          <t>W00031886A</t>
        </is>
      </c>
      <c r="D2397" s="6">
        <f>IF(F2397&gt;=5, F2397-5, IF(F2397&lt;5, 0, F2397))</f>
        <v/>
      </c>
      <c r="E2397">
        <f>VLOOKUP(B2397,[1]Namshi!$A:$B,2,0)</f>
        <v/>
      </c>
      <c r="F2397" s="4">
        <f>SUMIFS('Dubai Stock'!I:I,'Dubai Stock'!H:H,Final_UAE!B:B)</f>
        <v/>
      </c>
      <c r="H2397" s="8" t="e">
        <v>#N/A</v>
      </c>
    </row>
    <row r="2398">
      <c r="A2398" s="4" t="n">
        <v>33834</v>
      </c>
      <c r="B2398" s="4" t="inlineStr">
        <is>
          <t>costdai-acu-dffr-p30-grayzel-sn0475</t>
        </is>
      </c>
      <c r="C2398" s="4" t="inlineStr">
        <is>
          <t>W00031886A</t>
        </is>
      </c>
      <c r="D2398" s="6">
        <f>IF(F2398&gt;=5, F2398-5, IF(F2398&lt;5, 0, F2398))</f>
        <v/>
      </c>
      <c r="E2398">
        <f>VLOOKUP(B2398,[1]Namshi!$A:$B,2,0)</f>
        <v/>
      </c>
      <c r="F2398" s="4">
        <f>SUMIFS('Dubai Stock'!I:I,'Dubai Stock'!H:H,Final_UAE!B:B)</f>
        <v/>
      </c>
      <c r="H2398" s="8" t="e">
        <v>#N/A</v>
      </c>
      <c r="I2398" s="8" t="n"/>
    </row>
    <row r="2399">
      <c r="A2399" s="4" t="n">
        <v>33834</v>
      </c>
      <c r="B2399" s="4" t="inlineStr">
        <is>
          <t>sw11202-30s-000288-1202-49</t>
        </is>
      </c>
      <c r="C2399" s="4" t="inlineStr">
        <is>
          <t>W00031886A</t>
        </is>
      </c>
      <c r="D2399" s="6">
        <f>IF(F2399&gt;=5, F2399-5, IF(F2399&lt;5, 0, F2399))</f>
        <v/>
      </c>
      <c r="E2399">
        <f>VLOOKUP(B2399,[1]Namshi!$A:$B,2,0)</f>
        <v/>
      </c>
      <c r="F2399" s="4">
        <f>SUMIFS('Dubai Stock'!I:I,'Dubai Stock'!H:H,Final_UAE!B:B)</f>
        <v/>
      </c>
      <c r="H2399" s="8" t="e">
        <v>#N/A</v>
      </c>
    </row>
    <row r="2400">
      <c r="A2400" s="4" t="n">
        <v>33834</v>
      </c>
      <c r="B2400" s="4" t="inlineStr">
        <is>
          <t>clstbiw-acu-0002-p06-sn0575</t>
        </is>
      </c>
      <c r="C2400" s="4" t="inlineStr">
        <is>
          <t>W00031886A</t>
        </is>
      </c>
      <c r="D2400" s="6">
        <f>IF(F2400&gt;=5, F2400-5, IF(F2400&lt;5, 0, F2400))</f>
        <v/>
      </c>
      <c r="E2400">
        <f>VLOOKUP(B2400,[1]Namshi!$A:$B,2,0)</f>
        <v/>
      </c>
      <c r="F2400" s="4">
        <f>SUMIFS('Dubai Stock'!I:I,'Dubai Stock'!H:H,Final_UAE!B:B)</f>
        <v/>
      </c>
      <c r="H2400" s="8" t="e">
        <v>#N/A</v>
      </c>
      <c r="I2400" s="8" t="n"/>
    </row>
    <row r="2401">
      <c r="A2401" s="4" t="n">
        <v>33834</v>
      </c>
      <c r="B2401" s="4" t="inlineStr">
        <is>
          <t>clstdai-eve-elit-p90-sn0650</t>
        </is>
      </c>
      <c r="C2401" s="4" t="inlineStr">
        <is>
          <t>W00031886A</t>
        </is>
      </c>
      <c r="D2401" s="6">
        <f>IF(F2401&gt;=5, F2401-5, IF(F2401&lt;5, 0, F2401))</f>
        <v/>
      </c>
      <c r="E2401">
        <f>VLOOKUP(B2401,[1]Namshi!$A:$B,2,0)</f>
        <v/>
      </c>
      <c r="F2401" s="4">
        <f>SUMIFS('Dubai Stock'!I:I,'Dubai Stock'!H:H,Final_UAE!B:B)</f>
        <v/>
      </c>
      <c r="H2401" s="8" t="n">
        <v>729</v>
      </c>
      <c r="I2401" s="8" t="n">
        <v>357</v>
      </c>
    </row>
    <row r="2402">
      <c r="A2402" s="4" t="n">
        <v>33834</v>
      </c>
      <c r="B2402" s="4" t="inlineStr">
        <is>
          <t>costmon-ama-lens-p02-mocca-sn0325</t>
        </is>
      </c>
      <c r="C2402" s="4" t="inlineStr">
        <is>
          <t>W00031886A</t>
        </is>
      </c>
      <c r="D2402" s="6">
        <f>IF(F2402&gt;=5, F2402-5, IF(F2402&lt;5, 0, F2402))</f>
        <v/>
      </c>
      <c r="E2402">
        <f>VLOOKUP(B2402,[1]Namshi!$A:$B,2,0)</f>
        <v/>
      </c>
      <c r="F2402" s="4">
        <f>SUMIFS('Dubai Stock'!I:I,'Dubai Stock'!H:H,Final_UAE!B:B)</f>
        <v/>
      </c>
      <c r="H2402" s="8" t="e">
        <v>#N/A</v>
      </c>
      <c r="I2402" s="8" t="n"/>
    </row>
    <row r="2403">
      <c r="A2403" s="4" t="n">
        <v>33834</v>
      </c>
      <c r="B2403" s="4" t="inlineStr">
        <is>
          <t>clstdai-acu-omax-p90-sp0575</t>
        </is>
      </c>
      <c r="C2403" s="4" t="inlineStr">
        <is>
          <t>W00031886A</t>
        </is>
      </c>
      <c r="D2403" s="6">
        <f>IF(F2403&gt;=5, F2403-5, IF(F2403&lt;5, 0, F2403))</f>
        <v/>
      </c>
      <c r="E2403">
        <f>VLOOKUP(B2403,[1]Namshi!$A:$B,2,0)</f>
        <v/>
      </c>
      <c r="F2403" s="4">
        <f>SUMIFS('Dubai Stock'!I:I,'Dubai Stock'!H:H,Final_UAE!B:B)</f>
        <v/>
      </c>
      <c r="H2403" s="8" t="e">
        <v>#N/A</v>
      </c>
      <c r="I2403" s="8" t="n"/>
    </row>
    <row r="2404">
      <c r="A2404" s="4" t="n">
        <v>33834</v>
      </c>
      <c r="B2404" s="4" t="inlineStr">
        <is>
          <t>clstbiw-acu-oasy-p06-sp0175</t>
        </is>
      </c>
      <c r="C2404" s="4" t="inlineStr">
        <is>
          <t>W00031886A</t>
        </is>
      </c>
      <c r="D2404" s="6">
        <f>IF(F2404&gt;=5, F2404-5, IF(F2404&lt;5, 0, F2404))</f>
        <v/>
      </c>
      <c r="E2404">
        <f>VLOOKUP(B2404,[1]Namshi!$A:$B,2,0)</f>
        <v/>
      </c>
      <c r="F2404" s="4">
        <f>SUMIFS('Dubai Stock'!I:I,'Dubai Stock'!H:H,Final_UAE!B:B)</f>
        <v/>
      </c>
      <c r="H2404" s="8" t="e">
        <v>#N/A</v>
      </c>
      <c r="I2404" s="8" t="n"/>
    </row>
    <row r="2405">
      <c r="A2405" s="4" t="n">
        <v>33834</v>
      </c>
      <c r="B2405" s="4" t="inlineStr">
        <is>
          <t>cost3mo-lay-2025-p02-desert-topaz-sn0375</t>
        </is>
      </c>
      <c r="C2405" s="4" t="inlineStr">
        <is>
          <t>W00031886A</t>
        </is>
      </c>
      <c r="D2405" s="6">
        <f>IF(F2405&gt;=5, F2405-5, IF(F2405&lt;5, 0, F2405))</f>
        <v/>
      </c>
      <c r="E2405">
        <f>VLOOKUP(B2405,[1]Namshi!$A:$B,2,0)</f>
        <v/>
      </c>
      <c r="F2405" s="4">
        <f>SUMIFS('Dubai Stock'!I:I,'Dubai Stock'!H:H,Final_UAE!B:B)</f>
        <v/>
      </c>
      <c r="H2405" s="8" t="e">
        <v>#N/A</v>
      </c>
      <c r="I2405" s="8" t="n"/>
    </row>
    <row r="2406">
      <c r="A2406" s="4" t="n">
        <v>33834</v>
      </c>
      <c r="B2406" s="4" t="inlineStr">
        <is>
          <t>clstdai-dai-aqua-p90-sn1400</t>
        </is>
      </c>
      <c r="C2406" s="4" t="inlineStr">
        <is>
          <t>W00031886A</t>
        </is>
      </c>
      <c r="D2406" s="6">
        <f>IF(F2406&gt;=5, F2406-5, IF(F2406&lt;5, 0, F2406))</f>
        <v/>
      </c>
      <c r="E2406">
        <f>VLOOKUP(B2406,[1]Namshi!$A:$B,2,0)</f>
        <v/>
      </c>
      <c r="F2406" s="4">
        <f>SUMIFS('Dubai Stock'!I:I,'Dubai Stock'!H:H,Final_UAE!B:B)</f>
        <v/>
      </c>
      <c r="H2406" s="8" t="e">
        <v>#N/A</v>
      </c>
      <c r="I2406" s="8" t="n"/>
    </row>
    <row r="2407">
      <c r="A2407" s="4" t="n">
        <v>33834</v>
      </c>
      <c r="B2407" s="4" t="inlineStr">
        <is>
          <t>cost3mo-lay-2020-p02-ash-gray-sn0200</t>
        </is>
      </c>
      <c r="C2407" s="4" t="inlineStr">
        <is>
          <t>W00031886A</t>
        </is>
      </c>
      <c r="D2407" s="6">
        <f>IF(F2407&gt;=5, F2407-5, IF(F2407&lt;5, 0, F2407))</f>
        <v/>
      </c>
      <c r="E2407">
        <f>VLOOKUP(B2407,[1]Namshi!$A:$B,2,0)</f>
        <v/>
      </c>
      <c r="F2407" s="4">
        <f>SUMIFS('Dubai Stock'!I:I,'Dubai Stock'!H:H,Final_UAE!B:B)</f>
        <v/>
      </c>
      <c r="H2407" s="8" t="e">
        <v>#N/A</v>
      </c>
      <c r="I2407" s="8" t="n"/>
    </row>
    <row r="2408">
      <c r="A2408" s="4" t="n">
        <v>33834</v>
      </c>
      <c r="B2408" s="4" t="inlineStr">
        <is>
          <t>clstdai-eve-pure-p30-sn0325</t>
        </is>
      </c>
      <c r="C2408" s="4" t="inlineStr">
        <is>
          <t>W00031886A</t>
        </is>
      </c>
      <c r="D2408" s="6">
        <f>IF(F2408&gt;=5, F2408-5, IF(F2408&lt;5, 0, F2408))</f>
        <v/>
      </c>
      <c r="E2408">
        <f>VLOOKUP(B2408,[1]Namshi!$A:$B,2,0)</f>
        <v/>
      </c>
      <c r="F2408" s="4">
        <f>SUMIFS('Dubai Stock'!I:I,'Dubai Stock'!H:H,Final_UAE!B:B)</f>
        <v/>
      </c>
      <c r="H2408" s="8" t="n">
        <v>186</v>
      </c>
      <c r="I2408" s="8" t="n">
        <v>104.3</v>
      </c>
    </row>
    <row r="2409">
      <c r="A2409" s="4" t="n">
        <v>33834</v>
      </c>
      <c r="B2409" s="4" t="inlineStr">
        <is>
          <t>clstdai-sof-sdai-p30-sn0325</t>
        </is>
      </c>
      <c r="C2409" s="4" t="inlineStr">
        <is>
          <t>W00031886A</t>
        </is>
      </c>
      <c r="D2409" s="6">
        <f>IF(F2409&gt;=5, F2409-5, IF(F2409&lt;5, 0, F2409))</f>
        <v/>
      </c>
      <c r="E2409">
        <f>VLOOKUP(B2409,[1]Namshi!$A:$B,2,0)</f>
        <v/>
      </c>
      <c r="F2409" s="4">
        <f>SUMIFS('Dubai Stock'!I:I,'Dubai Stock'!H:H,Final_UAE!B:B)</f>
        <v/>
      </c>
      <c r="H2409" s="8" t="e">
        <v>#N/A</v>
      </c>
      <c r="I2409" s="8" t="n"/>
    </row>
    <row r="2410">
      <c r="A2410" s="4" t="n">
        <v>33834</v>
      </c>
      <c r="B2410" s="4" t="inlineStr">
        <is>
          <t>cost3mo-lay-lens-p02-golden-brown-sp0000</t>
        </is>
      </c>
      <c r="C2410" s="4" t="inlineStr">
        <is>
          <t>W00031886A</t>
        </is>
      </c>
      <c r="D2410" s="6">
        <f>IF(F2410&gt;=5, F2410-5, IF(F2410&lt;5, 0, F2410))</f>
        <v/>
      </c>
      <c r="E2410">
        <f>VLOOKUP(B2410,[1]Namshi!$A:$B,2,0)</f>
        <v/>
      </c>
      <c r="F2410" s="4">
        <f>SUMIFS('Dubai Stock'!I:I,'Dubai Stock'!H:H,Final_UAE!B:B)</f>
        <v/>
      </c>
      <c r="H2410" s="8" t="e">
        <v>#N/A</v>
      </c>
      <c r="I2410" s="8" t="n"/>
    </row>
    <row r="2411">
      <c r="A2411" s="4" t="n">
        <v>33834</v>
      </c>
      <c r="B2411" s="4" t="inlineStr">
        <is>
          <t>clstdai-lay-cont-p90-dazzle-brown-sn0650</t>
        </is>
      </c>
      <c r="C2411" s="4" t="inlineStr">
        <is>
          <t>W00031886A</t>
        </is>
      </c>
      <c r="D2411" s="6">
        <f>IF(F2411&gt;=5, F2411-5, IF(F2411&lt;5, 0, F2411))</f>
        <v/>
      </c>
      <c r="E2411">
        <f>VLOOKUP(B2411,[1]Namshi!$A:$B,2,0)</f>
        <v/>
      </c>
      <c r="F2411" s="4">
        <f>SUMIFS('Dubai Stock'!I:I,'Dubai Stock'!H:H,Final_UAE!B:B)</f>
        <v/>
      </c>
      <c r="H2411" s="8" t="e">
        <v>#N/A</v>
      </c>
      <c r="I2411" s="8" t="n"/>
    </row>
    <row r="2412">
      <c r="A2412" s="4" t="n">
        <v>33834</v>
      </c>
      <c r="B2412" s="4" t="inlineStr">
        <is>
          <t>clstdai-eve-pure-p30-sn0600</t>
        </is>
      </c>
      <c r="C2412" s="4" t="inlineStr">
        <is>
          <t>W00031886A</t>
        </is>
      </c>
      <c r="D2412" s="6">
        <f>IF(F2412&gt;=5, F2412-5, IF(F2412&lt;5, 0, F2412))</f>
        <v/>
      </c>
      <c r="E2412">
        <f>VLOOKUP(B2412,[1]Namshi!$A:$B,2,0)</f>
        <v/>
      </c>
      <c r="F2412" s="4">
        <f>SUMIFS('Dubai Stock'!I:I,'Dubai Stock'!H:H,Final_UAE!B:B)</f>
        <v/>
      </c>
      <c r="H2412" s="8" t="n">
        <v>186</v>
      </c>
      <c r="I2412" s="8" t="n">
        <v>104.3</v>
      </c>
    </row>
    <row r="2413">
      <c r="A2413" s="4" t="n">
        <v>33834</v>
      </c>
      <c r="B2413" s="4" t="inlineStr">
        <is>
          <t>sw70404-30s-000259-0404-52</t>
        </is>
      </c>
      <c r="C2413" s="4" t="inlineStr">
        <is>
          <t>W00031886A</t>
        </is>
      </c>
      <c r="D2413" s="6">
        <f>IF(F2413&gt;=5, F2413-5, IF(F2413&lt;5, 0, F2413))</f>
        <v/>
      </c>
      <c r="E2413">
        <f>VLOOKUP(B2413,[1]Namshi!$A:$B,2,0)</f>
        <v/>
      </c>
      <c r="F2413" s="4">
        <f>SUMIFS('Dubai Stock'!I:I,'Dubai Stock'!H:H,Final_UAE!B:B)</f>
        <v/>
      </c>
      <c r="H2413" s="8" t="e">
        <v>#N/A</v>
      </c>
    </row>
    <row r="2414">
      <c r="A2414" s="4" t="n">
        <v>33834</v>
      </c>
      <c r="B2414" s="4" t="inlineStr">
        <is>
          <t>clstdai-acu-oasy-p30-sn0600</t>
        </is>
      </c>
      <c r="C2414" s="4" t="inlineStr">
        <is>
          <t>W00031886A</t>
        </is>
      </c>
      <c r="D2414" s="6">
        <f>IF(F2414&gt;=5, F2414-5, IF(F2414&lt;5, 0, F2414))</f>
        <v/>
      </c>
      <c r="E2414">
        <f>VLOOKUP(B2414,[1]Namshi!$A:$B,2,0)</f>
        <v/>
      </c>
      <c r="F2414" s="4">
        <f>SUMIFS('Dubai Stock'!I:I,'Dubai Stock'!H:H,Final_UAE!B:B)</f>
        <v/>
      </c>
      <c r="H2414" s="8" t="e">
        <v>#N/A</v>
      </c>
      <c r="I2414" s="8" t="n"/>
    </row>
    <row r="2415">
      <c r="A2415" s="4" t="n">
        <v>33834</v>
      </c>
      <c r="B2415" s="4" t="inlineStr">
        <is>
          <t>sw60107-bla-000304-0107-55</t>
        </is>
      </c>
      <c r="C2415" s="4" t="inlineStr">
        <is>
          <t>W00031886A</t>
        </is>
      </c>
      <c r="D2415" s="6">
        <f>IF(F2415&gt;=5, F2415-5, IF(F2415&lt;5, 0, F2415))</f>
        <v/>
      </c>
      <c r="E2415">
        <f>VLOOKUP(B2415,[1]Namshi!$A:$B,2,0)</f>
        <v/>
      </c>
      <c r="F2415" s="4">
        <f>SUMIFS('Dubai Stock'!I:I,'Dubai Stock'!H:H,Final_UAE!B:B)</f>
        <v/>
      </c>
      <c r="H2415" s="8" t="e">
        <v>#N/A</v>
      </c>
    </row>
    <row r="2416">
      <c r="A2416" s="4" t="n">
        <v>33834</v>
      </c>
      <c r="B2416" s="4" t="inlineStr">
        <is>
          <t>clstdai-acu-dfna-p30-sn0225</t>
        </is>
      </c>
      <c r="C2416" s="4" t="inlineStr">
        <is>
          <t>W00031886A</t>
        </is>
      </c>
      <c r="D2416" s="6">
        <f>IF(F2416&gt;=5, F2416-5, IF(F2416&lt;5, 0, F2416))</f>
        <v/>
      </c>
      <c r="E2416">
        <f>VLOOKUP(B2416,[1]Namshi!$A:$B,2,0)</f>
        <v/>
      </c>
      <c r="F2416" s="4">
        <f>SUMIFS('Dubai Stock'!I:I,'Dubai Stock'!H:H,Final_UAE!B:B)</f>
        <v/>
      </c>
      <c r="H2416" s="8" t="e">
        <v>#N/A</v>
      </c>
      <c r="I2416" s="8" t="n"/>
    </row>
    <row r="2417">
      <c r="A2417" s="4" t="n">
        <v>33834</v>
      </c>
      <c r="B2417" s="4" t="inlineStr">
        <is>
          <t>costdai-ama-dail-p10-sugar-sn0400</t>
        </is>
      </c>
      <c r="C2417" s="4" t="inlineStr">
        <is>
          <t>W00031886A</t>
        </is>
      </c>
      <c r="D2417" s="6">
        <f>IF(F2417&gt;=5, F2417-5, IF(F2417&lt;5, 0, F2417))</f>
        <v/>
      </c>
      <c r="E2417">
        <f>VLOOKUP(B2417,[1]Namshi!$A:$B,2,0)</f>
        <v/>
      </c>
      <c r="F2417" s="4">
        <f>SUMIFS('Dubai Stock'!I:I,'Dubai Stock'!H:H,Final_UAE!B:B)</f>
        <v/>
      </c>
      <c r="H2417" s="8" t="e">
        <v>#N/A</v>
      </c>
      <c r="I2417" s="8" t="n"/>
    </row>
    <row r="2418">
      <c r="A2418" s="4" t="n">
        <v>33834</v>
      </c>
      <c r="B2418" s="4" t="inlineStr">
        <is>
          <t>clstdai-acu-oasy-p90-sn0150</t>
        </is>
      </c>
      <c r="C2418" s="4" t="inlineStr">
        <is>
          <t>W00031886A</t>
        </is>
      </c>
      <c r="D2418" s="6">
        <f>IF(F2418&gt;=5, F2418-5, IF(F2418&lt;5, 0, F2418))</f>
        <v/>
      </c>
      <c r="E2418">
        <f>VLOOKUP(B2418,[1]Namshi!$A:$B,2,0)</f>
        <v/>
      </c>
      <c r="F2418" s="4">
        <f>SUMIFS('Dubai Stock'!I:I,'Dubai Stock'!H:H,Final_UAE!B:B)</f>
        <v/>
      </c>
      <c r="H2418" s="8" t="e">
        <v>#N/A</v>
      </c>
      <c r="I2418" s="8" t="n"/>
    </row>
    <row r="2419">
      <c r="A2419" s="4" t="n">
        <v>33834</v>
      </c>
      <c r="B2419" s="4" t="inlineStr">
        <is>
          <t>cost3mo-lay-lens-p02-cloudy-gray-sn0550</t>
        </is>
      </c>
      <c r="C2419" s="4" t="inlineStr">
        <is>
          <t>W00031886A</t>
        </is>
      </c>
      <c r="D2419" s="6">
        <f>IF(F2419&gt;=5, F2419-5, IF(F2419&lt;5, 0, F2419))</f>
        <v/>
      </c>
      <c r="E2419">
        <f>VLOOKUP(B2419,[1]Namshi!$A:$B,2,0)</f>
        <v/>
      </c>
      <c r="F2419" s="4">
        <f>SUMIFS('Dubai Stock'!I:I,'Dubai Stock'!H:H,Final_UAE!B:B)</f>
        <v/>
      </c>
      <c r="H2419" s="8" t="e">
        <v>#N/A</v>
      </c>
      <c r="I2419" s="8" t="n"/>
    </row>
    <row r="2420">
      <c r="A2420" s="4" t="n">
        <v>33834</v>
      </c>
      <c r="B2420" s="4" t="inlineStr">
        <is>
          <t>cost3mo-lay-lens-p02-golden-brown-sn0050</t>
        </is>
      </c>
      <c r="C2420" s="4" t="inlineStr">
        <is>
          <t>W00031886A</t>
        </is>
      </c>
      <c r="D2420" s="6">
        <f>IF(F2420&gt;=5, F2420-5, IF(F2420&lt;5, 0, F2420))</f>
        <v/>
      </c>
      <c r="E2420">
        <f>VLOOKUP(B2420,[1]Namshi!$A:$B,2,0)</f>
        <v/>
      </c>
      <c r="F2420" s="4">
        <f>SUMIFS('Dubai Stock'!I:I,'Dubai Stock'!H:H,Final_UAE!B:B)</f>
        <v/>
      </c>
      <c r="H2420" s="8" t="e">
        <v>#N/A</v>
      </c>
      <c r="I2420" s="8" t="n"/>
    </row>
    <row r="2421">
      <c r="A2421" s="4" t="n">
        <v>33834</v>
      </c>
      <c r="B2421" s="4" t="inlineStr">
        <is>
          <t>costdai-acu-dffr-p30-grayzel-sn0275</t>
        </is>
      </c>
      <c r="C2421" s="4" t="inlineStr">
        <is>
          <t>W00031886A</t>
        </is>
      </c>
      <c r="D2421" s="6">
        <f>IF(F2421&gt;=5, F2421-5, IF(F2421&lt;5, 0, F2421))</f>
        <v/>
      </c>
      <c r="E2421">
        <f>VLOOKUP(B2421,[1]Namshi!$A:$B,2,0)</f>
        <v/>
      </c>
      <c r="F2421" s="4">
        <f>SUMIFS('Dubai Stock'!I:I,'Dubai Stock'!H:H,Final_UAE!B:B)</f>
        <v/>
      </c>
      <c r="H2421" s="8" t="e">
        <v>#N/A</v>
      </c>
      <c r="I2421" s="8" t="n"/>
    </row>
    <row r="2422">
      <c r="A2422" s="4" t="n">
        <v>33834</v>
      </c>
      <c r="B2422" s="4" t="inlineStr">
        <is>
          <t>clstdai-acu-oasy-p30-sp0450</t>
        </is>
      </c>
      <c r="C2422" s="4" t="inlineStr">
        <is>
          <t>W00031886A</t>
        </is>
      </c>
      <c r="D2422" s="6">
        <f>IF(F2422&gt;=5, F2422-5, IF(F2422&lt;5, 0, F2422))</f>
        <v/>
      </c>
      <c r="E2422">
        <f>VLOOKUP(B2422,[1]Namshi!$A:$B,2,0)</f>
        <v/>
      </c>
      <c r="F2422" s="4">
        <f>SUMIFS('Dubai Stock'!I:I,'Dubai Stock'!H:H,Final_UAE!B:B)</f>
        <v/>
      </c>
      <c r="H2422" s="8" t="e">
        <v>#N/A</v>
      </c>
      <c r="I2422" s="8" t="n"/>
    </row>
    <row r="2423">
      <c r="A2423" s="4" t="n">
        <v>33834</v>
      </c>
      <c r="B2423" s="4" t="inlineStr">
        <is>
          <t>costdai-ama-dail-p10-sugar-sn0450</t>
        </is>
      </c>
      <c r="C2423" s="4" t="inlineStr">
        <is>
          <t>W00031886A</t>
        </is>
      </c>
      <c r="D2423" s="6">
        <f>IF(F2423&gt;=5, F2423-5, IF(F2423&lt;5, 0, F2423))</f>
        <v/>
      </c>
      <c r="E2423">
        <f>VLOOKUP(B2423,[1]Namshi!$A:$B,2,0)</f>
        <v/>
      </c>
      <c r="F2423" s="4">
        <f>SUMIFS('Dubai Stock'!I:I,'Dubai Stock'!H:H,Final_UAE!B:B)</f>
        <v/>
      </c>
      <c r="H2423" s="8" t="e">
        <v>#N/A</v>
      </c>
      <c r="I2423" s="8" t="n"/>
    </row>
    <row r="2424">
      <c r="A2424" s="4" t="n">
        <v>33834</v>
      </c>
      <c r="B2424" s="4" t="inlineStr">
        <is>
          <t>cost3mo-lay-2022-p02-crescent-gray-sn0200</t>
        </is>
      </c>
      <c r="C2424" s="4" t="inlineStr">
        <is>
          <t>W00031886A</t>
        </is>
      </c>
      <c r="D2424" s="6">
        <f>IF(F2424&gt;=5, F2424-5, IF(F2424&lt;5, 0, F2424))</f>
        <v/>
      </c>
      <c r="E2424">
        <f>VLOOKUP(B2424,[1]Namshi!$A:$B,2,0)</f>
        <v/>
      </c>
      <c r="F2424" s="4">
        <f>SUMIFS('Dubai Stock'!I:I,'Dubai Stock'!H:H,Final_UAE!B:B)</f>
        <v/>
      </c>
      <c r="H2424" s="8" t="e">
        <v>#N/A</v>
      </c>
      <c r="I2424" s="8" t="n"/>
    </row>
    <row r="2425">
      <c r="A2425" s="4" t="n">
        <v>33834</v>
      </c>
      <c r="B2425" s="4" t="inlineStr">
        <is>
          <t>clstdai-acu-dfna-p90-sn0275</t>
        </is>
      </c>
      <c r="C2425" s="4" t="inlineStr">
        <is>
          <t>W00031886A</t>
        </is>
      </c>
      <c r="D2425" s="6">
        <f>IF(F2425&gt;=5, F2425-5, IF(F2425&lt;5, 0, F2425))</f>
        <v/>
      </c>
      <c r="E2425">
        <f>VLOOKUP(B2425,[1]Namshi!$A:$B,2,0)</f>
        <v/>
      </c>
      <c r="F2425" s="4">
        <f>SUMIFS('Dubai Stock'!I:I,'Dubai Stock'!H:H,Final_UAE!B:B)</f>
        <v/>
      </c>
      <c r="H2425" s="8" t="e">
        <v>#N/A</v>
      </c>
      <c r="I2425" s="8" t="n"/>
    </row>
    <row r="2426">
      <c r="A2426" s="4" t="n">
        <v>33834</v>
      </c>
      <c r="B2426" s="4" t="inlineStr">
        <is>
          <t>clstdai-dai-tot1-p30-sn0150</t>
        </is>
      </c>
      <c r="C2426" s="4" t="inlineStr">
        <is>
          <t>W00031886A</t>
        </is>
      </c>
      <c r="D2426" s="6">
        <f>IF(F2426&gt;=5, F2426-5, IF(F2426&lt;5, 0, F2426))</f>
        <v/>
      </c>
      <c r="E2426">
        <f>VLOOKUP(B2426,[1]Namshi!$A:$B,2,0)</f>
        <v/>
      </c>
      <c r="F2426" s="4">
        <f>SUMIFS('Dubai Stock'!I:I,'Dubai Stock'!H:H,Final_UAE!B:B)</f>
        <v/>
      </c>
      <c r="H2426" s="8" t="e">
        <v>#N/A</v>
      </c>
      <c r="I2426" s="8" t="n"/>
    </row>
    <row r="2427">
      <c r="A2427" s="4" t="n">
        <v>33834</v>
      </c>
      <c r="B2427" s="4" t="inlineStr">
        <is>
          <t>cost3mo-lay-2022-p02-royal-green-sn0075</t>
        </is>
      </c>
      <c r="C2427" s="4" t="inlineStr">
        <is>
          <t>W00031886A</t>
        </is>
      </c>
      <c r="D2427" s="6">
        <f>IF(F2427&gt;=5, F2427-5, IF(F2427&lt;5, 0, F2427))</f>
        <v/>
      </c>
      <c r="E2427">
        <f>VLOOKUP(B2427,[1]Namshi!$A:$B,2,0)</f>
        <v/>
      </c>
      <c r="F2427" s="4">
        <f>SUMIFS('Dubai Stock'!I:I,'Dubai Stock'!H:H,Final_UAE!B:B)</f>
        <v/>
      </c>
      <c r="H2427" s="8" t="e">
        <v>#N/A</v>
      </c>
      <c r="I2427" s="8" t="n"/>
    </row>
    <row r="2428">
      <c r="A2428" s="4" t="n">
        <v>33834</v>
      </c>
      <c r="B2428" s="4" t="inlineStr">
        <is>
          <t>clstbiw-acu-oasy-p06-sp0700</t>
        </is>
      </c>
      <c r="C2428" s="4" t="inlineStr">
        <is>
          <t>W00031886A</t>
        </is>
      </c>
      <c r="D2428" s="6">
        <f>IF(F2428&gt;=5, F2428-5, IF(F2428&lt;5, 0, F2428))</f>
        <v/>
      </c>
      <c r="E2428">
        <f>VLOOKUP(B2428,[1]Namshi!$A:$B,2,0)</f>
        <v/>
      </c>
      <c r="F2428" s="4">
        <f>SUMIFS('Dubai Stock'!I:I,'Dubai Stock'!H:H,Final_UAE!B:B)</f>
        <v/>
      </c>
      <c r="H2428" s="8" t="e">
        <v>#N/A</v>
      </c>
      <c r="I2428" s="8" t="n"/>
    </row>
    <row r="2429">
      <c r="A2429" s="4" t="n">
        <v>33834</v>
      </c>
      <c r="B2429" s="4" t="inlineStr">
        <is>
          <t>clstbiw-acu-0002-p06-sp0225</t>
        </is>
      </c>
      <c r="C2429" s="4" t="inlineStr">
        <is>
          <t>W00031886A</t>
        </is>
      </c>
      <c r="D2429" s="6">
        <f>IF(F2429&gt;=5, F2429-5, IF(F2429&lt;5, 0, F2429))</f>
        <v/>
      </c>
      <c r="E2429">
        <f>VLOOKUP(B2429,[1]Namshi!$A:$B,2,0)</f>
        <v/>
      </c>
      <c r="F2429" s="4">
        <f>SUMIFS('Dubai Stock'!I:I,'Dubai Stock'!H:H,Final_UAE!B:B)</f>
        <v/>
      </c>
      <c r="H2429" s="8" t="e">
        <v>#N/A</v>
      </c>
      <c r="I2429" s="8" t="n"/>
    </row>
    <row r="2430">
      <c r="A2430" s="4" t="n">
        <v>33834</v>
      </c>
      <c r="B2430" s="4" t="inlineStr">
        <is>
          <t>sm50706-bla-000359-0706-53</t>
        </is>
      </c>
      <c r="C2430" s="4" t="inlineStr">
        <is>
          <t>W00031886A</t>
        </is>
      </c>
      <c r="D2430" s="6">
        <f>IF(F2430&gt;=5, F2430-5, IF(F2430&lt;5, 0, F2430))</f>
        <v/>
      </c>
      <c r="E2430">
        <f>VLOOKUP(B2430,[1]Namshi!$A:$B,2,0)</f>
        <v/>
      </c>
      <c r="F2430" s="4">
        <f>SUMIFS('Dubai Stock'!I:I,'Dubai Stock'!H:H,Final_UAE!B:B)</f>
        <v/>
      </c>
      <c r="H2430" s="8" t="e">
        <v>#N/A</v>
      </c>
    </row>
    <row r="2431">
      <c r="A2431" s="4" t="n">
        <v>33834</v>
      </c>
      <c r="B2431" s="4" t="inlineStr">
        <is>
          <t>sw72302-bla-000247-2304-59</t>
        </is>
      </c>
      <c r="C2431" s="4" t="inlineStr">
        <is>
          <t>W00031886A</t>
        </is>
      </c>
      <c r="D2431" s="6">
        <f>IF(F2431&gt;=5, F2431-5, IF(F2431&lt;5, 0, F2431))</f>
        <v/>
      </c>
      <c r="E2431">
        <f>VLOOKUP(B2431,[1]Namshi!$A:$B,2,0)</f>
        <v/>
      </c>
      <c r="F2431" s="4">
        <f>SUMIFS('Dubai Stock'!I:I,'Dubai Stock'!H:H,Final_UAE!B:B)</f>
        <v/>
      </c>
      <c r="H2431" s="8" t="e">
        <v>#N/A</v>
      </c>
    </row>
    <row r="2432">
      <c r="A2432" s="4" t="n">
        <v>33834</v>
      </c>
      <c r="B2432" s="4" t="inlineStr">
        <is>
          <t>costdai-acu-dffr-p30-hazel-sn0225</t>
        </is>
      </c>
      <c r="C2432" s="4" t="inlineStr">
        <is>
          <t>W00031886A</t>
        </is>
      </c>
      <c r="D2432" s="6">
        <f>IF(F2432&gt;=5, F2432-5, IF(F2432&lt;5, 0, F2432))</f>
        <v/>
      </c>
      <c r="E2432">
        <f>VLOOKUP(B2432,[1]Namshi!$A:$B,2,0)</f>
        <v/>
      </c>
      <c r="F2432" s="4">
        <f>SUMIFS('Dubai Stock'!I:I,'Dubai Stock'!H:H,Final_UAE!B:B)</f>
        <v/>
      </c>
      <c r="H2432" s="8" t="e">
        <v>#N/A</v>
      </c>
      <c r="I2432" s="8" t="n"/>
    </row>
    <row r="2433">
      <c r="A2433" s="4" t="n">
        <v>33834</v>
      </c>
      <c r="B2433" s="4" t="inlineStr">
        <is>
          <t>cost3mo-lay-2022-p02-royal-green-sn0350</t>
        </is>
      </c>
      <c r="C2433" s="4" t="inlineStr">
        <is>
          <t>W00031886A</t>
        </is>
      </c>
      <c r="D2433" s="6">
        <f>IF(F2433&gt;=5, F2433-5, IF(F2433&lt;5, 0, F2433))</f>
        <v/>
      </c>
      <c r="E2433">
        <f>VLOOKUP(B2433,[1]Namshi!$A:$B,2,0)</f>
        <v/>
      </c>
      <c r="F2433" s="4">
        <f>SUMIFS('Dubai Stock'!I:I,'Dubai Stock'!H:H,Final_UAE!B:B)</f>
        <v/>
      </c>
      <c r="H2433" s="8" t="e">
        <v>#N/A</v>
      </c>
      <c r="I2433" s="8" t="n"/>
    </row>
    <row r="2434">
      <c r="A2434" s="4" t="n">
        <v>33834</v>
      </c>
      <c r="B2434" s="4" t="inlineStr">
        <is>
          <t>sw30101-30s-000264-0101-54</t>
        </is>
      </c>
      <c r="C2434" s="4" t="inlineStr">
        <is>
          <t>W00031886A</t>
        </is>
      </c>
      <c r="D2434" s="6">
        <f>IF(F2434&gt;=5, F2434-5, IF(F2434&lt;5, 0, F2434))</f>
        <v/>
      </c>
      <c r="E2434">
        <f>VLOOKUP(B2434,[1]Namshi!$A:$B,2,0)</f>
        <v/>
      </c>
      <c r="F2434" s="4">
        <f>SUMIFS('Dubai Stock'!I:I,'Dubai Stock'!H:H,Final_UAE!B:B)</f>
        <v/>
      </c>
      <c r="H2434" s="8" t="e">
        <v>#N/A</v>
      </c>
    </row>
    <row r="2435">
      <c r="A2435" s="4" t="n">
        <v>33834</v>
      </c>
      <c r="B2435" s="4" t="inlineStr">
        <is>
          <t>cost3mo-lay-2022-p02-crescent-gray-sn0300</t>
        </is>
      </c>
      <c r="C2435" s="4" t="inlineStr">
        <is>
          <t>W00031886A</t>
        </is>
      </c>
      <c r="D2435" s="6">
        <f>IF(F2435&gt;=5, F2435-5, IF(F2435&lt;5, 0, F2435))</f>
        <v/>
      </c>
      <c r="E2435">
        <f>VLOOKUP(B2435,[1]Namshi!$A:$B,2,0)</f>
        <v/>
      </c>
      <c r="F2435" s="4">
        <f>SUMIFS('Dubai Stock'!I:I,'Dubai Stock'!H:H,Final_UAE!B:B)</f>
        <v/>
      </c>
      <c r="H2435" s="8" t="e">
        <v>#N/A</v>
      </c>
      <c r="I2435" s="8" t="n"/>
    </row>
    <row r="2436">
      <c r="A2436" s="4" t="n">
        <v>33834</v>
      </c>
      <c r="B2436" s="4" t="inlineStr">
        <is>
          <t>sm11315-bla-000375-1315-57</t>
        </is>
      </c>
      <c r="C2436" s="4" t="inlineStr">
        <is>
          <t>W00031886A</t>
        </is>
      </c>
      <c r="D2436" s="6">
        <f>IF(F2436&gt;=5, F2436-5, IF(F2436&lt;5, 0, F2436))</f>
        <v/>
      </c>
      <c r="E2436">
        <f>VLOOKUP(B2436,[1]Namshi!$A:$B,2,0)</f>
        <v/>
      </c>
      <c r="F2436" s="4">
        <f>SUMIFS('Dubai Stock'!I:I,'Dubai Stock'!H:H,Final_UAE!B:B)</f>
        <v/>
      </c>
      <c r="H2436" s="8" t="e">
        <v>#N/A</v>
      </c>
    </row>
    <row r="2437">
      <c r="A2437" s="4" t="n">
        <v>33834</v>
      </c>
      <c r="B2437" s="4" t="inlineStr">
        <is>
          <t>sm12904-30s-000254-2904-54</t>
        </is>
      </c>
      <c r="C2437" s="4" t="inlineStr">
        <is>
          <t>W00031886A</t>
        </is>
      </c>
      <c r="D2437" s="6">
        <f>IF(F2437&gt;=5, F2437-5, IF(F2437&lt;5, 0, F2437))</f>
        <v/>
      </c>
      <c r="E2437">
        <f>VLOOKUP(B2437,[1]Namshi!$A:$B,2,0)</f>
        <v/>
      </c>
      <c r="F2437" s="4">
        <f>SUMIFS('Dubai Stock'!I:I,'Dubai Stock'!H:H,Final_UAE!B:B)</f>
        <v/>
      </c>
      <c r="H2437" s="8" t="e">
        <v>#N/A</v>
      </c>
    </row>
    <row r="2438">
      <c r="A2438" s="4" t="n">
        <v>33834</v>
      </c>
      <c r="B2438" s="4" t="inlineStr">
        <is>
          <t>clstdai-lay-cont-p30-dazzle-brown-sn0275</t>
        </is>
      </c>
      <c r="C2438" s="4" t="inlineStr">
        <is>
          <t>W00031886A</t>
        </is>
      </c>
      <c r="D2438" s="6">
        <f>IF(F2438&gt;=5, F2438-5, IF(F2438&lt;5, 0, F2438))</f>
        <v/>
      </c>
      <c r="E2438">
        <f>VLOOKUP(B2438,[1]Namshi!$A:$B,2,0)</f>
        <v/>
      </c>
      <c r="F2438" s="4">
        <f>SUMIFS('Dubai Stock'!I:I,'Dubai Stock'!H:H,Final_UAE!B:B)</f>
        <v/>
      </c>
      <c r="H2438" s="8" t="e">
        <v>#N/A</v>
      </c>
      <c r="I2438" s="8" t="n"/>
    </row>
    <row r="2439">
      <c r="A2439" s="4" t="n">
        <v>33834</v>
      </c>
      <c r="B2439" s="4" t="inlineStr">
        <is>
          <t>clstdai-eve-elit-p90-sp0375</t>
        </is>
      </c>
      <c r="C2439" s="4" t="inlineStr">
        <is>
          <t>W00031886A</t>
        </is>
      </c>
      <c r="D2439" s="6">
        <f>IF(F2439&gt;=5, F2439-5, IF(F2439&lt;5, 0, F2439))</f>
        <v/>
      </c>
      <c r="E2439">
        <f>VLOOKUP(B2439,[1]Namshi!$A:$B,2,0)</f>
        <v/>
      </c>
      <c r="F2439" s="4">
        <f>SUMIFS('Dubai Stock'!I:I,'Dubai Stock'!H:H,Final_UAE!B:B)</f>
        <v/>
      </c>
      <c r="H2439" s="8" t="n">
        <v>729</v>
      </c>
      <c r="I2439" s="8" t="n">
        <v>357</v>
      </c>
    </row>
    <row r="2440">
      <c r="A2440" s="4" t="n">
        <v>33834</v>
      </c>
      <c r="B2440" s="4" t="inlineStr">
        <is>
          <t>fm50118-spc-000836-0118-54</t>
        </is>
      </c>
      <c r="C2440" s="4" t="inlineStr">
        <is>
          <t>W00031886A</t>
        </is>
      </c>
      <c r="D2440" s="6">
        <f>IF(F2440&gt;=5, F2440-5, IF(F2440&lt;5, 0, F2440))</f>
        <v/>
      </c>
      <c r="E2440">
        <f>VLOOKUP(B2440,[1]Namshi!$A:$B,2,0)</f>
        <v/>
      </c>
      <c r="F2440" s="4">
        <f>SUMIFS('Dubai Stock'!I:I,'Dubai Stock'!H:H,Final_UAE!B:B)</f>
        <v/>
      </c>
      <c r="H2440" s="8" t="e">
        <v>#N/A</v>
      </c>
      <c r="I2440" s="8" t="n"/>
    </row>
    <row r="2441">
      <c r="A2441" s="4" t="n">
        <v>33834</v>
      </c>
      <c r="B2441" s="4" t="inlineStr">
        <is>
          <t>su100606-30s-00453-0606p-51</t>
        </is>
      </c>
      <c r="C2441" s="4" t="inlineStr">
        <is>
          <t>W00031886A</t>
        </is>
      </c>
      <c r="D2441" s="6">
        <f>IF(F2441&gt;=5, F2441-5, IF(F2441&lt;5, 0, F2441))</f>
        <v/>
      </c>
      <c r="E2441">
        <f>VLOOKUP(B2441,[1]Namshi!$A:$B,2,0)</f>
        <v/>
      </c>
      <c r="F2441" s="4">
        <f>SUMIFS('Dubai Stock'!I:I,'Dubai Stock'!H:H,Final_UAE!B:B)</f>
        <v/>
      </c>
      <c r="H2441" s="8" t="e">
        <v>#N/A</v>
      </c>
    </row>
    <row r="2442">
      <c r="A2442" s="4" t="n">
        <v>33834</v>
      </c>
      <c r="B2442" s="4" t="inlineStr">
        <is>
          <t>cost3mo-lay-2023-p02-sable-brown-sn0600</t>
        </is>
      </c>
      <c r="C2442" s="4" t="inlineStr">
        <is>
          <t>W00031886A</t>
        </is>
      </c>
      <c r="D2442" s="6">
        <f>IF(F2442&gt;=5, F2442-5, IF(F2442&lt;5, 0, F2442))</f>
        <v/>
      </c>
      <c r="E2442">
        <f>VLOOKUP(B2442,[1]Namshi!$A:$B,2,0)</f>
        <v/>
      </c>
      <c r="F2442" s="4">
        <f>SUMIFS('Dubai Stock'!I:I,'Dubai Stock'!H:H,Final_UAE!B:B)</f>
        <v/>
      </c>
      <c r="H2442" s="8" t="e">
        <v>#N/A</v>
      </c>
      <c r="I2442" s="8" t="n"/>
    </row>
    <row r="2443">
      <c r="A2443" s="4" t="n">
        <v>33834</v>
      </c>
      <c r="B2443" s="4" t="inlineStr">
        <is>
          <t>su60704-bla-000259-0702-53</t>
        </is>
      </c>
      <c r="C2443" s="4" t="inlineStr">
        <is>
          <t>W00031886A</t>
        </is>
      </c>
      <c r="D2443" s="6">
        <f>IF(F2443&gt;=5, F2443-5, IF(F2443&lt;5, 0, F2443))</f>
        <v/>
      </c>
      <c r="E2443">
        <f>VLOOKUP(B2443,[1]Namshi!$A:$B,2,0)</f>
        <v/>
      </c>
      <c r="F2443" s="4">
        <f>SUMIFS('Dubai Stock'!I:I,'Dubai Stock'!H:H,Final_UAE!B:B)</f>
        <v/>
      </c>
      <c r="H2443" s="8" t="e">
        <v>#N/A</v>
      </c>
    </row>
    <row r="2444">
      <c r="A2444" s="4" t="n">
        <v>33834</v>
      </c>
      <c r="B2444" s="4" t="inlineStr">
        <is>
          <t>clstdai-sof-sdai-p30-sn0800</t>
        </is>
      </c>
      <c r="C2444" s="4" t="inlineStr">
        <is>
          <t>W00031886A</t>
        </is>
      </c>
      <c r="D2444" s="6">
        <f>IF(F2444&gt;=5, F2444-5, IF(F2444&lt;5, 0, F2444))</f>
        <v/>
      </c>
      <c r="E2444">
        <f>VLOOKUP(B2444,[1]Namshi!$A:$B,2,0)</f>
        <v/>
      </c>
      <c r="F2444" s="4">
        <f>SUMIFS('Dubai Stock'!I:I,'Dubai Stock'!H:H,Final_UAE!B:B)</f>
        <v/>
      </c>
      <c r="H2444" s="8" t="e">
        <v>#N/A</v>
      </c>
      <c r="I2444" s="8" t="n"/>
    </row>
    <row r="2445">
      <c r="A2445" s="4" t="n">
        <v>33834</v>
      </c>
      <c r="B2445" s="4" t="inlineStr">
        <is>
          <t>clstdai-dai-tot1-p30-sn0700</t>
        </is>
      </c>
      <c r="C2445" s="4" t="inlineStr">
        <is>
          <t>W00031886A</t>
        </is>
      </c>
      <c r="D2445" s="6">
        <f>IF(F2445&gt;=5, F2445-5, IF(F2445&lt;5, 0, F2445))</f>
        <v/>
      </c>
      <c r="E2445">
        <f>VLOOKUP(B2445,[1]Namshi!$A:$B,2,0)</f>
        <v/>
      </c>
      <c r="F2445" s="4">
        <f>SUMIFS('Dubai Stock'!I:I,'Dubai Stock'!H:H,Final_UAE!B:B)</f>
        <v/>
      </c>
      <c r="H2445" s="8" t="e">
        <v>#N/A</v>
      </c>
      <c r="I2445" s="8" t="n"/>
    </row>
    <row r="2446">
      <c r="A2446" s="4" t="n">
        <v>33834</v>
      </c>
      <c r="B2446" s="4" t="inlineStr">
        <is>
          <t>sw100104-bla-000357-0104-49</t>
        </is>
      </c>
      <c r="C2446" s="4" t="inlineStr">
        <is>
          <t>W00031886A</t>
        </is>
      </c>
      <c r="D2446" s="6">
        <f>IF(F2446&gt;=5, F2446-5, IF(F2446&lt;5, 0, F2446))</f>
        <v/>
      </c>
      <c r="E2446">
        <f>VLOOKUP(B2446,[1]Namshi!$A:$B,2,0)</f>
        <v/>
      </c>
      <c r="F2446" s="4">
        <f>SUMIFS('Dubai Stock'!I:I,'Dubai Stock'!H:H,Final_UAE!B:B)</f>
        <v/>
      </c>
      <c r="H2446" s="8" t="e">
        <v>#N/A</v>
      </c>
    </row>
    <row r="2447">
      <c r="A2447" s="4" t="n">
        <v>33834</v>
      </c>
      <c r="B2447" s="4" t="inlineStr">
        <is>
          <t>sw70202-bla-000257-0202-57</t>
        </is>
      </c>
      <c r="C2447" s="4" t="inlineStr">
        <is>
          <t>W00031886A</t>
        </is>
      </c>
      <c r="D2447" s="6">
        <f>IF(F2447&gt;=5, F2447-5, IF(F2447&lt;5, 0, F2447))</f>
        <v/>
      </c>
      <c r="E2447">
        <f>VLOOKUP(B2447,[1]Namshi!$A:$B,2,0)</f>
        <v/>
      </c>
      <c r="F2447" s="4">
        <f>SUMIFS('Dubai Stock'!I:I,'Dubai Stock'!H:H,Final_UAE!B:B)</f>
        <v/>
      </c>
      <c r="H2447" s="8" t="e">
        <v>#N/A</v>
      </c>
    </row>
    <row r="2448">
      <c r="A2448" s="4" t="n">
        <v>33834</v>
      </c>
      <c r="B2448" s="4" t="inlineStr">
        <is>
          <t>costdai-ama-dail-p10-honey-sn0575</t>
        </is>
      </c>
      <c r="C2448" s="4" t="inlineStr">
        <is>
          <t>W00031886A</t>
        </is>
      </c>
      <c r="D2448" s="6">
        <f>IF(F2448&gt;=5, F2448-5, IF(F2448&lt;5, 0, F2448))</f>
        <v/>
      </c>
      <c r="E2448">
        <f>VLOOKUP(B2448,[1]Namshi!$A:$B,2,0)</f>
        <v/>
      </c>
      <c r="F2448" s="4">
        <f>SUMIFS('Dubai Stock'!I:I,'Dubai Stock'!H:H,Final_UAE!B:B)</f>
        <v/>
      </c>
      <c r="H2448" s="8" t="e">
        <v>#N/A</v>
      </c>
      <c r="I2448" s="8" t="n"/>
    </row>
    <row r="2449">
      <c r="A2449" s="4" t="n">
        <v>33834</v>
      </c>
      <c r="B2449" s="4" t="inlineStr">
        <is>
          <t>cost3mo-lay-lens-p02-crystal-brown-sn0600</t>
        </is>
      </c>
      <c r="C2449" s="4" t="inlineStr">
        <is>
          <t>W00031886A</t>
        </is>
      </c>
      <c r="D2449" s="6">
        <f>IF(F2449&gt;=5, F2449-5, IF(F2449&lt;5, 0, F2449))</f>
        <v/>
      </c>
      <c r="E2449">
        <f>VLOOKUP(B2449,[1]Namshi!$A:$B,2,0)</f>
        <v/>
      </c>
      <c r="F2449" s="4">
        <f>SUMIFS('Dubai Stock'!I:I,'Dubai Stock'!H:H,Final_UAE!B:B)</f>
        <v/>
      </c>
      <c r="H2449" s="8" t="e">
        <v>#N/A</v>
      </c>
      <c r="I2449" s="8" t="n"/>
    </row>
    <row r="2450">
      <c r="A2450" s="4" t="n">
        <v>33834</v>
      </c>
      <c r="B2450" s="4" t="inlineStr">
        <is>
          <t>cost3mo-lay-lens-p02-golden-brown-sn0200</t>
        </is>
      </c>
      <c r="C2450" s="4" t="inlineStr">
        <is>
          <t>W00031886A</t>
        </is>
      </c>
      <c r="D2450" s="6">
        <f>IF(F2450&gt;=5, F2450-5, IF(F2450&lt;5, 0, F2450))</f>
        <v/>
      </c>
      <c r="E2450">
        <f>VLOOKUP(B2450,[1]Namshi!$A:$B,2,0)</f>
        <v/>
      </c>
      <c r="F2450" s="4">
        <f>SUMIFS('Dubai Stock'!I:I,'Dubai Stock'!H:H,Final_UAE!B:B)</f>
        <v/>
      </c>
      <c r="H2450" s="8" t="e">
        <v>#N/A</v>
      </c>
      <c r="I2450" s="8" t="n"/>
    </row>
    <row r="2451">
      <c r="A2451" s="4" t="n">
        <v>33834</v>
      </c>
      <c r="B2451" s="4" t="inlineStr">
        <is>
          <t>cost3mo-lay-2022-p02-royal-green-sn0275</t>
        </is>
      </c>
      <c r="C2451" s="4" t="inlineStr">
        <is>
          <t>W00031886A</t>
        </is>
      </c>
      <c r="D2451" s="6">
        <f>IF(F2451&gt;=5, F2451-5, IF(F2451&lt;5, 0, F2451))</f>
        <v/>
      </c>
      <c r="E2451">
        <f>VLOOKUP(B2451,[1]Namshi!$A:$B,2,0)</f>
        <v/>
      </c>
      <c r="F2451" s="4">
        <f>SUMIFS('Dubai Stock'!I:I,'Dubai Stock'!H:H,Final_UAE!B:B)</f>
        <v/>
      </c>
      <c r="H2451" s="8" t="e">
        <v>#N/A</v>
      </c>
      <c r="I2451" s="8" t="n"/>
    </row>
    <row r="2452">
      <c r="A2452" s="4" t="n">
        <v>33834</v>
      </c>
      <c r="B2452" s="4" t="inlineStr">
        <is>
          <t>cost3mo-lay-2021-p02-willow-green-sn0125</t>
        </is>
      </c>
      <c r="C2452" s="4" t="inlineStr">
        <is>
          <t>W00031886A</t>
        </is>
      </c>
      <c r="D2452" s="6">
        <f>IF(F2452&gt;=5, F2452-5, IF(F2452&lt;5, 0, F2452))</f>
        <v/>
      </c>
      <c r="E2452">
        <f>VLOOKUP(B2452,[1]Namshi!$A:$B,2,0)</f>
        <v/>
      </c>
      <c r="F2452" s="4">
        <f>SUMIFS('Dubai Stock'!I:I,'Dubai Stock'!H:H,Final_UAE!B:B)</f>
        <v/>
      </c>
      <c r="H2452" s="8" t="e">
        <v>#N/A</v>
      </c>
      <c r="I2452" s="8" t="n"/>
    </row>
    <row r="2453">
      <c r="A2453" s="4" t="n">
        <v>33834</v>
      </c>
      <c r="B2453" s="4" t="inlineStr">
        <is>
          <t>sm100707-30s-00303-0707p-52</t>
        </is>
      </c>
      <c r="C2453" s="4" t="inlineStr">
        <is>
          <t>W00031886A</t>
        </is>
      </c>
      <c r="D2453" s="6">
        <f>IF(F2453&gt;=5, F2453-5, IF(F2453&lt;5, 0, F2453))</f>
        <v/>
      </c>
      <c r="E2453">
        <f>VLOOKUP(B2453,[1]Namshi!$A:$B,2,0)</f>
        <v/>
      </c>
      <c r="F2453" s="4">
        <f>SUMIFS('Dubai Stock'!I:I,'Dubai Stock'!H:H,Final_UAE!B:B)</f>
        <v/>
      </c>
      <c r="H2453" s="8" t="e">
        <v>#N/A</v>
      </c>
    </row>
    <row r="2454">
      <c r="A2454" s="4" t="n">
        <v>33834</v>
      </c>
      <c r="B2454" s="4" t="inlineStr">
        <is>
          <t>cost3mo-lay-2022-p02-crescent-gray-sn0400</t>
        </is>
      </c>
      <c r="C2454" s="4" t="inlineStr">
        <is>
          <t>W00031886A</t>
        </is>
      </c>
      <c r="D2454" s="6">
        <f>IF(F2454&gt;=5, F2454-5, IF(F2454&lt;5, 0, F2454))</f>
        <v/>
      </c>
      <c r="E2454">
        <f>VLOOKUP(B2454,[1]Namshi!$A:$B,2,0)</f>
        <v/>
      </c>
      <c r="F2454" s="4">
        <f>SUMIFS('Dubai Stock'!I:I,'Dubai Stock'!H:H,Final_UAE!B:B)</f>
        <v/>
      </c>
      <c r="H2454" s="8" t="e">
        <v>#N/A</v>
      </c>
      <c r="I2454" s="8" t="n"/>
    </row>
    <row r="2455">
      <c r="A2455" s="4" t="n">
        <v>33834</v>
      </c>
      <c r="B2455" s="4" t="inlineStr">
        <is>
          <t>clstdai-acu-mois-p90-sp0575</t>
        </is>
      </c>
      <c r="C2455" s="4" t="inlineStr">
        <is>
          <t>W00031886A</t>
        </is>
      </c>
      <c r="D2455" s="6">
        <f>IF(F2455&gt;=5, F2455-5, IF(F2455&lt;5, 0, F2455))</f>
        <v/>
      </c>
      <c r="E2455">
        <f>VLOOKUP(B2455,[1]Namshi!$A:$B,2,0)</f>
        <v/>
      </c>
      <c r="F2455" s="4">
        <f>SUMIFS('Dubai Stock'!I:I,'Dubai Stock'!H:H,Final_UAE!B:B)</f>
        <v/>
      </c>
      <c r="H2455" s="8" t="e">
        <v>#N/A</v>
      </c>
      <c r="I2455" s="8" t="n"/>
    </row>
    <row r="2456">
      <c r="A2456" s="4" t="n">
        <v>33834</v>
      </c>
      <c r="B2456" s="4" t="inlineStr">
        <is>
          <t>clstdai-eve-elit-p90-sp0325</t>
        </is>
      </c>
      <c r="C2456" s="4" t="inlineStr">
        <is>
          <t>W00031886A</t>
        </is>
      </c>
      <c r="D2456" s="6">
        <f>IF(F2456&gt;=5, F2456-5, IF(F2456&lt;5, 0, F2456))</f>
        <v/>
      </c>
      <c r="E2456">
        <f>VLOOKUP(B2456,[1]Namshi!$A:$B,2,0)</f>
        <v/>
      </c>
      <c r="F2456" s="4">
        <f>SUMIFS('Dubai Stock'!I:I,'Dubai Stock'!H:H,Final_UAE!B:B)</f>
        <v/>
      </c>
      <c r="H2456" s="8" t="n">
        <v>729</v>
      </c>
      <c r="I2456" s="8" t="n">
        <v>357</v>
      </c>
    </row>
    <row r="2457">
      <c r="A2457" s="4" t="n">
        <v>33834</v>
      </c>
      <c r="B2457" s="4" t="inlineStr">
        <is>
          <t>clstdai-eve-elit-p90-sp0225</t>
        </is>
      </c>
      <c r="C2457" s="4" t="inlineStr">
        <is>
          <t>W00031886A</t>
        </is>
      </c>
      <c r="D2457" s="6">
        <f>IF(F2457&gt;=5, F2457-5, IF(F2457&lt;5, 0, F2457))</f>
        <v/>
      </c>
      <c r="E2457">
        <f>VLOOKUP(B2457,[1]Namshi!$A:$B,2,0)</f>
        <v/>
      </c>
      <c r="F2457" s="4">
        <f>SUMIFS('Dubai Stock'!I:I,'Dubai Stock'!H:H,Final_UAE!B:B)</f>
        <v/>
      </c>
      <c r="H2457" s="8" t="n">
        <v>729</v>
      </c>
      <c r="I2457" s="8" t="n">
        <v>357</v>
      </c>
    </row>
    <row r="2458">
      <c r="A2458" s="4" t="n">
        <v>33834</v>
      </c>
      <c r="B2458" s="4" t="inlineStr">
        <is>
          <t>sw60101-bla-000264-0101-50</t>
        </is>
      </c>
      <c r="C2458" s="4" t="inlineStr">
        <is>
          <t>W00031886A</t>
        </is>
      </c>
      <c r="D2458" s="6">
        <f>IF(F2458&gt;=5, F2458-5, IF(F2458&lt;5, 0, F2458))</f>
        <v/>
      </c>
      <c r="E2458">
        <f>VLOOKUP(B2458,[1]Namshi!$A:$B,2,0)</f>
        <v/>
      </c>
      <c r="F2458" s="4">
        <f>SUMIFS('Dubai Stock'!I:I,'Dubai Stock'!H:H,Final_UAE!B:B)</f>
        <v/>
      </c>
      <c r="H2458" s="8" t="e">
        <v>#N/A</v>
      </c>
    </row>
    <row r="2459">
      <c r="A2459" s="4" t="n">
        <v>33834</v>
      </c>
      <c r="B2459" s="4" t="inlineStr">
        <is>
          <t>costmon-ama-2022-p02-tiger-eyes-sn0250</t>
        </is>
      </c>
      <c r="C2459" s="4" t="inlineStr">
        <is>
          <t>W00031886A</t>
        </is>
      </c>
      <c r="D2459" s="6">
        <f>IF(F2459&gt;=5, F2459-5, IF(F2459&lt;5, 0, F2459))</f>
        <v/>
      </c>
      <c r="E2459">
        <f>VLOOKUP(B2459,[1]Namshi!$A:$B,2,0)</f>
        <v/>
      </c>
      <c r="F2459" s="4">
        <f>SUMIFS('Dubai Stock'!I:I,'Dubai Stock'!H:H,Final_UAE!B:B)</f>
        <v/>
      </c>
      <c r="H2459" s="8" t="e">
        <v>#N/A</v>
      </c>
      <c r="I2459" s="8" t="n"/>
    </row>
    <row r="2460">
      <c r="A2460" s="4" t="n">
        <v>33834</v>
      </c>
      <c r="B2460" s="4" t="inlineStr">
        <is>
          <t>fu50418-spc-000705-0418-51</t>
        </is>
      </c>
      <c r="C2460" s="4" t="inlineStr">
        <is>
          <t>W00031886A</t>
        </is>
      </c>
      <c r="D2460" s="6">
        <f>IF(F2460&gt;=5, F2460-5, IF(F2460&lt;5, 0, F2460))</f>
        <v/>
      </c>
      <c r="E2460">
        <f>VLOOKUP(B2460,[1]Namshi!$A:$B,2,0)</f>
        <v/>
      </c>
      <c r="F2460" s="4">
        <f>SUMIFS('Dubai Stock'!I:I,'Dubai Stock'!H:H,Final_UAE!B:B)</f>
        <v/>
      </c>
      <c r="H2460" s="8" t="e">
        <v>#N/A</v>
      </c>
      <c r="I2460" s="8" t="n"/>
    </row>
    <row r="2461">
      <c r="A2461" s="4" t="n">
        <v>33834</v>
      </c>
      <c r="B2461" s="4" t="inlineStr">
        <is>
          <t>cost3mo-lay-lens-p02-chestnut-brown-sn0550</t>
        </is>
      </c>
      <c r="C2461" s="4" t="inlineStr">
        <is>
          <t>W00031886A</t>
        </is>
      </c>
      <c r="D2461" s="6">
        <f>IF(F2461&gt;=5, F2461-5, IF(F2461&lt;5, 0, F2461))</f>
        <v/>
      </c>
      <c r="E2461">
        <f>VLOOKUP(B2461,[1]Namshi!$A:$B,2,0)</f>
        <v/>
      </c>
      <c r="F2461" s="4">
        <f>SUMIFS('Dubai Stock'!I:I,'Dubai Stock'!H:H,Final_UAE!B:B)</f>
        <v/>
      </c>
      <c r="H2461" s="8" t="e">
        <v>#N/A</v>
      </c>
      <c r="I2461" s="8" t="n"/>
    </row>
    <row r="2462">
      <c r="A2462" s="4" t="n">
        <v>33834</v>
      </c>
      <c r="B2462" s="4" t="inlineStr">
        <is>
          <t>clstdai-lay-cont-p30-dazzle-black-sn0150</t>
        </is>
      </c>
      <c r="C2462" s="4" t="inlineStr">
        <is>
          <t>W00031886A</t>
        </is>
      </c>
      <c r="D2462" s="6">
        <f>IF(F2462&gt;=5, F2462-5, IF(F2462&lt;5, 0, F2462))</f>
        <v/>
      </c>
      <c r="E2462">
        <f>VLOOKUP(B2462,[1]Namshi!$A:$B,2,0)</f>
        <v/>
      </c>
      <c r="F2462" s="4">
        <f>SUMIFS('Dubai Stock'!I:I,'Dubai Stock'!H:H,Final_UAE!B:B)</f>
        <v/>
      </c>
      <c r="H2462" s="8" t="e">
        <v>#N/A</v>
      </c>
      <c r="I2462" s="8" t="n"/>
    </row>
    <row r="2463">
      <c r="A2463" s="4" t="n">
        <v>33834</v>
      </c>
      <c r="B2463" s="4" t="inlineStr">
        <is>
          <t>clstdai-acu-mois-p30-sp0125</t>
        </is>
      </c>
      <c r="C2463" s="4" t="inlineStr">
        <is>
          <t>W00031886A</t>
        </is>
      </c>
      <c r="D2463" s="6">
        <f>IF(F2463&gt;=5, F2463-5, IF(F2463&lt;5, 0, F2463))</f>
        <v/>
      </c>
      <c r="E2463">
        <f>VLOOKUP(B2463,[1]Namshi!$A:$B,2,0)</f>
        <v/>
      </c>
      <c r="F2463" s="4">
        <f>SUMIFS('Dubai Stock'!I:I,'Dubai Stock'!H:H,Final_UAE!B:B)</f>
        <v/>
      </c>
      <c r="H2463" s="8" t="e">
        <v>#N/A</v>
      </c>
      <c r="I2463" s="8" t="n"/>
    </row>
    <row r="2464">
      <c r="A2464" s="4" t="n">
        <v>33834</v>
      </c>
      <c r="B2464" s="4" t="inlineStr">
        <is>
          <t>clstdai-acu-mois-p90-sn0225</t>
        </is>
      </c>
      <c r="C2464" s="4" t="inlineStr">
        <is>
          <t>W00031886A</t>
        </is>
      </c>
      <c r="D2464" s="6">
        <f>IF(F2464&gt;=5, F2464-5, IF(F2464&lt;5, 0, F2464))</f>
        <v/>
      </c>
      <c r="E2464">
        <f>VLOOKUP(B2464,[1]Namshi!$A:$B,2,0)</f>
        <v/>
      </c>
      <c r="F2464" s="4">
        <f>SUMIFS('Dubai Stock'!I:I,'Dubai Stock'!H:H,Final_UAE!B:B)</f>
        <v/>
      </c>
      <c r="H2464" s="8" t="e">
        <v>#N/A</v>
      </c>
      <c r="I2464" s="8" t="n"/>
    </row>
    <row r="2465">
      <c r="A2465" s="4" t="n">
        <v>33834</v>
      </c>
      <c r="B2465" s="4" t="inlineStr">
        <is>
          <t>clstdai-sof-sdai-p30-sp0450</t>
        </is>
      </c>
      <c r="C2465" s="4" t="inlineStr">
        <is>
          <t>W00031886A</t>
        </is>
      </c>
      <c r="D2465" s="6">
        <f>IF(F2465&gt;=5, F2465-5, IF(F2465&lt;5, 0, F2465))</f>
        <v/>
      </c>
      <c r="E2465">
        <f>VLOOKUP(B2465,[1]Namshi!$A:$B,2,0)</f>
        <v/>
      </c>
      <c r="F2465" s="4">
        <f>SUMIFS('Dubai Stock'!I:I,'Dubai Stock'!H:H,Final_UAE!B:B)</f>
        <v/>
      </c>
      <c r="H2465" s="8" t="e">
        <v>#N/A</v>
      </c>
      <c r="I2465" s="8" t="n"/>
    </row>
    <row r="2466">
      <c r="A2466" s="4" t="n">
        <v>33834</v>
      </c>
      <c r="B2466" s="4" t="inlineStr">
        <is>
          <t>sw40101-bla-000260-0101-52</t>
        </is>
      </c>
      <c r="C2466" s="4" t="inlineStr">
        <is>
          <t>W00031886A</t>
        </is>
      </c>
      <c r="D2466" s="6">
        <f>IF(F2466&gt;=5, F2466-5, IF(F2466&lt;5, 0, F2466))</f>
        <v/>
      </c>
      <c r="E2466">
        <f>VLOOKUP(B2466,[1]Namshi!$A:$B,2,0)</f>
        <v/>
      </c>
      <c r="F2466" s="4">
        <f>SUMIFS('Dubai Stock'!I:I,'Dubai Stock'!H:H,Final_UAE!B:B)</f>
        <v/>
      </c>
      <c r="H2466" s="8" t="e">
        <v>#N/A</v>
      </c>
    </row>
    <row r="2467">
      <c r="A2467" s="4" t="n">
        <v>33834</v>
      </c>
      <c r="B2467" s="4" t="inlineStr">
        <is>
          <t>clstdai-dai-tot1-p90-sp0200</t>
        </is>
      </c>
      <c r="C2467" s="4" t="inlineStr">
        <is>
          <t>W00031886A</t>
        </is>
      </c>
      <c r="D2467" s="6">
        <f>IF(F2467&gt;=5, F2467-5, IF(F2467&lt;5, 0, F2467))</f>
        <v/>
      </c>
      <c r="E2467">
        <f>VLOOKUP(B2467,[1]Namshi!$A:$B,2,0)</f>
        <v/>
      </c>
      <c r="F2467" s="4">
        <f>SUMIFS('Dubai Stock'!I:I,'Dubai Stock'!H:H,Final_UAE!B:B)</f>
        <v/>
      </c>
      <c r="H2467" s="8" t="e">
        <v>#N/A</v>
      </c>
      <c r="I2467" s="8" t="n"/>
    </row>
    <row r="2468">
      <c r="A2468" s="4" t="n">
        <v>33834</v>
      </c>
      <c r="B2468" s="4" t="inlineStr">
        <is>
          <t>clstdai-acu-mois-p90-sp0600</t>
        </is>
      </c>
      <c r="C2468" s="4" t="inlineStr">
        <is>
          <t>W00031886A</t>
        </is>
      </c>
      <c r="D2468" s="6">
        <f>IF(F2468&gt;=5, F2468-5, IF(F2468&lt;5, 0, F2468))</f>
        <v/>
      </c>
      <c r="E2468">
        <f>VLOOKUP(B2468,[1]Namshi!$A:$B,2,0)</f>
        <v/>
      </c>
      <c r="F2468" s="4">
        <f>SUMIFS('Dubai Stock'!I:I,'Dubai Stock'!H:H,Final_UAE!B:B)</f>
        <v/>
      </c>
      <c r="H2468" s="8" t="e">
        <v>#N/A</v>
      </c>
      <c r="I2468" s="8" t="n"/>
    </row>
    <row r="2469">
      <c r="A2469" s="4" t="n">
        <v>33834</v>
      </c>
      <c r="B2469" s="4" t="inlineStr">
        <is>
          <t>clstdai-acu-omax-p30-sn1200</t>
        </is>
      </c>
      <c r="C2469" s="4" t="inlineStr">
        <is>
          <t>W00031886A</t>
        </is>
      </c>
      <c r="D2469" s="6">
        <f>IF(F2469&gt;=5, F2469-5, IF(F2469&lt;5, 0, F2469))</f>
        <v/>
      </c>
      <c r="E2469">
        <f>VLOOKUP(B2469,[1]Namshi!$A:$B,2,0)</f>
        <v/>
      </c>
      <c r="F2469" s="4">
        <f>SUMIFS('Dubai Stock'!I:I,'Dubai Stock'!H:H,Final_UAE!B:B)</f>
        <v/>
      </c>
      <c r="H2469" s="8" t="e">
        <v>#N/A</v>
      </c>
      <c r="I2469" s="8" t="n"/>
    </row>
    <row r="2470">
      <c r="A2470" s="4" t="n">
        <v>33834</v>
      </c>
      <c r="B2470" s="4" t="inlineStr">
        <is>
          <t>clstdai-sof-sdai-p90-sn0650</t>
        </is>
      </c>
      <c r="C2470" s="4" t="inlineStr">
        <is>
          <t>W00031886A</t>
        </is>
      </c>
      <c r="D2470" s="6">
        <f>IF(F2470&gt;=5, F2470-5, IF(F2470&lt;5, 0, F2470))</f>
        <v/>
      </c>
      <c r="E2470">
        <f>VLOOKUP(B2470,[1]Namshi!$A:$B,2,0)</f>
        <v/>
      </c>
      <c r="F2470" s="4">
        <f>SUMIFS('Dubai Stock'!I:I,'Dubai Stock'!H:H,Final_UAE!B:B)</f>
        <v/>
      </c>
      <c r="H2470" s="8" t="e">
        <v>#N/A</v>
      </c>
      <c r="I2470" s="8" t="n"/>
    </row>
    <row r="2471">
      <c r="A2471" s="4" t="n">
        <v>33834</v>
      </c>
      <c r="B2471" s="4" t="inlineStr">
        <is>
          <t>sc20207-bab-000501-2807-46</t>
        </is>
      </c>
      <c r="C2471" s="4" t="inlineStr">
        <is>
          <t>W00031886A</t>
        </is>
      </c>
      <c r="D2471" s="6">
        <f>IF(F2471&gt;=5, F2471-5, IF(F2471&lt;5, 0, F2471))</f>
        <v/>
      </c>
      <c r="E2471">
        <f>VLOOKUP(B2471,[1]Namshi!$A:$B,2,0)</f>
        <v/>
      </c>
      <c r="F2471" s="4">
        <f>SUMIFS('Dubai Stock'!I:I,'Dubai Stock'!H:H,Final_UAE!B:B)</f>
        <v/>
      </c>
      <c r="H2471" s="8" t="e">
        <v>#N/A</v>
      </c>
    </row>
    <row r="2472">
      <c r="A2472" s="4" t="n">
        <v>33834</v>
      </c>
      <c r="B2472" s="4" t="inlineStr">
        <is>
          <t>clstdai-dai-tot1-p30-sp0600</t>
        </is>
      </c>
      <c r="C2472" s="4" t="inlineStr">
        <is>
          <t>W00031886A</t>
        </is>
      </c>
      <c r="D2472" s="6">
        <f>IF(F2472&gt;=5, F2472-5, IF(F2472&lt;5, 0, F2472))</f>
        <v/>
      </c>
      <c r="E2472">
        <f>VLOOKUP(B2472,[1]Namshi!$A:$B,2,0)</f>
        <v/>
      </c>
      <c r="F2472" s="4">
        <f>SUMIFS('Dubai Stock'!I:I,'Dubai Stock'!H:H,Final_UAE!B:B)</f>
        <v/>
      </c>
      <c r="H2472" s="8" t="e">
        <v>#N/A</v>
      </c>
      <c r="I2472" s="8" t="n"/>
    </row>
    <row r="2473">
      <c r="A2473" s="4" t="n">
        <v>33834</v>
      </c>
      <c r="B2473" s="4" t="inlineStr">
        <is>
          <t>clstmon-sof-sl59-p06-sn0100</t>
        </is>
      </c>
      <c r="C2473" s="4" t="inlineStr">
        <is>
          <t>W00031886A</t>
        </is>
      </c>
      <c r="D2473" s="6">
        <f>IF(F2473&gt;=5, F2473-5, IF(F2473&lt;5, 0, F2473))</f>
        <v/>
      </c>
      <c r="E2473">
        <f>VLOOKUP(B2473,[1]Namshi!$A:$B,2,0)</f>
        <v/>
      </c>
      <c r="F2473" s="4">
        <f>SUMIFS('Dubai Stock'!I:I,'Dubai Stock'!H:H,Final_UAE!B:B)</f>
        <v/>
      </c>
      <c r="H2473" s="8" t="e">
        <v>#N/A</v>
      </c>
      <c r="I2473" s="8" t="n"/>
    </row>
    <row r="2474">
      <c r="A2474" s="4" t="n">
        <v>33834</v>
      </c>
      <c r="B2474" s="4" t="inlineStr">
        <is>
          <t>sw32504-30s-000124-2504-51</t>
        </is>
      </c>
      <c r="C2474" s="4" t="inlineStr">
        <is>
          <t>W00031886A</t>
        </is>
      </c>
      <c r="D2474" s="6">
        <f>IF(F2474&gt;=5, F2474-5, IF(F2474&lt;5, 0, F2474))</f>
        <v/>
      </c>
      <c r="E2474">
        <f>VLOOKUP(B2474,[1]Namshi!$A:$B,2,0)</f>
        <v/>
      </c>
      <c r="F2474" s="4">
        <f>SUMIFS('Dubai Stock'!I:I,'Dubai Stock'!H:H,Final_UAE!B:B)</f>
        <v/>
      </c>
      <c r="H2474" s="8" t="e">
        <v>#N/A</v>
      </c>
    </row>
    <row r="2475">
      <c r="A2475" s="4" t="n">
        <v>33834</v>
      </c>
      <c r="B2475" s="4" t="inlineStr">
        <is>
          <t>costdai-acu-dffr-p10-green-sn0375</t>
        </is>
      </c>
      <c r="C2475" s="4" t="inlineStr">
        <is>
          <t>W00031886A</t>
        </is>
      </c>
      <c r="D2475" s="6">
        <f>IF(F2475&gt;=5, F2475-5, IF(F2475&lt;5, 0, F2475))</f>
        <v/>
      </c>
      <c r="E2475">
        <f>VLOOKUP(B2475,[1]Namshi!$A:$B,2,0)</f>
        <v/>
      </c>
      <c r="F2475" s="4">
        <f>SUMIFS('Dubai Stock'!I:I,'Dubai Stock'!H:H,Final_UAE!B:B)</f>
        <v/>
      </c>
      <c r="H2475" s="8" t="e">
        <v>#N/A</v>
      </c>
      <c r="I2475" s="8" t="n"/>
    </row>
    <row r="2476">
      <c r="A2476" s="4" t="n">
        <v>33834</v>
      </c>
      <c r="B2476" s="4" t="inlineStr">
        <is>
          <t>clstdai-acu-dfrb-p60-sn0400</t>
        </is>
      </c>
      <c r="C2476" s="4" t="inlineStr">
        <is>
          <t>W00031886A</t>
        </is>
      </c>
      <c r="D2476" s="6">
        <f>IF(F2476&gt;=5, F2476-5, IF(F2476&lt;5, 0, F2476))</f>
        <v/>
      </c>
      <c r="E2476">
        <f>VLOOKUP(B2476,[1]Namshi!$A:$B,2,0)</f>
        <v/>
      </c>
      <c r="F2476" s="4">
        <f>SUMIFS('Dubai Stock'!I:I,'Dubai Stock'!H:H,Final_UAE!B:B)</f>
        <v/>
      </c>
      <c r="H2476" s="8" t="e">
        <v>#N/A</v>
      </c>
      <c r="I2476" s="8" t="n"/>
    </row>
    <row r="2477">
      <c r="A2477" s="4" t="n">
        <v>33834</v>
      </c>
      <c r="B2477" s="4" t="inlineStr">
        <is>
          <t>clstdai-dai-tot1-p30-sp0325</t>
        </is>
      </c>
      <c r="C2477" s="4" t="inlineStr">
        <is>
          <t>W00031886A</t>
        </is>
      </c>
      <c r="D2477" s="6">
        <f>IF(F2477&gt;=5, F2477-5, IF(F2477&lt;5, 0, F2477))</f>
        <v/>
      </c>
      <c r="E2477">
        <f>VLOOKUP(B2477,[1]Namshi!$A:$B,2,0)</f>
        <v/>
      </c>
      <c r="F2477" s="4">
        <f>SUMIFS('Dubai Stock'!I:I,'Dubai Stock'!H:H,Final_UAE!B:B)</f>
        <v/>
      </c>
      <c r="H2477" s="8" t="e">
        <v>#N/A</v>
      </c>
      <c r="I2477" s="8" t="n"/>
    </row>
    <row r="2478">
      <c r="A2478" s="4" t="n">
        <v>33834</v>
      </c>
      <c r="B2478" s="4" t="inlineStr">
        <is>
          <t>clstdai-lay-cont-p90-dazzle-black-sn0150</t>
        </is>
      </c>
      <c r="C2478" s="4" t="inlineStr">
        <is>
          <t>W00031886A</t>
        </is>
      </c>
      <c r="D2478" s="6">
        <f>IF(F2478&gt;=5, F2478-5, IF(F2478&lt;5, 0, F2478))</f>
        <v/>
      </c>
      <c r="E2478">
        <f>VLOOKUP(B2478,[1]Namshi!$A:$B,2,0)</f>
        <v/>
      </c>
      <c r="F2478" s="4">
        <f>SUMIFS('Dubai Stock'!I:I,'Dubai Stock'!H:H,Final_UAE!B:B)</f>
        <v/>
      </c>
      <c r="H2478" s="8" t="e">
        <v>#N/A</v>
      </c>
      <c r="I2478" s="8" t="n"/>
    </row>
    <row r="2479">
      <c r="A2479" s="4" t="n">
        <v>33834</v>
      </c>
      <c r="B2479" s="4" t="inlineStr">
        <is>
          <t>clstdai-acu-oasy-p90-sn0850</t>
        </is>
      </c>
      <c r="C2479" s="4" t="inlineStr">
        <is>
          <t>W00031886A</t>
        </is>
      </c>
      <c r="D2479" s="6">
        <f>IF(F2479&gt;=5, F2479-5, IF(F2479&lt;5, 0, F2479))</f>
        <v/>
      </c>
      <c r="E2479">
        <f>VLOOKUP(B2479,[1]Namshi!$A:$B,2,0)</f>
        <v/>
      </c>
      <c r="F2479" s="4">
        <f>SUMIFS('Dubai Stock'!I:I,'Dubai Stock'!H:H,Final_UAE!B:B)</f>
        <v/>
      </c>
      <c r="H2479" s="8" t="e">
        <v>#N/A</v>
      </c>
      <c r="I2479" s="8" t="n"/>
    </row>
    <row r="2480">
      <c r="A2480" s="4" t="n">
        <v>33834</v>
      </c>
      <c r="B2480" s="4" t="inlineStr">
        <is>
          <t>sc40606-bab-000515-0606d-46</t>
        </is>
      </c>
      <c r="C2480" s="4" t="inlineStr">
        <is>
          <t>W00031886A</t>
        </is>
      </c>
      <c r="D2480" s="6">
        <f>IF(F2480&gt;=5, F2480-5, IF(F2480&lt;5, 0, F2480))</f>
        <v/>
      </c>
      <c r="E2480">
        <f>VLOOKUP(B2480,[1]Namshi!$A:$B,2,0)</f>
        <v/>
      </c>
      <c r="F2480" s="4">
        <f>SUMIFS('Dubai Stock'!I:I,'Dubai Stock'!H:H,Final_UAE!B:B)</f>
        <v/>
      </c>
      <c r="H2480" s="8" t="e">
        <v>#N/A</v>
      </c>
    </row>
    <row r="2481">
      <c r="A2481" s="4" t="n">
        <v>33834</v>
      </c>
      <c r="B2481" s="4" t="inlineStr">
        <is>
          <t>clstdai-acu-omax-p30-sn0600</t>
        </is>
      </c>
      <c r="C2481" s="4" t="inlineStr">
        <is>
          <t>W00031886A</t>
        </is>
      </c>
      <c r="D2481" s="6">
        <f>IF(F2481&gt;=5, F2481-5, IF(F2481&lt;5, 0, F2481))</f>
        <v/>
      </c>
      <c r="E2481">
        <f>VLOOKUP(B2481,[1]Namshi!$A:$B,2,0)</f>
        <v/>
      </c>
      <c r="F2481" s="4">
        <f>SUMIFS('Dubai Stock'!I:I,'Dubai Stock'!H:H,Final_UAE!B:B)</f>
        <v/>
      </c>
      <c r="H2481" s="8" t="e">
        <v>#N/A</v>
      </c>
      <c r="I2481" s="8" t="n"/>
    </row>
    <row r="2482">
      <c r="A2482" s="4" t="n">
        <v>33834</v>
      </c>
      <c r="B2482" s="4" t="inlineStr">
        <is>
          <t>sc20807-bab-000500-0807-40</t>
        </is>
      </c>
      <c r="C2482" s="4" t="inlineStr">
        <is>
          <t>W00031886A</t>
        </is>
      </c>
      <c r="D2482" s="6">
        <f>IF(F2482&gt;=5, F2482-5, IF(F2482&lt;5, 0, F2482))</f>
        <v/>
      </c>
      <c r="E2482">
        <f>VLOOKUP(B2482,[1]Namshi!$A:$B,2,0)</f>
        <v/>
      </c>
      <c r="F2482" s="4">
        <f>SUMIFS('Dubai Stock'!I:I,'Dubai Stock'!H:H,Final_UAE!B:B)</f>
        <v/>
      </c>
      <c r="H2482" s="8" t="e">
        <v>#N/A</v>
      </c>
    </row>
    <row r="2483">
      <c r="A2483" s="4" t="n">
        <v>33834</v>
      </c>
      <c r="B2483" s="4" t="inlineStr">
        <is>
          <t>clstdai-eve-elit-p90-sn1200</t>
        </is>
      </c>
      <c r="C2483" s="4" t="inlineStr">
        <is>
          <t>W00031886A</t>
        </is>
      </c>
      <c r="D2483" s="6">
        <f>IF(F2483&gt;=5, F2483-5, IF(F2483&lt;5, 0, F2483))</f>
        <v/>
      </c>
      <c r="E2483">
        <f>VLOOKUP(B2483,[1]Namshi!$A:$B,2,0)</f>
        <v/>
      </c>
      <c r="F2483" s="4">
        <f>SUMIFS('Dubai Stock'!I:I,'Dubai Stock'!H:H,Final_UAE!B:B)</f>
        <v/>
      </c>
      <c r="H2483" s="8" t="n">
        <v>729</v>
      </c>
      <c r="I2483" s="8" t="n">
        <v>357</v>
      </c>
    </row>
    <row r="2484">
      <c r="A2484" s="4" t="n">
        <v>33834</v>
      </c>
      <c r="B2484" s="4" t="inlineStr">
        <is>
          <t>costdai-acu-dffr-p10-grayzel-sn0075</t>
        </is>
      </c>
      <c r="C2484" s="4" t="inlineStr">
        <is>
          <t>W00031886A</t>
        </is>
      </c>
      <c r="D2484" s="6">
        <f>IF(F2484&gt;=5, F2484-5, IF(F2484&lt;5, 0, F2484))</f>
        <v/>
      </c>
      <c r="E2484">
        <f>VLOOKUP(B2484,[1]Namshi!$A:$B,2,0)</f>
        <v/>
      </c>
      <c r="F2484" s="4">
        <f>SUMIFS('Dubai Stock'!I:I,'Dubai Stock'!H:H,Final_UAE!B:B)</f>
        <v/>
      </c>
      <c r="H2484" s="8" t="e">
        <v>#N/A</v>
      </c>
      <c r="I2484" s="8" t="n"/>
    </row>
    <row r="2485">
      <c r="A2485" s="4" t="n">
        <v>33834</v>
      </c>
      <c r="B2485" s="4" t="inlineStr">
        <is>
          <t>clstdai-acu-mois-p90-sn1100</t>
        </is>
      </c>
      <c r="C2485" s="4" t="inlineStr">
        <is>
          <t>W00031886A</t>
        </is>
      </c>
      <c r="D2485" s="6">
        <f>IF(F2485&gt;=5, F2485-5, IF(F2485&lt;5, 0, F2485))</f>
        <v/>
      </c>
      <c r="E2485">
        <f>VLOOKUP(B2485,[1]Namshi!$A:$B,2,0)</f>
        <v/>
      </c>
      <c r="F2485" s="4">
        <f>SUMIFS('Dubai Stock'!I:I,'Dubai Stock'!H:H,Final_UAE!B:B)</f>
        <v/>
      </c>
      <c r="H2485" s="8" t="e">
        <v>#N/A</v>
      </c>
      <c r="I2485" s="8" t="n"/>
    </row>
    <row r="2486">
      <c r="A2486" s="4" t="n">
        <v>33834</v>
      </c>
      <c r="B2486" s="4" t="inlineStr">
        <is>
          <t>clstdai-acu-dfna-p30-sn0450</t>
        </is>
      </c>
      <c r="C2486" s="4" t="inlineStr">
        <is>
          <t>W00031886A</t>
        </is>
      </c>
      <c r="D2486" s="6">
        <f>IF(F2486&gt;=5, F2486-5, IF(F2486&lt;5, 0, F2486))</f>
        <v/>
      </c>
      <c r="E2486">
        <f>VLOOKUP(B2486,[1]Namshi!$A:$B,2,0)</f>
        <v/>
      </c>
      <c r="F2486" s="4">
        <f>SUMIFS('Dubai Stock'!I:I,'Dubai Stock'!H:H,Final_UAE!B:B)</f>
        <v/>
      </c>
      <c r="H2486" s="8" t="e">
        <v>#N/A</v>
      </c>
      <c r="I2486" s="8" t="n"/>
    </row>
    <row r="2487">
      <c r="A2487" s="4" t="n">
        <v>33834</v>
      </c>
      <c r="B2487" s="4" t="inlineStr">
        <is>
          <t>clstdai-acu-dfna-p30-sn0500</t>
        </is>
      </c>
      <c r="C2487" s="4" t="inlineStr">
        <is>
          <t>W00031886A</t>
        </is>
      </c>
      <c r="D2487" s="6">
        <f>IF(F2487&gt;=5, F2487-5, IF(F2487&lt;5, 0, F2487))</f>
        <v/>
      </c>
      <c r="E2487">
        <f>VLOOKUP(B2487,[1]Namshi!$A:$B,2,0)</f>
        <v/>
      </c>
      <c r="F2487" s="4">
        <f>SUMIFS('Dubai Stock'!I:I,'Dubai Stock'!H:H,Final_UAE!B:B)</f>
        <v/>
      </c>
      <c r="H2487" s="8" t="e">
        <v>#N/A</v>
      </c>
      <c r="I2487" s="8" t="n"/>
    </row>
    <row r="2488">
      <c r="A2488" s="4" t="n">
        <v>33834</v>
      </c>
      <c r="B2488" s="4" t="inlineStr">
        <is>
          <t>clstdai-acu-dfvi-p60-sn0400</t>
        </is>
      </c>
      <c r="C2488" s="4" t="inlineStr">
        <is>
          <t>W00031886A</t>
        </is>
      </c>
      <c r="D2488" s="6">
        <f>IF(F2488&gt;=5, F2488-5, IF(F2488&lt;5, 0, F2488))</f>
        <v/>
      </c>
      <c r="E2488">
        <f>VLOOKUP(B2488,[1]Namshi!$A:$B,2,0)</f>
        <v/>
      </c>
      <c r="F2488" s="4">
        <f>SUMIFS('Dubai Stock'!I:I,'Dubai Stock'!H:H,Final_UAE!B:B)</f>
        <v/>
      </c>
      <c r="H2488" s="8" t="e">
        <v>#N/A</v>
      </c>
      <c r="I2488" s="8" t="n"/>
    </row>
    <row r="2489">
      <c r="A2489" s="4" t="n">
        <v>33834</v>
      </c>
      <c r="B2489" s="4" t="inlineStr">
        <is>
          <t>clstdai-acu-oasy-p30-sn0550</t>
        </is>
      </c>
      <c r="C2489" s="4" t="inlineStr">
        <is>
          <t>W00031886A</t>
        </is>
      </c>
      <c r="D2489" s="6">
        <f>IF(F2489&gt;=5, F2489-5, IF(F2489&lt;5, 0, F2489))</f>
        <v/>
      </c>
      <c r="E2489">
        <f>VLOOKUP(B2489,[1]Namshi!$A:$B,2,0)</f>
        <v/>
      </c>
      <c r="F2489" s="4">
        <f>SUMIFS('Dubai Stock'!I:I,'Dubai Stock'!H:H,Final_UAE!B:B)</f>
        <v/>
      </c>
      <c r="H2489" s="8" t="e">
        <v>#N/A</v>
      </c>
      <c r="I2489" s="8" t="n"/>
    </row>
    <row r="2490">
      <c r="A2490" s="4" t="n">
        <v>33834</v>
      </c>
      <c r="B2490" s="4" t="inlineStr">
        <is>
          <t>sacchan-30s-chain133-wht-ivy-white</t>
        </is>
      </c>
      <c r="C2490" s="4" t="inlineStr">
        <is>
          <t>W00031886A</t>
        </is>
      </c>
      <c r="D2490" s="6">
        <f>IF(F2490&gt;=5, F2490-5, IF(F2490&lt;5, 0, F2490))</f>
        <v/>
      </c>
      <c r="E2490">
        <f>VLOOKUP(B2490,[1]Namshi!$A:$B,2,0)</f>
        <v/>
      </c>
      <c r="F2490" s="4">
        <f>SUMIFS('Dubai Stock'!I:I,'Dubai Stock'!H:H,Final_UAE!B:B)</f>
        <v/>
      </c>
      <c r="H2490" s="8" t="e">
        <v>#N/A</v>
      </c>
      <c r="I2490" s="8" t="n"/>
    </row>
    <row r="2491">
      <c r="A2491" s="4" t="n">
        <v>33834</v>
      </c>
      <c r="B2491" s="4" t="inlineStr">
        <is>
          <t>cost3mo-lay-2021-p02-stardust-gray-sn0375</t>
        </is>
      </c>
      <c r="C2491" s="4" t="inlineStr">
        <is>
          <t>W00031886A</t>
        </is>
      </c>
      <c r="D2491" s="6">
        <f>IF(F2491&gt;=5, F2491-5, IF(F2491&lt;5, 0, F2491))</f>
        <v/>
      </c>
      <c r="E2491">
        <f>VLOOKUP(B2491,[1]Namshi!$A:$B,2,0)</f>
        <v/>
      </c>
      <c r="F2491" s="4">
        <f>SUMIFS('Dubai Stock'!I:I,'Dubai Stock'!H:H,Final_UAE!B:B)</f>
        <v/>
      </c>
      <c r="H2491" s="8" t="e">
        <v>#N/A</v>
      </c>
      <c r="I2491" s="8" t="n"/>
    </row>
    <row r="2492">
      <c r="A2492" s="4" t="n">
        <v>33834</v>
      </c>
      <c r="B2492" s="4" t="inlineStr">
        <is>
          <t>clstdai-eve-elit-p90-sp0550</t>
        </is>
      </c>
      <c r="C2492" s="4" t="inlineStr">
        <is>
          <t>W00031886A</t>
        </is>
      </c>
      <c r="D2492" s="6">
        <f>IF(F2492&gt;=5, F2492-5, IF(F2492&lt;5, 0, F2492))</f>
        <v/>
      </c>
      <c r="E2492">
        <f>VLOOKUP(B2492,[1]Namshi!$A:$B,2,0)</f>
        <v/>
      </c>
      <c r="F2492" s="4">
        <f>SUMIFS('Dubai Stock'!I:I,'Dubai Stock'!H:H,Final_UAE!B:B)</f>
        <v/>
      </c>
      <c r="H2492" s="8" t="n">
        <v>729</v>
      </c>
      <c r="I2492" s="8" t="n">
        <v>357</v>
      </c>
    </row>
    <row r="2493">
      <c r="A2493" s="4" t="n">
        <v>33834</v>
      </c>
      <c r="B2493" s="4" t="inlineStr">
        <is>
          <t>sc20607-bab-000240-0607-42</t>
        </is>
      </c>
      <c r="C2493" s="4" t="inlineStr">
        <is>
          <t>W00031886A</t>
        </is>
      </c>
      <c r="D2493" s="6">
        <f>IF(F2493&gt;=5, F2493-5, IF(F2493&lt;5, 0, F2493))</f>
        <v/>
      </c>
      <c r="E2493">
        <f>VLOOKUP(B2493,[1]Namshi!$A:$B,2,0)</f>
        <v/>
      </c>
      <c r="F2493" s="4">
        <f>SUMIFS('Dubai Stock'!I:I,'Dubai Stock'!H:H,Final_UAE!B:B)</f>
        <v/>
      </c>
      <c r="H2493" s="8" t="e">
        <v>#N/A</v>
      </c>
    </row>
    <row r="2494">
      <c r="A2494" s="4" t="n">
        <v>33834</v>
      </c>
      <c r="B2494" s="4" t="inlineStr">
        <is>
          <t>clstdai-acu-oasy-p90-sp0425</t>
        </is>
      </c>
      <c r="C2494" s="4" t="inlineStr">
        <is>
          <t>W00031886A</t>
        </is>
      </c>
      <c r="D2494" s="6">
        <f>IF(F2494&gt;=5, F2494-5, IF(F2494&lt;5, 0, F2494))</f>
        <v/>
      </c>
      <c r="E2494">
        <f>VLOOKUP(B2494,[1]Namshi!$A:$B,2,0)</f>
        <v/>
      </c>
      <c r="F2494" s="4">
        <f>SUMIFS('Dubai Stock'!I:I,'Dubai Stock'!H:H,Final_UAE!B:B)</f>
        <v/>
      </c>
      <c r="H2494" s="8" t="e">
        <v>#N/A</v>
      </c>
      <c r="I2494" s="8" t="n"/>
    </row>
    <row r="2495">
      <c r="A2495" s="4" t="n">
        <v>33834</v>
      </c>
      <c r="B2495" s="4" t="inlineStr">
        <is>
          <t>sunglasses-30Sundays-30s-000451-0107</t>
        </is>
      </c>
      <c r="C2495" s="4" t="inlineStr">
        <is>
          <t>W00031886A</t>
        </is>
      </c>
      <c r="D2495" s="6">
        <f>IF(F2495&gt;=5, F2495-5, IF(F2495&lt;5, 0, F2495))</f>
        <v/>
      </c>
      <c r="E2495">
        <f>VLOOKUP(B2495,[1]Namshi!$A:$B,2,0)</f>
        <v/>
      </c>
      <c r="F2495" s="4">
        <f>SUMIFS('Dubai Stock'!I:I,'Dubai Stock'!H:H,Final_UAE!B:B)</f>
        <v/>
      </c>
      <c r="H2495" s="8" t="e">
        <v>#N/A</v>
      </c>
      <c r="I2495" s="8" t="n"/>
    </row>
    <row r="2496">
      <c r="A2496" s="4" t="n">
        <v>33834</v>
      </c>
      <c r="B2496" s="4" t="inlineStr">
        <is>
          <t>costdai-acu-dffr-p10-honey-sn0125</t>
        </is>
      </c>
      <c r="C2496" s="4" t="inlineStr">
        <is>
          <t>W00031886A</t>
        </is>
      </c>
      <c r="D2496" s="6">
        <f>IF(F2496&gt;=5, F2496-5, IF(F2496&lt;5, 0, F2496))</f>
        <v/>
      </c>
      <c r="E2496">
        <f>VLOOKUP(B2496,[1]Namshi!$A:$B,2,0)</f>
        <v/>
      </c>
      <c r="F2496" s="4">
        <f>SUMIFS('Dubai Stock'!I:I,'Dubai Stock'!H:H,Final_UAE!B:B)</f>
        <v/>
      </c>
      <c r="H2496" s="8" t="e">
        <v>#N/A</v>
      </c>
      <c r="I2496" s="8" t="n"/>
    </row>
    <row r="2497">
      <c r="A2497" s="4" t="n">
        <v>33834</v>
      </c>
      <c r="B2497" s="4" t="inlineStr">
        <is>
          <t>clstmon-sof-sl59-p06-sn0275</t>
        </is>
      </c>
      <c r="C2497" s="4" t="inlineStr">
        <is>
          <t>W00031886A</t>
        </is>
      </c>
      <c r="D2497" s="6">
        <f>IF(F2497&gt;=5, F2497-5, IF(F2497&lt;5, 0, F2497))</f>
        <v/>
      </c>
      <c r="E2497">
        <f>VLOOKUP(B2497,[1]Namshi!$A:$B,2,0)</f>
        <v/>
      </c>
      <c r="F2497" s="4">
        <f>SUMIFS('Dubai Stock'!I:I,'Dubai Stock'!H:H,Final_UAE!B:B)</f>
        <v/>
      </c>
      <c r="H2497" s="8" t="e">
        <v>#N/A</v>
      </c>
      <c r="I2497" s="8" t="n"/>
    </row>
    <row r="2498">
      <c r="A2498" s="4" t="n">
        <v>33834</v>
      </c>
      <c r="B2498" s="4" t="inlineStr">
        <is>
          <t>clstdai-acu-mois-p60-sn0225</t>
        </is>
      </c>
      <c r="C2498" s="4" t="inlineStr">
        <is>
          <t>W00031886A</t>
        </is>
      </c>
      <c r="D2498" s="6">
        <f>IF(F2498&gt;=5, F2498-5, IF(F2498&lt;5, 0, F2498))</f>
        <v/>
      </c>
      <c r="E2498">
        <f>VLOOKUP(B2498,[1]Namshi!$A:$B,2,0)</f>
        <v/>
      </c>
      <c r="F2498" s="4">
        <f>SUMIFS('Dubai Stock'!I:I,'Dubai Stock'!H:H,Final_UAE!B:B)</f>
        <v/>
      </c>
      <c r="H2498" s="8" t="e">
        <v>#N/A</v>
      </c>
      <c r="I2498" s="8" t="n"/>
    </row>
    <row r="2499">
      <c r="A2499" s="4" t="n">
        <v>33834</v>
      </c>
      <c r="B2499" s="4" t="inlineStr">
        <is>
          <t>clstbiw-acu-0002-p06-sn1200</t>
        </is>
      </c>
      <c r="C2499" s="4" t="inlineStr">
        <is>
          <t>W00031886A</t>
        </is>
      </c>
      <c r="D2499" s="6">
        <f>IF(F2499&gt;=5, F2499-5, IF(F2499&lt;5, 0, F2499))</f>
        <v/>
      </c>
      <c r="E2499">
        <f>VLOOKUP(B2499,[1]Namshi!$A:$B,2,0)</f>
        <v/>
      </c>
      <c r="F2499" s="4">
        <f>SUMIFS('Dubai Stock'!I:I,'Dubai Stock'!H:H,Final_UAE!B:B)</f>
        <v/>
      </c>
      <c r="H2499" s="8" t="e">
        <v>#N/A</v>
      </c>
      <c r="I2499" s="8" t="n"/>
    </row>
    <row r="2500">
      <c r="A2500" s="4" t="n">
        <v>33834</v>
      </c>
      <c r="B2500" s="4" t="inlineStr">
        <is>
          <t>clstdai-acu-dfrb-p90-sn0325</t>
        </is>
      </c>
      <c r="C2500" s="4" t="inlineStr">
        <is>
          <t>W00031886A</t>
        </is>
      </c>
      <c r="D2500" s="6">
        <f>IF(F2500&gt;=5, F2500-5, IF(F2500&lt;5, 0, F2500))</f>
        <v/>
      </c>
      <c r="E2500">
        <f>VLOOKUP(B2500,[1]Namshi!$A:$B,2,0)</f>
        <v/>
      </c>
      <c r="F2500" s="4">
        <f>SUMIFS('Dubai Stock'!I:I,'Dubai Stock'!H:H,Final_UAE!B:B)</f>
        <v/>
      </c>
      <c r="H2500" s="8" t="e">
        <v>#N/A</v>
      </c>
      <c r="I2500" s="8" t="n"/>
    </row>
    <row r="2501">
      <c r="A2501" s="4" t="n">
        <v>33834</v>
      </c>
      <c r="B2501" s="4" t="inlineStr">
        <is>
          <t>sw30404-30s-000108-0404-52</t>
        </is>
      </c>
      <c r="C2501" s="4" t="inlineStr">
        <is>
          <t>W00031886A</t>
        </is>
      </c>
      <c r="D2501" s="6">
        <f>IF(F2501&gt;=5, F2501-5, IF(F2501&lt;5, 0, F2501))</f>
        <v/>
      </c>
      <c r="E2501">
        <f>VLOOKUP(B2501,[1]Namshi!$A:$B,2,0)</f>
        <v/>
      </c>
      <c r="F2501" s="4">
        <f>SUMIFS('Dubai Stock'!I:I,'Dubai Stock'!H:H,Final_UAE!B:B)</f>
        <v/>
      </c>
      <c r="H2501" s="8" t="e">
        <v>#N/A</v>
      </c>
    </row>
    <row r="2502">
      <c r="A2502" s="4" t="n">
        <v>33834</v>
      </c>
      <c r="B2502" s="4" t="inlineStr">
        <is>
          <t>clstdai-acu-dfrb-p60-sn0600</t>
        </is>
      </c>
      <c r="C2502" s="4" t="inlineStr">
        <is>
          <t>W00031886A</t>
        </is>
      </c>
      <c r="D2502" s="6">
        <f>IF(F2502&gt;=5, F2502-5, IF(F2502&lt;5, 0, F2502))</f>
        <v/>
      </c>
      <c r="E2502">
        <f>VLOOKUP(B2502,[1]Namshi!$A:$B,2,0)</f>
        <v/>
      </c>
      <c r="F2502" s="4">
        <f>SUMIFS('Dubai Stock'!I:I,'Dubai Stock'!H:H,Final_UAE!B:B)</f>
        <v/>
      </c>
      <c r="H2502" s="8" t="e">
        <v>#N/A</v>
      </c>
      <c r="I2502" s="8" t="n"/>
    </row>
    <row r="2503">
      <c r="A2503" s="4" t="n">
        <v>33834</v>
      </c>
      <c r="B2503" s="4" t="inlineStr">
        <is>
          <t>cost3mo-lay-2025-p02-emerald-glow-sn0575</t>
        </is>
      </c>
      <c r="C2503" s="4" t="inlineStr">
        <is>
          <t>W00031886A</t>
        </is>
      </c>
      <c r="D2503" s="6">
        <f>IF(F2503&gt;=5, F2503-5, IF(F2503&lt;5, 0, F2503))</f>
        <v/>
      </c>
      <c r="E2503">
        <f>VLOOKUP(B2503,[1]Namshi!$A:$B,2,0)</f>
        <v/>
      </c>
      <c r="F2503" s="4">
        <f>SUMIFS('Dubai Stock'!I:I,'Dubai Stock'!H:H,Final_UAE!B:B)</f>
        <v/>
      </c>
      <c r="H2503" s="8" t="e">
        <v>#N/A</v>
      </c>
      <c r="I2503" s="8" t="n"/>
    </row>
    <row r="2504">
      <c r="A2504" s="4" t="n">
        <v>33834</v>
      </c>
      <c r="B2504" s="4" t="inlineStr">
        <is>
          <t>fw20218-spc-000505-0200-50</t>
        </is>
      </c>
      <c r="C2504" s="4" t="inlineStr">
        <is>
          <t>W00031886A</t>
        </is>
      </c>
      <c r="D2504" s="6">
        <f>IF(F2504&gt;=5, F2504-5, IF(F2504&lt;5, 0, F2504))</f>
        <v/>
      </c>
      <c r="E2504">
        <f>VLOOKUP(B2504,[1]Namshi!$A:$B,2,0)</f>
        <v/>
      </c>
      <c r="F2504" s="4">
        <f>SUMIFS('Dubai Stock'!I:I,'Dubai Stock'!H:H,Final_UAE!B:B)</f>
        <v/>
      </c>
      <c r="H2504" s="8" t="e">
        <v>#N/A</v>
      </c>
      <c r="I2504" s="8" t="n"/>
    </row>
    <row r="2505">
      <c r="A2505" s="4" t="n">
        <v>33834</v>
      </c>
      <c r="B2505" s="4" t="inlineStr">
        <is>
          <t>cost3mo-lay-2025-p02-desert-topaz-sn0100</t>
        </is>
      </c>
      <c r="C2505" s="4" t="inlineStr">
        <is>
          <t>W00031886A</t>
        </is>
      </c>
      <c r="D2505" s="6">
        <f>IF(F2505&gt;=5, F2505-5, IF(F2505&lt;5, 0, F2505))</f>
        <v/>
      </c>
      <c r="E2505">
        <f>VLOOKUP(B2505,[1]Namshi!$A:$B,2,0)</f>
        <v/>
      </c>
      <c r="F2505" s="4">
        <f>SUMIFS('Dubai Stock'!I:I,'Dubai Stock'!H:H,Final_UAE!B:B)</f>
        <v/>
      </c>
      <c r="H2505" s="8" t="e">
        <v>#N/A</v>
      </c>
      <c r="I2505" s="8" t="n"/>
    </row>
    <row r="2506">
      <c r="A2506" s="4" t="n">
        <v>33834</v>
      </c>
      <c r="B2506" s="4" t="inlineStr">
        <is>
          <t>clstbiw-acu-oasy-p06-sn0525</t>
        </is>
      </c>
      <c r="C2506" s="4" t="inlineStr">
        <is>
          <t>W00031886A</t>
        </is>
      </c>
      <c r="D2506" s="6">
        <f>IF(F2506&gt;=5, F2506-5, IF(F2506&lt;5, 0, F2506))</f>
        <v/>
      </c>
      <c r="E2506">
        <f>VLOOKUP(B2506,[1]Namshi!$A:$B,2,0)</f>
        <v/>
      </c>
      <c r="F2506" s="4">
        <f>SUMIFS('Dubai Stock'!I:I,'Dubai Stock'!H:H,Final_UAE!B:B)</f>
        <v/>
      </c>
      <c r="H2506" s="8" t="e">
        <v>#N/A</v>
      </c>
      <c r="I2506" s="8" t="n"/>
    </row>
    <row r="2507">
      <c r="A2507" s="4" t="n">
        <v>33834</v>
      </c>
      <c r="B2507" s="4" t="inlineStr">
        <is>
          <t>clstdai-lay-cont-p30-dazzle-black-sp0000</t>
        </is>
      </c>
      <c r="C2507" s="4" t="inlineStr">
        <is>
          <t>W00031886A</t>
        </is>
      </c>
      <c r="D2507" s="6">
        <f>IF(F2507&gt;=5, F2507-5, IF(F2507&lt;5, 0, F2507))</f>
        <v/>
      </c>
      <c r="E2507">
        <f>VLOOKUP(B2507,[1]Namshi!$A:$B,2,0)</f>
        <v/>
      </c>
      <c r="F2507" s="4">
        <f>SUMIFS('Dubai Stock'!I:I,'Dubai Stock'!H:H,Final_UAE!B:B)</f>
        <v/>
      </c>
      <c r="H2507" s="8" t="e">
        <v>#N/A</v>
      </c>
      <c r="I2507" s="8" t="n"/>
    </row>
    <row r="2508">
      <c r="A2508" s="4" t="n">
        <v>33834</v>
      </c>
      <c r="B2508" s="4" t="inlineStr">
        <is>
          <t>cltodai-acu-mois-p30-sn0575-cn0075-a160</t>
        </is>
      </c>
      <c r="C2508" s="4" t="inlineStr">
        <is>
          <t>W00031886A</t>
        </is>
      </c>
      <c r="D2508" s="6">
        <f>IF(F2508&gt;=5, F2508-5, IF(F2508&lt;5, 0, F2508))</f>
        <v/>
      </c>
      <c r="E2508">
        <f>VLOOKUP(B2508,[1]Namshi!$A:$B,2,0)</f>
        <v/>
      </c>
      <c r="F2508" s="4">
        <f>SUMIFS('Dubai Stock'!I:I,'Dubai Stock'!H:H,Final_UAE!B:B)</f>
        <v/>
      </c>
      <c r="H2508" s="8" t="e">
        <v>#N/A</v>
      </c>
      <c r="I2508" s="8" t="n"/>
    </row>
    <row r="2509">
      <c r="A2509" s="4" t="n">
        <v>33834</v>
      </c>
      <c r="B2509" s="4" t="inlineStr">
        <is>
          <t>clstdai-acu-dfrb-p30-sn0375</t>
        </is>
      </c>
      <c r="C2509" s="4" t="inlineStr">
        <is>
          <t>W00031886A</t>
        </is>
      </c>
      <c r="D2509" s="6">
        <f>IF(F2509&gt;=5, F2509-5, IF(F2509&lt;5, 0, F2509))</f>
        <v/>
      </c>
      <c r="E2509">
        <f>VLOOKUP(B2509,[1]Namshi!$A:$B,2,0)</f>
        <v/>
      </c>
      <c r="F2509" s="4">
        <f>SUMIFS('Dubai Stock'!I:I,'Dubai Stock'!H:H,Final_UAE!B:B)</f>
        <v/>
      </c>
      <c r="H2509" s="8" t="e">
        <v>#N/A</v>
      </c>
      <c r="I2509" s="8" t="n"/>
    </row>
    <row r="2510">
      <c r="A2510" s="4" t="n">
        <v>33834</v>
      </c>
      <c r="B2510" s="4" t="inlineStr">
        <is>
          <t>costdai-acu-dffr-p10-hazel-sn0350</t>
        </is>
      </c>
      <c r="C2510" s="4" t="inlineStr">
        <is>
          <t>W00031886A</t>
        </is>
      </c>
      <c r="D2510" s="6">
        <f>IF(F2510&gt;=5, F2510-5, IF(F2510&lt;5, 0, F2510))</f>
        <v/>
      </c>
      <c r="E2510">
        <f>VLOOKUP(B2510,[1]Namshi!$A:$B,2,0)</f>
        <v/>
      </c>
      <c r="F2510" s="4">
        <f>SUMIFS('Dubai Stock'!I:I,'Dubai Stock'!H:H,Final_UAE!B:B)</f>
        <v/>
      </c>
      <c r="H2510" s="8" t="e">
        <v>#N/A</v>
      </c>
      <c r="I2510" s="8" t="n"/>
    </row>
    <row r="2511">
      <c r="A2511" s="4" t="n">
        <v>33834</v>
      </c>
      <c r="B2511" s="4" t="inlineStr">
        <is>
          <t>clstdai-acu-mois-p30-sn1000</t>
        </is>
      </c>
      <c r="C2511" s="4" t="inlineStr">
        <is>
          <t>W00031886A</t>
        </is>
      </c>
      <c r="D2511" s="6">
        <f>IF(F2511&gt;=5, F2511-5, IF(F2511&lt;5, 0, F2511))</f>
        <v/>
      </c>
      <c r="E2511">
        <f>VLOOKUP(B2511,[1]Namshi!$A:$B,2,0)</f>
        <v/>
      </c>
      <c r="F2511" s="4">
        <f>SUMIFS('Dubai Stock'!I:I,'Dubai Stock'!H:H,Final_UAE!B:B)</f>
        <v/>
      </c>
      <c r="H2511" s="8" t="e">
        <v>#N/A</v>
      </c>
      <c r="I2511" s="8" t="n"/>
    </row>
    <row r="2512">
      <c r="A2512" s="4" t="n">
        <v>33834</v>
      </c>
      <c r="B2512" s="4" t="inlineStr">
        <is>
          <t>costmon-ama-lens-p02-dark-sepia-sn0575</t>
        </is>
      </c>
      <c r="C2512" s="4" t="inlineStr">
        <is>
          <t>W00031886A</t>
        </is>
      </c>
      <c r="D2512" s="6">
        <f>IF(F2512&gt;=5, F2512-5, IF(F2512&lt;5, 0, F2512))</f>
        <v/>
      </c>
      <c r="E2512">
        <f>VLOOKUP(B2512,[1]Namshi!$A:$B,2,0)</f>
        <v/>
      </c>
      <c r="F2512" s="4">
        <f>SUMIFS('Dubai Stock'!I:I,'Dubai Stock'!H:H,Final_UAE!B:B)</f>
        <v/>
      </c>
      <c r="H2512" s="8" t="e">
        <v>#N/A</v>
      </c>
      <c r="I2512" s="8" t="n"/>
    </row>
    <row r="2513">
      <c r="A2513" s="4" t="n">
        <v>33834</v>
      </c>
      <c r="B2513" s="4" t="inlineStr">
        <is>
          <t>clstdai-dai-aqua-p30-sn0100</t>
        </is>
      </c>
      <c r="C2513" s="4" t="inlineStr">
        <is>
          <t>W00031886A</t>
        </is>
      </c>
      <c r="D2513" s="6">
        <f>IF(F2513&gt;=5, F2513-5, IF(F2513&lt;5, 0, F2513))</f>
        <v/>
      </c>
      <c r="E2513">
        <f>VLOOKUP(B2513,[1]Namshi!$A:$B,2,0)</f>
        <v/>
      </c>
      <c r="F2513" s="4">
        <f>SUMIFS('Dubai Stock'!I:I,'Dubai Stock'!H:H,Final_UAE!B:B)</f>
        <v/>
      </c>
      <c r="H2513" s="8" t="e">
        <v>#N/A</v>
      </c>
      <c r="I2513" s="8" t="n"/>
    </row>
    <row r="2514">
      <c r="A2514" s="4" t="n">
        <v>33834</v>
      </c>
      <c r="B2514" s="4" t="inlineStr">
        <is>
          <t>su20707-30s-000206-0707p-52</t>
        </is>
      </c>
      <c r="C2514" s="4" t="inlineStr">
        <is>
          <t>W00031886A</t>
        </is>
      </c>
      <c r="D2514" s="6">
        <f>IF(F2514&gt;=5, F2514-5, IF(F2514&lt;5, 0, F2514))</f>
        <v/>
      </c>
      <c r="E2514">
        <f>VLOOKUP(B2514,[1]Namshi!$A:$B,2,0)</f>
        <v/>
      </c>
      <c r="F2514" s="4">
        <f>SUMIFS('Dubai Stock'!I:I,'Dubai Stock'!H:H,Final_UAE!B:B)</f>
        <v/>
      </c>
      <c r="H2514" s="8" t="e">
        <v>#N/A</v>
      </c>
    </row>
    <row r="2515">
      <c r="A2515" s="4" t="n">
        <v>33834</v>
      </c>
      <c r="B2515" s="4" t="inlineStr">
        <is>
          <t>su20707-30s-000446-0707-52</t>
        </is>
      </c>
      <c r="C2515" s="4" t="inlineStr">
        <is>
          <t>W00031886A</t>
        </is>
      </c>
      <c r="D2515" s="6">
        <f>IF(F2515&gt;=5, F2515-5, IF(F2515&lt;5, 0, F2515))</f>
        <v/>
      </c>
      <c r="E2515">
        <f>VLOOKUP(B2515,[1]Namshi!$A:$B,2,0)</f>
        <v/>
      </c>
      <c r="F2515" s="4">
        <f>SUMIFS('Dubai Stock'!I:I,'Dubai Stock'!H:H,Final_UAE!B:B)</f>
        <v/>
      </c>
      <c r="H2515" s="8" t="e">
        <v>#N/A</v>
      </c>
    </row>
    <row r="2516">
      <c r="A2516" s="4" t="n">
        <v>33834</v>
      </c>
      <c r="B2516" s="4" t="inlineStr">
        <is>
          <t>clstdai-lay-cont-p10-dazzle-brown-sn0150</t>
        </is>
      </c>
      <c r="C2516" s="4" t="inlineStr">
        <is>
          <t>W00031886A</t>
        </is>
      </c>
      <c r="D2516" s="6">
        <f>IF(F2516&gt;=5, F2516-5, IF(F2516&lt;5, 0, F2516))</f>
        <v/>
      </c>
      <c r="E2516">
        <f>VLOOKUP(B2516,[1]Namshi!$A:$B,2,0)</f>
        <v/>
      </c>
      <c r="F2516" s="4">
        <f>SUMIFS('Dubai Stock'!I:I,'Dubai Stock'!H:H,Final_UAE!B:B)</f>
        <v/>
      </c>
      <c r="H2516" s="8" t="e">
        <v>#N/A</v>
      </c>
      <c r="I2516" s="8" t="n"/>
    </row>
    <row r="2517">
      <c r="A2517" s="4" t="n">
        <v>33834</v>
      </c>
      <c r="B2517" s="4" t="inlineStr">
        <is>
          <t>clstdai-sof-sdai-p90-sn0200</t>
        </is>
      </c>
      <c r="C2517" s="4" t="inlineStr">
        <is>
          <t>W00031886A</t>
        </is>
      </c>
      <c r="D2517" s="6">
        <f>IF(F2517&gt;=5, F2517-5, IF(F2517&lt;5, 0, F2517))</f>
        <v/>
      </c>
      <c r="E2517">
        <f>VLOOKUP(B2517,[1]Namshi!$A:$B,2,0)</f>
        <v/>
      </c>
      <c r="F2517" s="4">
        <f>SUMIFS('Dubai Stock'!I:I,'Dubai Stock'!H:H,Final_UAE!B:B)</f>
        <v/>
      </c>
      <c r="H2517" s="8" t="e">
        <v>#N/A</v>
      </c>
      <c r="I2517" s="8" t="n"/>
    </row>
    <row r="2518">
      <c r="A2518" s="4" t="n">
        <v>33834</v>
      </c>
      <c r="B2518" s="4" t="inlineStr">
        <is>
          <t>cltodai-acu-mois-p30-sn0050-cn0075-a010</t>
        </is>
      </c>
      <c r="C2518" s="4" t="inlineStr">
        <is>
          <t>W00031886A</t>
        </is>
      </c>
      <c r="D2518" s="6">
        <f>IF(F2518&gt;=5, F2518-5, IF(F2518&lt;5, 0, F2518))</f>
        <v/>
      </c>
      <c r="E2518">
        <f>VLOOKUP(B2518,[1]Namshi!$A:$B,2,0)</f>
        <v/>
      </c>
      <c r="F2518" s="4">
        <f>SUMIFS('Dubai Stock'!I:I,'Dubai Stock'!H:H,Final_UAE!B:B)</f>
        <v/>
      </c>
      <c r="H2518" s="8" t="e">
        <v>#N/A</v>
      </c>
      <c r="I2518" s="8" t="n"/>
    </row>
    <row r="2519">
      <c r="A2519" s="4" t="n">
        <v>33834</v>
      </c>
      <c r="B2519" s="4" t="inlineStr">
        <is>
          <t>sw100104-bla-000351-0104-52</t>
        </is>
      </c>
      <c r="C2519" s="4" t="inlineStr">
        <is>
          <t>W00031886A</t>
        </is>
      </c>
      <c r="D2519" s="6">
        <f>IF(F2519&gt;=5, F2519-5, IF(F2519&lt;5, 0, F2519))</f>
        <v/>
      </c>
      <c r="E2519">
        <f>VLOOKUP(B2519,[1]Namshi!$A:$B,2,0)</f>
        <v/>
      </c>
      <c r="F2519" s="4">
        <f>SUMIFS('Dubai Stock'!I:I,'Dubai Stock'!H:H,Final_UAE!B:B)</f>
        <v/>
      </c>
      <c r="H2519" s="8" t="e">
        <v>#N/A</v>
      </c>
    </row>
    <row r="2520">
      <c r="A2520" s="4" t="n">
        <v>33834</v>
      </c>
      <c r="B2520" s="4" t="inlineStr">
        <is>
          <t>sm50207-30s-000220-0207-55</t>
        </is>
      </c>
      <c r="C2520" s="4" t="inlineStr">
        <is>
          <t>W00031886A</t>
        </is>
      </c>
      <c r="D2520" s="6">
        <f>IF(F2520&gt;=5, F2520-5, IF(F2520&lt;5, 0, F2520))</f>
        <v/>
      </c>
      <c r="E2520">
        <f>VLOOKUP(B2520,[1]Namshi!$A:$B,2,0)</f>
        <v/>
      </c>
      <c r="F2520" s="4">
        <f>SUMIFS('Dubai Stock'!I:I,'Dubai Stock'!H:H,Final_UAE!B:B)</f>
        <v/>
      </c>
      <c r="H2520" s="8" t="e">
        <v>#N/A</v>
      </c>
    </row>
    <row r="2521">
      <c r="A2521" s="4" t="n">
        <v>33834</v>
      </c>
      <c r="B2521" s="4" t="inlineStr">
        <is>
          <t>cost3mo-lay-2022-p02-avena-brown-sn0225</t>
        </is>
      </c>
      <c r="C2521" s="4" t="inlineStr">
        <is>
          <t>W00031886A</t>
        </is>
      </c>
      <c r="D2521" s="6">
        <f>IF(F2521&gt;=5, F2521-5, IF(F2521&lt;5, 0, F2521))</f>
        <v/>
      </c>
      <c r="E2521">
        <f>VLOOKUP(B2521,[1]Namshi!$A:$B,2,0)</f>
        <v/>
      </c>
      <c r="F2521" s="4">
        <f>SUMIFS('Dubai Stock'!I:I,'Dubai Stock'!H:H,Final_UAE!B:B)</f>
        <v/>
      </c>
      <c r="H2521" s="8" t="e">
        <v>#N/A</v>
      </c>
      <c r="I2521" s="8" t="n"/>
    </row>
    <row r="2522">
      <c r="A2522" s="4" t="n">
        <v>33834</v>
      </c>
      <c r="B2522" s="4" t="inlineStr">
        <is>
          <t>clstdai-acu-mois-p90-sp0050</t>
        </is>
      </c>
      <c r="C2522" s="4" t="inlineStr">
        <is>
          <t>W00031886A</t>
        </is>
      </c>
      <c r="D2522" s="6">
        <f>IF(F2522&gt;=5, F2522-5, IF(F2522&lt;5, 0, F2522))</f>
        <v/>
      </c>
      <c r="E2522">
        <f>VLOOKUP(B2522,[1]Namshi!$A:$B,2,0)</f>
        <v/>
      </c>
      <c r="F2522" s="4">
        <f>SUMIFS('Dubai Stock'!I:I,'Dubai Stock'!H:H,Final_UAE!B:B)</f>
        <v/>
      </c>
      <c r="H2522" s="8" t="e">
        <v>#N/A</v>
      </c>
      <c r="I2522" s="8" t="n"/>
    </row>
    <row r="2523">
      <c r="A2523" s="4" t="n">
        <v>33834</v>
      </c>
      <c r="B2523" s="4" t="inlineStr">
        <is>
          <t>cost3mo-lay-2022-p02-cosmo-gray-sn0275</t>
        </is>
      </c>
      <c r="C2523" s="4" t="inlineStr">
        <is>
          <t>W00031886A</t>
        </is>
      </c>
      <c r="D2523" s="6">
        <f>IF(F2523&gt;=5, F2523-5, IF(F2523&lt;5, 0, F2523))</f>
        <v/>
      </c>
      <c r="E2523">
        <f>VLOOKUP(B2523,[1]Namshi!$A:$B,2,0)</f>
        <v/>
      </c>
      <c r="F2523" s="4">
        <f>SUMIFS('Dubai Stock'!I:I,'Dubai Stock'!H:H,Final_UAE!B:B)</f>
        <v/>
      </c>
      <c r="H2523" s="8" t="e">
        <v>#N/A</v>
      </c>
      <c r="I2523" s="8" t="n"/>
    </row>
    <row r="2524">
      <c r="A2524" s="4" t="n">
        <v>33834</v>
      </c>
      <c r="B2524" s="4" t="inlineStr">
        <is>
          <t>cost3mo-lay-2020-p02-hazel-brown-sn0250</t>
        </is>
      </c>
      <c r="C2524" s="4" t="inlineStr">
        <is>
          <t>W00031886A</t>
        </is>
      </c>
      <c r="D2524" s="6">
        <f>IF(F2524&gt;=5, F2524-5, IF(F2524&lt;5, 0, F2524))</f>
        <v/>
      </c>
      <c r="E2524">
        <f>VLOOKUP(B2524,[1]Namshi!$A:$B,2,0)</f>
        <v/>
      </c>
      <c r="F2524" s="4">
        <f>SUMIFS('Dubai Stock'!I:I,'Dubai Stock'!H:H,Final_UAE!B:B)</f>
        <v/>
      </c>
      <c r="H2524" s="8" t="e">
        <v>#N/A</v>
      </c>
      <c r="I2524" s="8" t="n"/>
    </row>
    <row r="2525">
      <c r="A2525" s="4" t="n">
        <v>33834</v>
      </c>
      <c r="B2525" s="4" t="inlineStr">
        <is>
          <t>cltodai-acu-mois-p30-sn0475-cn0075-a020</t>
        </is>
      </c>
      <c r="C2525" s="4" t="inlineStr">
        <is>
          <t>W00031886A</t>
        </is>
      </c>
      <c r="D2525" s="6">
        <f>IF(F2525&gt;=5, F2525-5, IF(F2525&lt;5, 0, F2525))</f>
        <v/>
      </c>
      <c r="E2525">
        <f>VLOOKUP(B2525,[1]Namshi!$A:$B,2,0)</f>
        <v/>
      </c>
      <c r="F2525" s="4">
        <f>SUMIFS('Dubai Stock'!I:I,'Dubai Stock'!H:H,Final_UAE!B:B)</f>
        <v/>
      </c>
      <c r="H2525" s="8" t="e">
        <v>#N/A</v>
      </c>
      <c r="I2525" s="8" t="n"/>
    </row>
    <row r="2526">
      <c r="A2526" s="4" t="n">
        <v>33834</v>
      </c>
      <c r="B2526" s="4" t="inlineStr">
        <is>
          <t>clstdai-acu-dfrb-p30-sn0575</t>
        </is>
      </c>
      <c r="C2526" s="4" t="inlineStr">
        <is>
          <t>W00031886A</t>
        </is>
      </c>
      <c r="D2526" s="6">
        <f>IF(F2526&gt;=5, F2526-5, IF(F2526&lt;5, 0, F2526))</f>
        <v/>
      </c>
      <c r="E2526">
        <f>VLOOKUP(B2526,[1]Namshi!$A:$B,2,0)</f>
        <v/>
      </c>
      <c r="F2526" s="4">
        <f>SUMIFS('Dubai Stock'!I:I,'Dubai Stock'!H:H,Final_UAE!B:B)</f>
        <v/>
      </c>
      <c r="H2526" s="8" t="e">
        <v>#N/A</v>
      </c>
      <c r="I2526" s="8" t="n"/>
    </row>
    <row r="2527">
      <c r="A2527" s="4" t="n">
        <v>33834</v>
      </c>
      <c r="B2527" s="4" t="inlineStr">
        <is>
          <t>cost3mo-lay-2022-p02-cosmo-gray-sn0325</t>
        </is>
      </c>
      <c r="C2527" s="4" t="inlineStr">
        <is>
          <t>W00031886A</t>
        </is>
      </c>
      <c r="D2527" s="6">
        <f>IF(F2527&gt;=5, F2527-5, IF(F2527&lt;5, 0, F2527))</f>
        <v/>
      </c>
      <c r="E2527">
        <f>VLOOKUP(B2527,[1]Namshi!$A:$B,2,0)</f>
        <v/>
      </c>
      <c r="F2527" s="4">
        <f>SUMIFS('Dubai Stock'!I:I,'Dubai Stock'!H:H,Final_UAE!B:B)</f>
        <v/>
      </c>
      <c r="H2527" s="8" t="e">
        <v>#N/A</v>
      </c>
      <c r="I2527" s="8" t="n"/>
    </row>
    <row r="2528">
      <c r="A2528" s="4" t="n">
        <v>33834</v>
      </c>
      <c r="B2528" s="4" t="inlineStr">
        <is>
          <t>sw50701-bla-000229-0701-59</t>
        </is>
      </c>
      <c r="C2528" s="4" t="inlineStr">
        <is>
          <t>W00031886A</t>
        </is>
      </c>
      <c r="D2528" s="6">
        <f>IF(F2528&gt;=5, F2528-5, IF(F2528&lt;5, 0, F2528))</f>
        <v/>
      </c>
      <c r="E2528">
        <f>VLOOKUP(B2528,[1]Namshi!$A:$B,2,0)</f>
        <v/>
      </c>
      <c r="F2528" s="4">
        <f>SUMIFS('Dubai Stock'!I:I,'Dubai Stock'!H:H,Final_UAE!B:B)</f>
        <v/>
      </c>
      <c r="H2528" s="8" t="e">
        <v>#N/A</v>
      </c>
    </row>
    <row r="2529">
      <c r="A2529" s="4" t="n">
        <v>33834</v>
      </c>
      <c r="B2529" s="4" t="inlineStr">
        <is>
          <t>costdai-acu-dffr-p30-honey-sn0525</t>
        </is>
      </c>
      <c r="C2529" s="4" t="inlineStr">
        <is>
          <t>W00031886A</t>
        </is>
      </c>
      <c r="D2529" s="6">
        <f>IF(F2529&gt;=5, F2529-5, IF(F2529&lt;5, 0, F2529))</f>
        <v/>
      </c>
      <c r="E2529">
        <f>VLOOKUP(B2529,[1]Namshi!$A:$B,2,0)</f>
        <v/>
      </c>
      <c r="F2529" s="4">
        <f>SUMIFS('Dubai Stock'!I:I,'Dubai Stock'!H:H,Final_UAE!B:B)</f>
        <v/>
      </c>
      <c r="H2529" s="8" t="e">
        <v>#N/A</v>
      </c>
      <c r="I2529" s="8" t="n"/>
    </row>
    <row r="2530">
      <c r="A2530" s="4" t="n">
        <v>33834</v>
      </c>
      <c r="B2530" s="4" t="inlineStr">
        <is>
          <t>clstdai-btr-oned-p90-sn0400</t>
        </is>
      </c>
      <c r="C2530" s="4" t="inlineStr">
        <is>
          <t>W00031886A</t>
        </is>
      </c>
      <c r="D2530" s="6">
        <f>IF(F2530&gt;=5, F2530-5, IF(F2530&lt;5, 0, F2530))</f>
        <v/>
      </c>
      <c r="E2530">
        <f>VLOOKUP(B2530,[1]Namshi!$A:$B,2,0)</f>
        <v/>
      </c>
      <c r="F2530" s="4">
        <f>SUMIFS('Dubai Stock'!I:I,'Dubai Stock'!H:H,Final_UAE!B:B)</f>
        <v/>
      </c>
      <c r="H2530" s="8" t="e">
        <v>#N/A</v>
      </c>
      <c r="I2530" s="8" t="n"/>
    </row>
    <row r="2531">
      <c r="A2531" s="4" t="n">
        <v>33834</v>
      </c>
      <c r="B2531" s="4" t="inlineStr">
        <is>
          <t>cost3mo-lay-lens-p02-golden-brown-sn0325</t>
        </is>
      </c>
      <c r="C2531" s="4" t="inlineStr">
        <is>
          <t>W00031886A</t>
        </is>
      </c>
      <c r="D2531" s="6">
        <f>IF(F2531&gt;=5, F2531-5, IF(F2531&lt;5, 0, F2531))</f>
        <v/>
      </c>
      <c r="E2531">
        <f>VLOOKUP(B2531,[1]Namshi!$A:$B,2,0)</f>
        <v/>
      </c>
      <c r="F2531" s="4">
        <f>SUMIFS('Dubai Stock'!I:I,'Dubai Stock'!H:H,Final_UAE!B:B)</f>
        <v/>
      </c>
      <c r="H2531" s="8" t="e">
        <v>#N/A</v>
      </c>
      <c r="I2531" s="8" t="n"/>
    </row>
    <row r="2532">
      <c r="A2532" s="4" t="n">
        <v>33834</v>
      </c>
      <c r="B2532" s="4" t="inlineStr">
        <is>
          <t>clstbiw-acu-oasy-p18-sn0450</t>
        </is>
      </c>
      <c r="C2532" s="4" t="inlineStr">
        <is>
          <t>W00031886A</t>
        </is>
      </c>
      <c r="D2532" s="6">
        <f>IF(F2532&gt;=5, F2532-5, IF(F2532&lt;5, 0, F2532))</f>
        <v/>
      </c>
      <c r="E2532">
        <f>VLOOKUP(B2532,[1]Namshi!$A:$B,2,0)</f>
        <v/>
      </c>
      <c r="F2532" s="4">
        <f>SUMIFS('Dubai Stock'!I:I,'Dubai Stock'!H:H,Final_UAE!B:B)</f>
        <v/>
      </c>
      <c r="H2532" s="8" t="e">
        <v>#N/A</v>
      </c>
      <c r="I2532" s="8" t="n"/>
    </row>
    <row r="2533">
      <c r="A2533" s="4" t="n">
        <v>33834</v>
      </c>
      <c r="B2533" s="4" t="inlineStr">
        <is>
          <t>sw30404-30s-000122-0404-53</t>
        </is>
      </c>
      <c r="C2533" s="4" t="inlineStr">
        <is>
          <t>W00031886A</t>
        </is>
      </c>
      <c r="D2533" s="6">
        <f>IF(F2533&gt;=5, F2533-5, IF(F2533&lt;5, 0, F2533))</f>
        <v/>
      </c>
      <c r="E2533">
        <f>VLOOKUP(B2533,[1]Namshi!$A:$B,2,0)</f>
        <v/>
      </c>
      <c r="F2533" s="4">
        <f>SUMIFS('Dubai Stock'!I:I,'Dubai Stock'!H:H,Final_UAE!B:B)</f>
        <v/>
      </c>
      <c r="H2533" s="8" t="e">
        <v>#N/A</v>
      </c>
    </row>
    <row r="2534">
      <c r="A2534" s="4" t="n">
        <v>33834</v>
      </c>
      <c r="B2534" s="4" t="inlineStr">
        <is>
          <t>clstdai-acu-omax-p30-sp0375</t>
        </is>
      </c>
      <c r="C2534" s="4" t="inlineStr">
        <is>
          <t>W00031886A</t>
        </is>
      </c>
      <c r="D2534" s="6">
        <f>IF(F2534&gt;=5, F2534-5, IF(F2534&lt;5, 0, F2534))</f>
        <v/>
      </c>
      <c r="E2534">
        <f>VLOOKUP(B2534,[1]Namshi!$A:$B,2,0)</f>
        <v/>
      </c>
      <c r="F2534" s="4">
        <f>SUMIFS('Dubai Stock'!I:I,'Dubai Stock'!H:H,Final_UAE!B:B)</f>
        <v/>
      </c>
      <c r="H2534" s="8" t="e">
        <v>#N/A</v>
      </c>
      <c r="I2534" s="8" t="n"/>
    </row>
    <row r="2535">
      <c r="A2535" s="4" t="n">
        <v>33834</v>
      </c>
      <c r="B2535" s="4" t="inlineStr">
        <is>
          <t>clstdai-acu-oasy-p30-sn1050</t>
        </is>
      </c>
      <c r="C2535" s="4" t="inlineStr">
        <is>
          <t>W00031886A</t>
        </is>
      </c>
      <c r="D2535" s="6">
        <f>IF(F2535&gt;=5, F2535-5, IF(F2535&lt;5, 0, F2535))</f>
        <v/>
      </c>
      <c r="E2535">
        <f>VLOOKUP(B2535,[1]Namshi!$A:$B,2,0)</f>
        <v/>
      </c>
      <c r="F2535" s="4">
        <f>SUMIFS('Dubai Stock'!I:I,'Dubai Stock'!H:H,Final_UAE!B:B)</f>
        <v/>
      </c>
      <c r="H2535" s="8" t="e">
        <v>#N/A</v>
      </c>
      <c r="I2535" s="8" t="n"/>
    </row>
    <row r="2536">
      <c r="A2536" s="4" t="n">
        <v>33834</v>
      </c>
      <c r="B2536" s="4" t="inlineStr">
        <is>
          <t>clstdai-btr-oned-p30-sn0525</t>
        </is>
      </c>
      <c r="C2536" s="4" t="inlineStr">
        <is>
          <t>W00031886A</t>
        </is>
      </c>
      <c r="D2536" s="6">
        <f>IF(F2536&gt;=5, F2536-5, IF(F2536&lt;5, 0, F2536))</f>
        <v/>
      </c>
      <c r="E2536">
        <f>VLOOKUP(B2536,[1]Namshi!$A:$B,2,0)</f>
        <v/>
      </c>
      <c r="F2536" s="4">
        <f>SUMIFS('Dubai Stock'!I:I,'Dubai Stock'!H:H,Final_UAE!B:B)</f>
        <v/>
      </c>
      <c r="H2536" s="8" t="e">
        <v>#N/A</v>
      </c>
      <c r="I2536" s="8" t="n"/>
    </row>
    <row r="2537">
      <c r="A2537" s="4" t="n">
        <v>33834</v>
      </c>
      <c r="B2537" s="4" t="inlineStr">
        <is>
          <t>sacchan-30s-lola-rose-gold</t>
        </is>
      </c>
      <c r="C2537" s="4" t="inlineStr">
        <is>
          <t>W00031886A</t>
        </is>
      </c>
      <c r="D2537" s="6">
        <f>IF(F2537&gt;=5, F2537-5, IF(F2537&lt;5, 0, F2537))</f>
        <v/>
      </c>
      <c r="E2537">
        <f>VLOOKUP(B2537,[1]Namshi!$A:$B,2,0)</f>
        <v/>
      </c>
      <c r="F2537" s="4">
        <f>SUMIFS('Dubai Stock'!I:I,'Dubai Stock'!H:H,Final_UAE!B:B)</f>
        <v/>
      </c>
      <c r="H2537" s="8" t="e">
        <v>#N/A</v>
      </c>
      <c r="I2537" s="8" t="n"/>
    </row>
    <row r="2538">
      <c r="A2538" s="4" t="n">
        <v>33834</v>
      </c>
      <c r="B2538" s="4" t="inlineStr">
        <is>
          <t>costdai-acu-dffr-p10-rose-sn0600</t>
        </is>
      </c>
      <c r="C2538" s="4" t="inlineStr">
        <is>
          <t>W00031886A</t>
        </is>
      </c>
      <c r="D2538" s="6">
        <f>IF(F2538&gt;=5, F2538-5, IF(F2538&lt;5, 0, F2538))</f>
        <v/>
      </c>
      <c r="E2538">
        <f>VLOOKUP(B2538,[1]Namshi!$A:$B,2,0)</f>
        <v/>
      </c>
      <c r="F2538" s="4">
        <f>SUMIFS('Dubai Stock'!I:I,'Dubai Stock'!H:H,Final_UAE!B:B)</f>
        <v/>
      </c>
      <c r="H2538" s="8" t="e">
        <v>#N/A</v>
      </c>
      <c r="I2538" s="8" t="n"/>
    </row>
    <row r="2539">
      <c r="A2539" s="4" t="n">
        <v>33834</v>
      </c>
      <c r="B2539" s="4" t="inlineStr">
        <is>
          <t>clstdai-acu-oasy-p90-sp0125</t>
        </is>
      </c>
      <c r="C2539" s="4" t="inlineStr">
        <is>
          <t>W00031886A</t>
        </is>
      </c>
      <c r="D2539" s="6">
        <f>IF(F2539&gt;=5, F2539-5, IF(F2539&lt;5, 0, F2539))</f>
        <v/>
      </c>
      <c r="E2539">
        <f>VLOOKUP(B2539,[1]Namshi!$A:$B,2,0)</f>
        <v/>
      </c>
      <c r="F2539" s="4">
        <f>SUMIFS('Dubai Stock'!I:I,'Dubai Stock'!H:H,Final_UAE!B:B)</f>
        <v/>
      </c>
      <c r="H2539" s="8" t="e">
        <v>#N/A</v>
      </c>
      <c r="I2539" s="8" t="n"/>
    </row>
    <row r="2540">
      <c r="A2540" s="4" t="n">
        <v>33834</v>
      </c>
      <c r="B2540" s="4" t="inlineStr">
        <is>
          <t>clstdai-acu-mois-p90-sn1000</t>
        </is>
      </c>
      <c r="C2540" s="4" t="inlineStr">
        <is>
          <t>W00031886A</t>
        </is>
      </c>
      <c r="D2540" s="6">
        <f>IF(F2540&gt;=5, F2540-5, IF(F2540&lt;5, 0, F2540))</f>
        <v/>
      </c>
      <c r="E2540">
        <f>VLOOKUP(B2540,[1]Namshi!$A:$B,2,0)</f>
        <v/>
      </c>
      <c r="F2540" s="4">
        <f>SUMIFS('Dubai Stock'!I:I,'Dubai Stock'!H:H,Final_UAE!B:B)</f>
        <v/>
      </c>
      <c r="H2540" s="8" t="e">
        <v>#N/A</v>
      </c>
      <c r="I2540" s="8" t="n"/>
    </row>
    <row r="2541">
      <c r="A2541" s="4" t="n">
        <v>33834</v>
      </c>
      <c r="B2541" s="4" t="inlineStr">
        <is>
          <t>sm100606-30s-000303-0606p-52</t>
        </is>
      </c>
      <c r="C2541" s="4" t="inlineStr">
        <is>
          <t>W00031886A</t>
        </is>
      </c>
      <c r="D2541" s="6">
        <f>IF(F2541&gt;=5, F2541-5, IF(F2541&lt;5, 0, F2541))</f>
        <v/>
      </c>
      <c r="E2541">
        <f>VLOOKUP(B2541,[1]Namshi!$A:$B,2,0)</f>
        <v/>
      </c>
      <c r="F2541" s="4">
        <f>SUMIFS('Dubai Stock'!I:I,'Dubai Stock'!H:H,Final_UAE!B:B)</f>
        <v/>
      </c>
      <c r="H2541" s="8" t="e">
        <v>#N/A</v>
      </c>
    </row>
    <row r="2542">
      <c r="A2542" s="4" t="n">
        <v>33834</v>
      </c>
      <c r="B2542" s="4" t="inlineStr">
        <is>
          <t>clstbiw-acu-0002-p06-sn0850</t>
        </is>
      </c>
      <c r="C2542" s="4" t="inlineStr">
        <is>
          <t>W00031886A</t>
        </is>
      </c>
      <c r="D2542" s="6">
        <f>IF(F2542&gt;=5, F2542-5, IF(F2542&lt;5, 0, F2542))</f>
        <v/>
      </c>
      <c r="E2542">
        <f>VLOOKUP(B2542,[1]Namshi!$A:$B,2,0)</f>
        <v/>
      </c>
      <c r="F2542" s="4">
        <f>SUMIFS('Dubai Stock'!I:I,'Dubai Stock'!H:H,Final_UAE!B:B)</f>
        <v/>
      </c>
      <c r="H2542" s="8" t="e">
        <v>#N/A</v>
      </c>
      <c r="I2542" s="8" t="n"/>
    </row>
    <row r="2543">
      <c r="A2543" s="4" t="n">
        <v>33834</v>
      </c>
      <c r="B2543" s="4" t="inlineStr">
        <is>
          <t>cltodai-acu-mois-p30-sn0900-cn0125-a160</t>
        </is>
      </c>
      <c r="C2543" s="4" t="inlineStr">
        <is>
          <t>W00031886A</t>
        </is>
      </c>
      <c r="D2543" s="6">
        <f>IF(F2543&gt;=5, F2543-5, IF(F2543&lt;5, 0, F2543))</f>
        <v/>
      </c>
      <c r="E2543">
        <f>VLOOKUP(B2543,[1]Namshi!$A:$B,2,0)</f>
        <v/>
      </c>
      <c r="F2543" s="4">
        <f>SUMIFS('Dubai Stock'!I:I,'Dubai Stock'!H:H,Final_UAE!B:B)</f>
        <v/>
      </c>
      <c r="H2543" s="8" t="e">
        <v>#N/A</v>
      </c>
      <c r="I2543" s="8" t="n"/>
    </row>
    <row r="2544">
      <c r="A2544" s="4" t="n">
        <v>33834</v>
      </c>
      <c r="B2544" s="4" t="inlineStr">
        <is>
          <t>clstdai-acu-oasy-p120-sn0450</t>
        </is>
      </c>
      <c r="C2544" s="4" t="inlineStr">
        <is>
          <t>W00031886A</t>
        </is>
      </c>
      <c r="D2544" s="6">
        <f>IF(F2544&gt;=5, F2544-5, IF(F2544&lt;5, 0, F2544))</f>
        <v/>
      </c>
      <c r="E2544">
        <f>VLOOKUP(B2544,[1]Namshi!$A:$B,2,0)</f>
        <v/>
      </c>
      <c r="F2544" s="4">
        <f>SUMIFS('Dubai Stock'!I:I,'Dubai Stock'!H:H,Final_UAE!B:B)</f>
        <v/>
      </c>
      <c r="H2544" s="8" t="e">
        <v>#N/A</v>
      </c>
      <c r="I2544" s="8" t="n"/>
    </row>
    <row r="2545">
      <c r="A2545" s="4" t="n">
        <v>33834</v>
      </c>
      <c r="B2545" s="4" t="inlineStr">
        <is>
          <t>cltodai-acu-mois-p30-sn0200-cn0075-a060</t>
        </is>
      </c>
      <c r="C2545" s="4" t="inlineStr">
        <is>
          <t>W00031886A</t>
        </is>
      </c>
      <c r="D2545" s="6">
        <f>IF(F2545&gt;=5, F2545-5, IF(F2545&lt;5, 0, F2545))</f>
        <v/>
      </c>
      <c r="E2545">
        <f>VLOOKUP(B2545,[1]Namshi!$A:$B,2,0)</f>
        <v/>
      </c>
      <c r="F2545" s="4">
        <f>SUMIFS('Dubai Stock'!I:I,'Dubai Stock'!H:H,Final_UAE!B:B)</f>
        <v/>
      </c>
      <c r="H2545" s="8" t="e">
        <v>#N/A</v>
      </c>
      <c r="I2545" s="8" t="n"/>
    </row>
    <row r="2546">
      <c r="A2546" s="4" t="n">
        <v>33834</v>
      </c>
      <c r="B2546" s="4" t="inlineStr">
        <is>
          <t>clstdai-acu-mois-p90-sp0225</t>
        </is>
      </c>
      <c r="C2546" s="4" t="inlineStr">
        <is>
          <t>W00031886A</t>
        </is>
      </c>
      <c r="D2546" s="6">
        <f>IF(F2546&gt;=5, F2546-5, IF(F2546&lt;5, 0, F2546))</f>
        <v/>
      </c>
      <c r="E2546">
        <f>VLOOKUP(B2546,[1]Namshi!$A:$B,2,0)</f>
        <v/>
      </c>
      <c r="F2546" s="4">
        <f>SUMIFS('Dubai Stock'!I:I,'Dubai Stock'!H:H,Final_UAE!B:B)</f>
        <v/>
      </c>
      <c r="H2546" s="8" t="e">
        <v>#N/A</v>
      </c>
      <c r="I2546" s="8" t="n"/>
    </row>
    <row r="2547">
      <c r="A2547" s="4" t="n">
        <v>33834</v>
      </c>
      <c r="B2547" s="4" t="inlineStr">
        <is>
          <t>clstdai-acu-dfvi-p30-sn0400</t>
        </is>
      </c>
      <c r="C2547" s="4" t="inlineStr">
        <is>
          <t>W00031886A</t>
        </is>
      </c>
      <c r="D2547" s="6">
        <f>IF(F2547&gt;=5, F2547-5, IF(F2547&lt;5, 0, F2547))</f>
        <v/>
      </c>
      <c r="E2547">
        <f>VLOOKUP(B2547,[1]Namshi!$A:$B,2,0)</f>
        <v/>
      </c>
      <c r="F2547" s="4">
        <f>SUMIFS('Dubai Stock'!I:I,'Dubai Stock'!H:H,Final_UAE!B:B)</f>
        <v/>
      </c>
      <c r="H2547" s="8" t="e">
        <v>#N/A</v>
      </c>
      <c r="I2547" s="8" t="n"/>
    </row>
    <row r="2548">
      <c r="A2548" s="4" t="n">
        <v>33834</v>
      </c>
      <c r="B2548" s="4" t="inlineStr">
        <is>
          <t>clstmon-bme-bm55-p06-sn0850</t>
        </is>
      </c>
      <c r="C2548" s="4" t="inlineStr">
        <is>
          <t>W00031886A</t>
        </is>
      </c>
      <c r="D2548" s="6">
        <f>IF(F2548&gt;=5, F2548-5, IF(F2548&lt;5, 0, F2548))</f>
        <v/>
      </c>
      <c r="E2548">
        <f>VLOOKUP(B2548,[1]Namshi!$A:$B,2,0)</f>
        <v/>
      </c>
      <c r="F2548" s="4">
        <f>SUMIFS('Dubai Stock'!I:I,'Dubai Stock'!H:H,Final_UAE!B:B)</f>
        <v/>
      </c>
      <c r="H2548" s="8" t="e">
        <v>#N/A</v>
      </c>
      <c r="I2548" s="8" t="n"/>
    </row>
    <row r="2549">
      <c r="A2549" s="4" t="n">
        <v>33834</v>
      </c>
      <c r="B2549" s="4" t="inlineStr">
        <is>
          <t>clstdai-acu-mois-p90-sp0550</t>
        </is>
      </c>
      <c r="C2549" s="4" t="inlineStr">
        <is>
          <t>W00031886A</t>
        </is>
      </c>
      <c r="D2549" s="6">
        <f>IF(F2549&gt;=5, F2549-5, IF(F2549&lt;5, 0, F2549))</f>
        <v/>
      </c>
      <c r="E2549">
        <f>VLOOKUP(B2549,[1]Namshi!$A:$B,2,0)</f>
        <v/>
      </c>
      <c r="F2549" s="4">
        <f>SUMIFS('Dubai Stock'!I:I,'Dubai Stock'!H:H,Final_UAE!B:B)</f>
        <v/>
      </c>
      <c r="H2549" s="8" t="e">
        <v>#N/A</v>
      </c>
      <c r="I2549" s="8" t="n"/>
    </row>
    <row r="2550">
      <c r="A2550" s="4" t="n">
        <v>33834</v>
      </c>
      <c r="B2550" s="4" t="inlineStr">
        <is>
          <t>clstbiw-acu-0002-p06-sp0300</t>
        </is>
      </c>
      <c r="C2550" s="4" t="inlineStr">
        <is>
          <t>W00031886A</t>
        </is>
      </c>
      <c r="D2550" s="6">
        <f>IF(F2550&gt;=5, F2550-5, IF(F2550&lt;5, 0, F2550))</f>
        <v/>
      </c>
      <c r="E2550">
        <f>VLOOKUP(B2550,[1]Namshi!$A:$B,2,0)</f>
        <v/>
      </c>
      <c r="F2550" s="4">
        <f>SUMIFS('Dubai Stock'!I:I,'Dubai Stock'!H:H,Final_UAE!B:B)</f>
        <v/>
      </c>
      <c r="H2550" s="8" t="e">
        <v>#N/A</v>
      </c>
      <c r="I2550" s="8" t="n"/>
    </row>
    <row r="2551">
      <c r="A2551" s="4" t="n">
        <v>33834</v>
      </c>
      <c r="B2551" s="4" t="inlineStr">
        <is>
          <t>sm71207-30s-000252-1207-56</t>
        </is>
      </c>
      <c r="C2551" s="4" t="inlineStr">
        <is>
          <t>W00031886A</t>
        </is>
      </c>
      <c r="D2551" s="6">
        <f>IF(F2551&gt;=5, F2551-5, IF(F2551&lt;5, 0, F2551))</f>
        <v/>
      </c>
      <c r="E2551">
        <f>VLOOKUP(B2551,[1]Namshi!$A:$B,2,0)</f>
        <v/>
      </c>
      <c r="F2551" s="4">
        <f>SUMIFS('Dubai Stock'!I:I,'Dubai Stock'!H:H,Final_UAE!B:B)</f>
        <v/>
      </c>
      <c r="H2551" s="8" t="e">
        <v>#N/A</v>
      </c>
    </row>
    <row r="2552">
      <c r="A2552" s="4" t="n">
        <v>33834</v>
      </c>
      <c r="B2552" s="4" t="inlineStr">
        <is>
          <t>clstdai-acu-mois-p30-sn0500</t>
        </is>
      </c>
      <c r="C2552" s="4" t="inlineStr">
        <is>
          <t>W00031886A</t>
        </is>
      </c>
      <c r="D2552" s="6">
        <f>IF(F2552&gt;=5, F2552-5, IF(F2552&lt;5, 0, F2552))</f>
        <v/>
      </c>
      <c r="E2552">
        <f>VLOOKUP(B2552,[1]Namshi!$A:$B,2,0)</f>
        <v/>
      </c>
      <c r="F2552" s="4">
        <f>SUMIFS('Dubai Stock'!I:I,'Dubai Stock'!H:H,Final_UAE!B:B)</f>
        <v/>
      </c>
      <c r="H2552" s="8" t="e">
        <v>#N/A</v>
      </c>
      <c r="I2552" s="8" t="n"/>
    </row>
    <row r="2553">
      <c r="A2553" s="4" t="n">
        <v>33834</v>
      </c>
      <c r="B2553" s="4" t="inlineStr">
        <is>
          <t>clstdai-acu-oasy-p30-sn0150</t>
        </is>
      </c>
      <c r="C2553" s="4" t="inlineStr">
        <is>
          <t>W00031886A</t>
        </is>
      </c>
      <c r="D2553" s="6">
        <f>IF(F2553&gt;=5, F2553-5, IF(F2553&lt;5, 0, F2553))</f>
        <v/>
      </c>
      <c r="E2553">
        <f>VLOOKUP(B2553,[1]Namshi!$A:$B,2,0)</f>
        <v/>
      </c>
      <c r="F2553" s="4">
        <f>SUMIFS('Dubai Stock'!I:I,'Dubai Stock'!H:H,Final_UAE!B:B)</f>
        <v/>
      </c>
      <c r="H2553" s="8" t="e">
        <v>#N/A</v>
      </c>
      <c r="I2553" s="8" t="n"/>
    </row>
    <row r="2554">
      <c r="A2554" s="4" t="n">
        <v>33834</v>
      </c>
      <c r="B2554" s="4" t="inlineStr">
        <is>
          <t>clstbiw-acu-oasy-p06-sp0650</t>
        </is>
      </c>
      <c r="C2554" s="4" t="inlineStr">
        <is>
          <t>W00031886A</t>
        </is>
      </c>
      <c r="D2554" s="6">
        <f>IF(F2554&gt;=5, F2554-5, IF(F2554&lt;5, 0, F2554))</f>
        <v/>
      </c>
      <c r="E2554">
        <f>VLOOKUP(B2554,[1]Namshi!$A:$B,2,0)</f>
        <v/>
      </c>
      <c r="F2554" s="4">
        <f>SUMIFS('Dubai Stock'!I:I,'Dubai Stock'!H:H,Final_UAE!B:B)</f>
        <v/>
      </c>
      <c r="H2554" s="8" t="e">
        <v>#N/A</v>
      </c>
      <c r="I2554" s="8" t="n"/>
    </row>
    <row r="2555">
      <c r="A2555" s="4" t="n">
        <v>33834</v>
      </c>
      <c r="B2555" s="4" t="inlineStr">
        <is>
          <t>costmon-ama-lens-p02-dark-sepia-sn0900</t>
        </is>
      </c>
      <c r="C2555" s="4" t="inlineStr">
        <is>
          <t>W00031886A</t>
        </is>
      </c>
      <c r="D2555" s="6">
        <f>IF(F2555&gt;=5, F2555-5, IF(F2555&lt;5, 0, F2555))</f>
        <v/>
      </c>
      <c r="E2555">
        <f>VLOOKUP(B2555,[1]Namshi!$A:$B,2,0)</f>
        <v/>
      </c>
      <c r="F2555" s="4">
        <f>SUMIFS('Dubai Stock'!I:I,'Dubai Stock'!H:H,Final_UAE!B:B)</f>
        <v/>
      </c>
      <c r="H2555" s="8" t="e">
        <v>#N/A</v>
      </c>
      <c r="I2555" s="8" t="n"/>
    </row>
    <row r="2556">
      <c r="A2556" s="4" t="n">
        <v>33834</v>
      </c>
      <c r="B2556" s="4" t="inlineStr">
        <is>
          <t>clstdai-eve-elit-p90-sp0450</t>
        </is>
      </c>
      <c r="C2556" s="4" t="inlineStr">
        <is>
          <t>W00031886A</t>
        </is>
      </c>
      <c r="D2556" s="6">
        <f>IF(F2556&gt;=5, F2556-5, IF(F2556&lt;5, 0, F2556))</f>
        <v/>
      </c>
      <c r="E2556">
        <f>VLOOKUP(B2556,[1]Namshi!$A:$B,2,0)</f>
        <v/>
      </c>
      <c r="F2556" s="4">
        <f>SUMIFS('Dubai Stock'!I:I,'Dubai Stock'!H:H,Final_UAE!B:B)</f>
        <v/>
      </c>
      <c r="H2556" s="8" t="n">
        <v>729</v>
      </c>
      <c r="I2556" s="8" t="n">
        <v>357</v>
      </c>
    </row>
    <row r="2557">
      <c r="A2557" s="4" t="n">
        <v>33834</v>
      </c>
      <c r="B2557" s="4" t="inlineStr">
        <is>
          <t>clstdai-lay-cont-p60-dazzle-black-sn0150</t>
        </is>
      </c>
      <c r="C2557" s="4" t="inlineStr">
        <is>
          <t>W00031886A</t>
        </is>
      </c>
      <c r="D2557" s="6">
        <f>IF(F2557&gt;=5, F2557-5, IF(F2557&lt;5, 0, F2557))</f>
        <v/>
      </c>
      <c r="E2557">
        <f>VLOOKUP(B2557,[1]Namshi!$A:$B,2,0)</f>
        <v/>
      </c>
      <c r="F2557" s="4">
        <f>SUMIFS('Dubai Stock'!I:I,'Dubai Stock'!H:H,Final_UAE!B:B)</f>
        <v/>
      </c>
      <c r="H2557" s="8" t="e">
        <v>#N/A</v>
      </c>
      <c r="I2557" s="8" t="n"/>
    </row>
    <row r="2558">
      <c r="A2558" s="4" t="n">
        <v>33834</v>
      </c>
      <c r="B2558" s="4" t="inlineStr">
        <is>
          <t>cost3mo-cel-natu-p01-azure-blue-sp0350</t>
        </is>
      </c>
      <c r="C2558" s="4" t="inlineStr">
        <is>
          <t>W00031886A</t>
        </is>
      </c>
      <c r="D2558" s="6">
        <f>IF(F2558&gt;=5, F2558-5, IF(F2558&lt;5, 0, F2558))</f>
        <v/>
      </c>
      <c r="E2558">
        <f>VLOOKUP(B2558,[1]Namshi!$A:$B,2,0)</f>
        <v/>
      </c>
      <c r="F2558" s="4">
        <f>SUMIFS('Dubai Stock'!I:I,'Dubai Stock'!H:H,Final_UAE!B:B)</f>
        <v/>
      </c>
      <c r="H2558" s="8" t="e">
        <v>#N/A</v>
      </c>
      <c r="I2558" s="8" t="n"/>
    </row>
    <row r="2559">
      <c r="A2559" s="4" t="n">
        <v>33834</v>
      </c>
      <c r="B2559" s="4" t="inlineStr">
        <is>
          <t>clstdai-acu-oasy-p90-sn0900</t>
        </is>
      </c>
      <c r="C2559" s="4" t="inlineStr">
        <is>
          <t>W00031886A</t>
        </is>
      </c>
      <c r="D2559" s="6">
        <f>IF(F2559&gt;=5, F2559-5, IF(F2559&lt;5, 0, F2559))</f>
        <v/>
      </c>
      <c r="E2559">
        <f>VLOOKUP(B2559,[1]Namshi!$A:$B,2,0)</f>
        <v/>
      </c>
      <c r="F2559" s="4">
        <f>SUMIFS('Dubai Stock'!I:I,'Dubai Stock'!H:H,Final_UAE!B:B)</f>
        <v/>
      </c>
      <c r="H2559" s="8" t="e">
        <v>#N/A</v>
      </c>
      <c r="I2559" s="8" t="n"/>
    </row>
    <row r="2560">
      <c r="A2560" s="4" t="n">
        <v>33834</v>
      </c>
      <c r="B2560" s="4" t="inlineStr">
        <is>
          <t>clstmon-bio-biof-p06-sn0250</t>
        </is>
      </c>
      <c r="C2560" s="4" t="inlineStr">
        <is>
          <t>W00031886A</t>
        </is>
      </c>
      <c r="D2560" s="6">
        <f>IF(F2560&gt;=5, F2560-5, IF(F2560&lt;5, 0, F2560))</f>
        <v/>
      </c>
      <c r="E2560">
        <f>VLOOKUP(B2560,[1]Namshi!$A:$B,2,0)</f>
        <v/>
      </c>
      <c r="F2560" s="4">
        <f>SUMIFS('Dubai Stock'!I:I,'Dubai Stock'!H:H,Final_UAE!B:B)</f>
        <v/>
      </c>
      <c r="H2560" s="8" t="e">
        <v>#N/A</v>
      </c>
      <c r="I2560" s="8" t="n"/>
    </row>
    <row r="2561">
      <c r="A2561" s="4" t="n">
        <v>33834</v>
      </c>
      <c r="B2561" s="4" t="inlineStr">
        <is>
          <t>sm101202-30s-000247-1202-57</t>
        </is>
      </c>
      <c r="C2561" s="4" t="inlineStr">
        <is>
          <t>W00031886A</t>
        </is>
      </c>
      <c r="D2561" s="6">
        <f>IF(F2561&gt;=5, F2561-5, IF(F2561&lt;5, 0, F2561))</f>
        <v/>
      </c>
      <c r="E2561">
        <f>VLOOKUP(B2561,[1]Namshi!$A:$B,2,0)</f>
        <v/>
      </c>
      <c r="F2561" s="4">
        <f>SUMIFS('Dubai Stock'!I:I,'Dubai Stock'!H:H,Final_UAE!B:B)</f>
        <v/>
      </c>
      <c r="H2561" s="8" t="e">
        <v>#N/A</v>
      </c>
    </row>
    <row r="2562">
      <c r="A2562" s="4" t="n">
        <v>33834</v>
      </c>
      <c r="B2562" s="4" t="inlineStr">
        <is>
          <t>clstdai-dai-tot1-p90-sp0375</t>
        </is>
      </c>
      <c r="C2562" s="4" t="inlineStr">
        <is>
          <t>W00031886A</t>
        </is>
      </c>
      <c r="D2562" s="6">
        <f>IF(F2562&gt;=5, F2562-5, IF(F2562&lt;5, 0, F2562))</f>
        <v/>
      </c>
      <c r="E2562">
        <f>VLOOKUP(B2562,[1]Namshi!$A:$B,2,0)</f>
        <v/>
      </c>
      <c r="F2562" s="4">
        <f>SUMIFS('Dubai Stock'!I:I,'Dubai Stock'!H:H,Final_UAE!B:B)</f>
        <v/>
      </c>
      <c r="H2562" s="8" t="e">
        <v>#N/A</v>
      </c>
      <c r="I2562" s="8" t="n"/>
    </row>
    <row r="2563">
      <c r="A2563" s="4" t="n">
        <v>33834</v>
      </c>
      <c r="B2563" s="4" t="inlineStr">
        <is>
          <t>sm20707-30s-000293-0707p-52</t>
        </is>
      </c>
      <c r="C2563" s="4" t="inlineStr">
        <is>
          <t>W00031886A</t>
        </is>
      </c>
      <c r="D2563" s="6">
        <f>IF(F2563&gt;=5, F2563-5, IF(F2563&lt;5, 0, F2563))</f>
        <v/>
      </c>
      <c r="E2563">
        <f>VLOOKUP(B2563,[1]Namshi!$A:$B,2,0)</f>
        <v/>
      </c>
      <c r="F2563" s="4">
        <f>SUMIFS('Dubai Stock'!I:I,'Dubai Stock'!H:H,Final_UAE!B:B)</f>
        <v/>
      </c>
      <c r="H2563" s="8" t="e">
        <v>#N/A</v>
      </c>
    </row>
    <row r="2564">
      <c r="A2564" s="4" t="n">
        <v>33834</v>
      </c>
      <c r="B2564" s="4" t="inlineStr">
        <is>
          <t>clstdai-btr-oned-p90-sn0300</t>
        </is>
      </c>
      <c r="C2564" s="4" t="inlineStr">
        <is>
          <t>W00031886A</t>
        </is>
      </c>
      <c r="D2564" s="6">
        <f>IF(F2564&gt;=5, F2564-5, IF(F2564&lt;5, 0, F2564))</f>
        <v/>
      </c>
      <c r="E2564">
        <f>VLOOKUP(B2564,[1]Namshi!$A:$B,2,0)</f>
        <v/>
      </c>
      <c r="F2564" s="4">
        <f>SUMIFS('Dubai Stock'!I:I,'Dubai Stock'!H:H,Final_UAE!B:B)</f>
        <v/>
      </c>
      <c r="H2564" s="8" t="e">
        <v>#N/A</v>
      </c>
      <c r="I2564" s="8" t="n"/>
    </row>
    <row r="2565">
      <c r="A2565" s="4" t="n">
        <v>33834</v>
      </c>
      <c r="B2565" s="4" t="inlineStr">
        <is>
          <t>clstdai-acu-true-p30-sn0900</t>
        </is>
      </c>
      <c r="C2565" s="4" t="inlineStr">
        <is>
          <t>W00031886A</t>
        </is>
      </c>
      <c r="D2565" s="6">
        <f>IF(F2565&gt;=5, F2565-5, IF(F2565&lt;5, 0, F2565))</f>
        <v/>
      </c>
      <c r="E2565">
        <f>VLOOKUP(B2565,[1]Namshi!$A:$B,2,0)</f>
        <v/>
      </c>
      <c r="F2565" s="4">
        <f>SUMIFS('Dubai Stock'!I:I,'Dubai Stock'!H:H,Final_UAE!B:B)</f>
        <v/>
      </c>
      <c r="H2565" s="8" t="e">
        <v>#N/A</v>
      </c>
      <c r="I2565" s="8" t="n"/>
    </row>
    <row r="2566">
      <c r="A2566" s="4" t="n">
        <v>33834</v>
      </c>
      <c r="B2566" s="4" t="inlineStr">
        <is>
          <t>clstmon-sof-sl59-p06-sp0275</t>
        </is>
      </c>
      <c r="C2566" s="4" t="inlineStr">
        <is>
          <t>W00031886A</t>
        </is>
      </c>
      <c r="D2566" s="6">
        <f>IF(F2566&gt;=5, F2566-5, IF(F2566&lt;5, 0, F2566))</f>
        <v/>
      </c>
      <c r="E2566">
        <f>VLOOKUP(B2566,[1]Namshi!$A:$B,2,0)</f>
        <v/>
      </c>
      <c r="F2566" s="4">
        <f>SUMIFS('Dubai Stock'!I:I,'Dubai Stock'!H:H,Final_UAE!B:B)</f>
        <v/>
      </c>
      <c r="H2566" s="8" t="e">
        <v>#N/A</v>
      </c>
      <c r="I2566" s="8" t="n"/>
    </row>
    <row r="2567">
      <c r="A2567" s="4" t="n">
        <v>33834</v>
      </c>
      <c r="B2567" s="4" t="inlineStr">
        <is>
          <t>sw30107-30s-000124-0107-51</t>
        </is>
      </c>
      <c r="C2567" s="4" t="inlineStr">
        <is>
          <t>W00031886A</t>
        </is>
      </c>
      <c r="D2567" s="6">
        <f>IF(F2567&gt;=5, F2567-5, IF(F2567&lt;5, 0, F2567))</f>
        <v/>
      </c>
      <c r="E2567">
        <f>VLOOKUP(B2567,[1]Namshi!$A:$B,2,0)</f>
        <v/>
      </c>
      <c r="F2567" s="4">
        <f>SUMIFS('Dubai Stock'!I:I,'Dubai Stock'!H:H,Final_UAE!B:B)</f>
        <v/>
      </c>
      <c r="H2567" s="8" t="e">
        <v>#N/A</v>
      </c>
    </row>
    <row r="2568">
      <c r="A2568" s="4" t="n">
        <v>33834</v>
      </c>
      <c r="B2568" s="4" t="inlineStr">
        <is>
          <t>clstdai-lay-cont-p30-dazzle-black-sn0350</t>
        </is>
      </c>
      <c r="C2568" s="4" t="inlineStr">
        <is>
          <t>W00031886A</t>
        </is>
      </c>
      <c r="D2568" s="6">
        <f>IF(F2568&gt;=5, F2568-5, IF(F2568&lt;5, 0, F2568))</f>
        <v/>
      </c>
      <c r="E2568">
        <f>VLOOKUP(B2568,[1]Namshi!$A:$B,2,0)</f>
        <v/>
      </c>
      <c r="F2568" s="4">
        <f>SUMIFS('Dubai Stock'!I:I,'Dubai Stock'!H:H,Final_UAE!B:B)</f>
        <v/>
      </c>
      <c r="H2568" s="8" t="e">
        <v>#N/A</v>
      </c>
      <c r="I2568" s="8" t="n"/>
    </row>
    <row r="2569">
      <c r="A2569" s="4" t="n">
        <v>33834</v>
      </c>
      <c r="B2569" s="4" t="inlineStr">
        <is>
          <t>clstdai-acu-oasy-p90-sp0225</t>
        </is>
      </c>
      <c r="C2569" s="4" t="inlineStr">
        <is>
          <t>W00031886A</t>
        </is>
      </c>
      <c r="D2569" s="6">
        <f>IF(F2569&gt;=5, F2569-5, IF(F2569&lt;5, 0, F2569))</f>
        <v/>
      </c>
      <c r="E2569">
        <f>VLOOKUP(B2569,[1]Namshi!$A:$B,2,0)</f>
        <v/>
      </c>
      <c r="F2569" s="4">
        <f>SUMIFS('Dubai Stock'!I:I,'Dubai Stock'!H:H,Final_UAE!B:B)</f>
        <v/>
      </c>
      <c r="H2569" s="8" t="e">
        <v>#N/A</v>
      </c>
      <c r="I2569" s="8" t="n"/>
    </row>
    <row r="2570">
      <c r="A2570" s="4" t="n">
        <v>33834</v>
      </c>
      <c r="B2570" s="4" t="inlineStr">
        <is>
          <t>fw52318-spc-000818-2318-55</t>
        </is>
      </c>
      <c r="C2570" s="4" t="inlineStr">
        <is>
          <t>W00031886A</t>
        </is>
      </c>
      <c r="D2570" s="6">
        <f>IF(F2570&gt;=5, F2570-5, IF(F2570&lt;5, 0, F2570))</f>
        <v/>
      </c>
      <c r="E2570">
        <f>VLOOKUP(B2570,[1]Namshi!$A:$B,2,0)</f>
        <v/>
      </c>
      <c r="F2570" s="4">
        <f>SUMIFS('Dubai Stock'!I:I,'Dubai Stock'!H:H,Final_UAE!B:B)</f>
        <v/>
      </c>
      <c r="H2570" s="8" t="e">
        <v>#N/A</v>
      </c>
      <c r="I2570" s="8" t="n"/>
    </row>
    <row r="2571">
      <c r="A2571" s="4" t="n">
        <v>33834</v>
      </c>
      <c r="B2571" s="4" t="inlineStr">
        <is>
          <t>clstdai-lay-cont-p60-dazzle-black-sp0000</t>
        </is>
      </c>
      <c r="C2571" s="4" t="inlineStr">
        <is>
          <t>W00031886A</t>
        </is>
      </c>
      <c r="D2571" s="6">
        <f>IF(F2571&gt;=5, F2571-5, IF(F2571&lt;5, 0, F2571))</f>
        <v/>
      </c>
      <c r="E2571">
        <f>VLOOKUP(B2571,[1]Namshi!$A:$B,2,0)</f>
        <v/>
      </c>
      <c r="F2571" s="4">
        <f>SUMIFS('Dubai Stock'!I:I,'Dubai Stock'!H:H,Final_UAE!B:B)</f>
        <v/>
      </c>
      <c r="H2571" s="8" t="e">
        <v>#N/A</v>
      </c>
      <c r="I2571" s="8" t="n"/>
    </row>
    <row r="2572">
      <c r="A2572" s="4" t="n">
        <v>33834</v>
      </c>
      <c r="B2572" s="4" t="inlineStr">
        <is>
          <t>clstdai-dai-aqua-p90-sn0525</t>
        </is>
      </c>
      <c r="C2572" s="4" t="inlineStr">
        <is>
          <t>W00031886A</t>
        </is>
      </c>
      <c r="D2572" s="6">
        <f>IF(F2572&gt;=5, F2572-5, IF(F2572&lt;5, 0, F2572))</f>
        <v/>
      </c>
      <c r="E2572">
        <f>VLOOKUP(B2572,[1]Namshi!$A:$B,2,0)</f>
        <v/>
      </c>
      <c r="F2572" s="4">
        <f>SUMIFS('Dubai Stock'!I:I,'Dubai Stock'!H:H,Final_UAE!B:B)</f>
        <v/>
      </c>
      <c r="H2572" s="8" t="e">
        <v>#N/A</v>
      </c>
      <c r="I2572" s="8" t="n"/>
    </row>
    <row r="2573">
      <c r="A2573" s="4" t="n">
        <v>33834</v>
      </c>
      <c r="B2573" s="4" t="inlineStr">
        <is>
          <t>sw32901-bla-000279-2901-54</t>
        </is>
      </c>
      <c r="C2573" s="4" t="inlineStr">
        <is>
          <t>W00031886A</t>
        </is>
      </c>
      <c r="D2573" s="6">
        <f>IF(F2573&gt;=5, F2573-5, IF(F2573&lt;5, 0, F2573))</f>
        <v/>
      </c>
      <c r="E2573">
        <f>VLOOKUP(B2573,[1]Namshi!$A:$B,2,0)</f>
        <v/>
      </c>
      <c r="F2573" s="4">
        <f>SUMIFS('Dubai Stock'!I:I,'Dubai Stock'!H:H,Final_UAE!B:B)</f>
        <v/>
      </c>
      <c r="H2573" s="8" t="e">
        <v>#N/A</v>
      </c>
    </row>
    <row r="2574">
      <c r="A2574" s="4" t="n">
        <v>33834</v>
      </c>
      <c r="B2574" s="4" t="inlineStr">
        <is>
          <t>cost3mo-lay-lens-p02-golden-brown-sn0400</t>
        </is>
      </c>
      <c r="C2574" s="4" t="inlineStr">
        <is>
          <t>W00031886A</t>
        </is>
      </c>
      <c r="D2574" s="6">
        <f>IF(F2574&gt;=5, F2574-5, IF(F2574&lt;5, 0, F2574))</f>
        <v/>
      </c>
      <c r="E2574">
        <f>VLOOKUP(B2574,[1]Namshi!$A:$B,2,0)</f>
        <v/>
      </c>
      <c r="F2574" s="4">
        <f>SUMIFS('Dubai Stock'!I:I,'Dubai Stock'!H:H,Final_UAE!B:B)</f>
        <v/>
      </c>
      <c r="H2574" s="8" t="e">
        <v>#N/A</v>
      </c>
      <c r="I2574" s="8" t="n"/>
    </row>
    <row r="2575">
      <c r="A2575" s="4" t="n">
        <v>33834</v>
      </c>
      <c r="B2575" s="4" t="inlineStr">
        <is>
          <t>clstdai-acu-omax-p90-sn0950</t>
        </is>
      </c>
      <c r="C2575" s="4" t="inlineStr">
        <is>
          <t>W00031886A</t>
        </is>
      </c>
      <c r="D2575" s="6">
        <f>IF(F2575&gt;=5, F2575-5, IF(F2575&lt;5, 0, F2575))</f>
        <v/>
      </c>
      <c r="E2575">
        <f>VLOOKUP(B2575,[1]Namshi!$A:$B,2,0)</f>
        <v/>
      </c>
      <c r="F2575" s="4">
        <f>SUMIFS('Dubai Stock'!I:I,'Dubai Stock'!H:H,Final_UAE!B:B)</f>
        <v/>
      </c>
      <c r="H2575" s="8" t="e">
        <v>#N/A</v>
      </c>
      <c r="I2575" s="8" t="n"/>
    </row>
    <row r="2576">
      <c r="A2576" s="4" t="n">
        <v>33834</v>
      </c>
      <c r="B2576" s="4" t="inlineStr">
        <is>
          <t>clstdai-acu-oasy-p90-sn0275</t>
        </is>
      </c>
      <c r="C2576" s="4" t="inlineStr">
        <is>
          <t>W00031886A</t>
        </is>
      </c>
      <c r="D2576" s="6">
        <f>IF(F2576&gt;=5, F2576-5, IF(F2576&lt;5, 0, F2576))</f>
        <v/>
      </c>
      <c r="E2576">
        <f>VLOOKUP(B2576,[1]Namshi!$A:$B,2,0)</f>
        <v/>
      </c>
      <c r="F2576" s="4">
        <f>SUMIFS('Dubai Stock'!I:I,'Dubai Stock'!H:H,Final_UAE!B:B)</f>
        <v/>
      </c>
      <c r="H2576" s="8" t="e">
        <v>#N/A</v>
      </c>
      <c r="I2576" s="8" t="n"/>
    </row>
    <row r="2577">
      <c r="A2577" s="4" t="n">
        <v>33834</v>
      </c>
      <c r="B2577" s="4" t="inlineStr">
        <is>
          <t>clstdai-lay-cont-p90-dazzle-black-sn0300</t>
        </is>
      </c>
      <c r="C2577" s="4" t="inlineStr">
        <is>
          <t>W00031886A</t>
        </is>
      </c>
      <c r="D2577" s="6">
        <f>IF(F2577&gt;=5, F2577-5, IF(F2577&lt;5, 0, F2577))</f>
        <v/>
      </c>
      <c r="E2577">
        <f>VLOOKUP(B2577,[1]Namshi!$A:$B,2,0)</f>
        <v/>
      </c>
      <c r="F2577" s="4">
        <f>SUMIFS('Dubai Stock'!I:I,'Dubai Stock'!H:H,Final_UAE!B:B)</f>
        <v/>
      </c>
      <c r="H2577" s="8" t="e">
        <v>#N/A</v>
      </c>
      <c r="I2577" s="8" t="n"/>
    </row>
    <row r="2578">
      <c r="A2578" s="4" t="n">
        <v>33834</v>
      </c>
      <c r="B2578" s="4" t="inlineStr">
        <is>
          <t>fw30118-spc-000723-0118-54</t>
        </is>
      </c>
      <c r="C2578" s="4" t="inlineStr">
        <is>
          <t>W00031886A</t>
        </is>
      </c>
      <c r="D2578" s="6">
        <f>IF(F2578&gt;=5, F2578-5, IF(F2578&lt;5, 0, F2578))</f>
        <v/>
      </c>
      <c r="E2578">
        <f>VLOOKUP(B2578,[1]Namshi!$A:$B,2,0)</f>
        <v/>
      </c>
      <c r="F2578" s="4">
        <f>SUMIFS('Dubai Stock'!I:I,'Dubai Stock'!H:H,Final_UAE!B:B)</f>
        <v/>
      </c>
      <c r="H2578" s="8" t="e">
        <v>#N/A</v>
      </c>
      <c r="I2578" s="8" t="n"/>
    </row>
    <row r="2579">
      <c r="A2579" s="4" t="n">
        <v>33834</v>
      </c>
      <c r="B2579" s="4" t="inlineStr">
        <is>
          <t>cost3mo-lay-2021-p02-stardust-gray-sn0100</t>
        </is>
      </c>
      <c r="C2579" s="4" t="inlineStr">
        <is>
          <t>W00031886A</t>
        </is>
      </c>
      <c r="D2579" s="6">
        <f>IF(F2579&gt;=5, F2579-5, IF(F2579&lt;5, 0, F2579))</f>
        <v/>
      </c>
      <c r="E2579">
        <f>VLOOKUP(B2579,[1]Namshi!$A:$B,2,0)</f>
        <v/>
      </c>
      <c r="F2579" s="4">
        <f>SUMIFS('Dubai Stock'!I:I,'Dubai Stock'!H:H,Final_UAE!B:B)</f>
        <v/>
      </c>
      <c r="H2579" s="8" t="e">
        <v>#N/A</v>
      </c>
      <c r="I2579" s="8" t="n"/>
    </row>
    <row r="2580">
      <c r="A2580" s="4" t="n">
        <v>33834</v>
      </c>
      <c r="B2580" s="4" t="inlineStr">
        <is>
          <t>sw40404-30s-000123-0404-51</t>
        </is>
      </c>
      <c r="C2580" s="4" t="inlineStr">
        <is>
          <t>W00031886A</t>
        </is>
      </c>
      <c r="D2580" s="6">
        <f>IF(F2580&gt;=5, F2580-5, IF(F2580&lt;5, 0, F2580))</f>
        <v/>
      </c>
      <c r="E2580">
        <f>VLOOKUP(B2580,[1]Namshi!$A:$B,2,0)</f>
        <v/>
      </c>
      <c r="F2580" s="4">
        <f>SUMIFS('Dubai Stock'!I:I,'Dubai Stock'!H:H,Final_UAE!B:B)</f>
        <v/>
      </c>
      <c r="H2580" s="8" t="e">
        <v>#N/A</v>
      </c>
    </row>
    <row r="2581">
      <c r="A2581" s="4" t="n">
        <v>33834</v>
      </c>
      <c r="B2581" s="4" t="inlineStr">
        <is>
          <t>sm40106-30s-000502-0106-53</t>
        </is>
      </c>
      <c r="C2581" s="4" t="inlineStr">
        <is>
          <t>W00031886A</t>
        </is>
      </c>
      <c r="D2581" s="6">
        <f>IF(F2581&gt;=5, F2581-5, IF(F2581&lt;5, 0, F2581))</f>
        <v/>
      </c>
      <c r="E2581">
        <f>VLOOKUP(B2581,[1]Namshi!$A:$B,2,0)</f>
        <v/>
      </c>
      <c r="F2581" s="4">
        <f>SUMIFS('Dubai Stock'!I:I,'Dubai Stock'!H:H,Final_UAE!B:B)</f>
        <v/>
      </c>
      <c r="H2581" s="8" t="e">
        <v>#N/A</v>
      </c>
      <c r="I2581" s="8" t="n"/>
    </row>
    <row r="2582">
      <c r="A2582" s="4" t="n">
        <v>33834</v>
      </c>
      <c r="B2582" s="4" t="inlineStr">
        <is>
          <t>clstbiw-acu-oasy-p18-sn0500</t>
        </is>
      </c>
      <c r="C2582" s="4" t="inlineStr">
        <is>
          <t>W00031886A</t>
        </is>
      </c>
      <c r="D2582" s="6">
        <f>IF(F2582&gt;=5, F2582-5, IF(F2582&lt;5, 0, F2582))</f>
        <v/>
      </c>
      <c r="E2582">
        <f>VLOOKUP(B2582,[1]Namshi!$A:$B,2,0)</f>
        <v/>
      </c>
      <c r="F2582" s="4">
        <f>SUMIFS('Dubai Stock'!I:I,'Dubai Stock'!H:H,Final_UAE!B:B)</f>
        <v/>
      </c>
      <c r="H2582" s="8" t="e">
        <v>#N/A</v>
      </c>
      <c r="I2582" s="8" t="n"/>
    </row>
    <row r="2583">
      <c r="A2583" s="4" t="n">
        <v>33834</v>
      </c>
      <c r="B2583" s="4" t="inlineStr">
        <is>
          <t>sc52006-bab-000504-2006-51</t>
        </is>
      </c>
      <c r="C2583" s="4" t="inlineStr">
        <is>
          <t>W00031886A</t>
        </is>
      </c>
      <c r="D2583" s="6">
        <f>IF(F2583&gt;=5, F2583-5, IF(F2583&lt;5, 0, F2583))</f>
        <v/>
      </c>
      <c r="E2583">
        <f>VLOOKUP(B2583,[1]Namshi!$A:$B,2,0)</f>
        <v/>
      </c>
      <c r="F2583" s="4">
        <f>SUMIFS('Dubai Stock'!I:I,'Dubai Stock'!H:H,Final_UAE!B:B)</f>
        <v/>
      </c>
      <c r="H2583" s="8" t="e">
        <v>#N/A</v>
      </c>
    </row>
    <row r="2584">
      <c r="A2584" s="4" t="n">
        <v>33834</v>
      </c>
      <c r="B2584" s="4" t="inlineStr">
        <is>
          <t>clstdai-acu-dfrb-p90-sn0350</t>
        </is>
      </c>
      <c r="C2584" s="4" t="inlineStr">
        <is>
          <t>W00031886A</t>
        </is>
      </c>
      <c r="D2584" s="6">
        <f>IF(F2584&gt;=5, F2584-5, IF(F2584&lt;5, 0, F2584))</f>
        <v/>
      </c>
      <c r="E2584">
        <f>VLOOKUP(B2584,[1]Namshi!$A:$B,2,0)</f>
        <v/>
      </c>
      <c r="F2584" s="4">
        <f>SUMIFS('Dubai Stock'!I:I,'Dubai Stock'!H:H,Final_UAE!B:B)</f>
        <v/>
      </c>
      <c r="H2584" s="8" t="e">
        <v>#N/A</v>
      </c>
      <c r="I2584" s="8" t="n"/>
    </row>
    <row r="2585">
      <c r="A2585" s="4" t="n">
        <v>33834</v>
      </c>
      <c r="B2585" s="4" t="inlineStr">
        <is>
          <t>clstdai-sof-sdai-p30-sp0400</t>
        </is>
      </c>
      <c r="C2585" s="4" t="inlineStr">
        <is>
          <t>W00031886A</t>
        </is>
      </c>
      <c r="D2585" s="6">
        <f>IF(F2585&gt;=5, F2585-5, IF(F2585&lt;5, 0, F2585))</f>
        <v/>
      </c>
      <c r="E2585">
        <f>VLOOKUP(B2585,[1]Namshi!$A:$B,2,0)</f>
        <v/>
      </c>
      <c r="F2585" s="4">
        <f>SUMIFS('Dubai Stock'!I:I,'Dubai Stock'!H:H,Final_UAE!B:B)</f>
        <v/>
      </c>
      <c r="H2585" s="8" t="e">
        <v>#N/A</v>
      </c>
      <c r="I2585" s="8" t="n"/>
    </row>
    <row r="2586">
      <c r="A2586" s="4" t="n">
        <v>33834</v>
      </c>
      <c r="B2586" s="4" t="inlineStr">
        <is>
          <t>costdai-acu-dffr-p10-blue-sn0125</t>
        </is>
      </c>
      <c r="C2586" s="4" t="inlineStr">
        <is>
          <t>W00031886A</t>
        </is>
      </c>
      <c r="D2586" s="6">
        <f>IF(F2586&gt;=5, F2586-5, IF(F2586&lt;5, 0, F2586))</f>
        <v/>
      </c>
      <c r="E2586">
        <f>VLOOKUP(B2586,[1]Namshi!$A:$B,2,0)</f>
        <v/>
      </c>
      <c r="F2586" s="4">
        <f>SUMIFS('Dubai Stock'!I:I,'Dubai Stock'!H:H,Final_UAE!B:B)</f>
        <v/>
      </c>
      <c r="H2586" s="8" t="e">
        <v>#N/A</v>
      </c>
      <c r="I2586" s="8" t="n"/>
    </row>
    <row r="2587">
      <c r="A2587" s="4" t="n">
        <v>33834</v>
      </c>
      <c r="B2587" s="4" t="inlineStr">
        <is>
          <t>clstdai-lay-cont-p90-dazzle-brown-sn0950</t>
        </is>
      </c>
      <c r="C2587" s="4" t="inlineStr">
        <is>
          <t>W00031886A</t>
        </is>
      </c>
      <c r="D2587" s="6">
        <f>IF(F2587&gt;=5, F2587-5, IF(F2587&lt;5, 0, F2587))</f>
        <v/>
      </c>
      <c r="E2587">
        <f>VLOOKUP(B2587,[1]Namshi!$A:$B,2,0)</f>
        <v/>
      </c>
      <c r="F2587" s="4">
        <f>SUMIFS('Dubai Stock'!I:I,'Dubai Stock'!H:H,Final_UAE!B:B)</f>
        <v/>
      </c>
      <c r="H2587" s="8" t="e">
        <v>#N/A</v>
      </c>
      <c r="I2587" s="8" t="n"/>
    </row>
    <row r="2588">
      <c r="A2588" s="4" t="n">
        <v>33834</v>
      </c>
      <c r="B2588" s="4" t="inlineStr">
        <is>
          <t>costdai-ama-dail-p10-shadow-sp0000</t>
        </is>
      </c>
      <c r="C2588" s="4" t="inlineStr">
        <is>
          <t>W00031886A</t>
        </is>
      </c>
      <c r="D2588" s="6">
        <f>IF(F2588&gt;=5, F2588-5, IF(F2588&lt;5, 0, F2588))</f>
        <v/>
      </c>
      <c r="E2588">
        <f>VLOOKUP(B2588,[1]Namshi!$A:$B,2,0)</f>
        <v/>
      </c>
      <c r="F2588" s="4">
        <f>SUMIFS('Dubai Stock'!I:I,'Dubai Stock'!H:H,Final_UAE!B:B)</f>
        <v/>
      </c>
      <c r="H2588" s="8" t="e">
        <v>#N/A</v>
      </c>
      <c r="I2588" s="8" t="n"/>
    </row>
    <row r="2589">
      <c r="A2589" s="4" t="n">
        <v>33834</v>
      </c>
      <c r="B2589" s="4" t="inlineStr">
        <is>
          <t>clstdai-acu-oasy-p30-sp0250</t>
        </is>
      </c>
      <c r="C2589" s="4" t="inlineStr">
        <is>
          <t>W00031886A</t>
        </is>
      </c>
      <c r="D2589" s="6">
        <f>IF(F2589&gt;=5, F2589-5, IF(F2589&lt;5, 0, F2589))</f>
        <v/>
      </c>
      <c r="E2589">
        <f>VLOOKUP(B2589,[1]Namshi!$A:$B,2,0)</f>
        <v/>
      </c>
      <c r="F2589" s="4">
        <f>SUMIFS('Dubai Stock'!I:I,'Dubai Stock'!H:H,Final_UAE!B:B)</f>
        <v/>
      </c>
      <c r="H2589" s="8" t="e">
        <v>#N/A</v>
      </c>
      <c r="I2589" s="8" t="n"/>
    </row>
    <row r="2590">
      <c r="A2590" s="4" t="n">
        <v>33834</v>
      </c>
      <c r="B2590" s="4" t="inlineStr">
        <is>
          <t>clstdai-eve-elit-p30-sn1050</t>
        </is>
      </c>
      <c r="C2590" s="4" t="inlineStr">
        <is>
          <t>W00031886A</t>
        </is>
      </c>
      <c r="D2590" s="6">
        <f>IF(F2590&gt;=5, F2590-5, IF(F2590&lt;5, 0, F2590))</f>
        <v/>
      </c>
      <c r="E2590">
        <f>VLOOKUP(B2590,[1]Namshi!$A:$B,2,0)</f>
        <v/>
      </c>
      <c r="F2590" s="4">
        <f>SUMIFS('Dubai Stock'!I:I,'Dubai Stock'!H:H,Final_UAE!B:B)</f>
        <v/>
      </c>
      <c r="H2590" s="8" t="n">
        <v>261</v>
      </c>
      <c r="I2590" s="8" t="n">
        <v>146.3</v>
      </c>
    </row>
    <row r="2591">
      <c r="A2591" s="4" t="n">
        <v>33834</v>
      </c>
      <c r="B2591" s="4" t="inlineStr">
        <is>
          <t>sw30107-bla-000243-0101-58</t>
        </is>
      </c>
      <c r="C2591" s="4" t="inlineStr">
        <is>
          <t>W00031886A</t>
        </is>
      </c>
      <c r="D2591" s="6">
        <f>IF(F2591&gt;=5, F2591-5, IF(F2591&lt;5, 0, F2591))</f>
        <v/>
      </c>
      <c r="E2591">
        <f>VLOOKUP(B2591,[1]Namshi!$A:$B,2,0)</f>
        <v/>
      </c>
      <c r="F2591" s="4">
        <f>SUMIFS('Dubai Stock'!I:I,'Dubai Stock'!H:H,Final_UAE!B:B)</f>
        <v/>
      </c>
      <c r="H2591" s="8" t="e">
        <v>#N/A</v>
      </c>
    </row>
    <row r="2592">
      <c r="A2592" s="4" t="n">
        <v>33834</v>
      </c>
      <c r="B2592" s="4" t="inlineStr">
        <is>
          <t>sm40107-bla-000339-0107-57</t>
        </is>
      </c>
      <c r="C2592" s="4" t="inlineStr">
        <is>
          <t>W00031886A</t>
        </is>
      </c>
      <c r="D2592" s="6">
        <f>IF(F2592&gt;=5, F2592-5, IF(F2592&lt;5, 0, F2592))</f>
        <v/>
      </c>
      <c r="E2592">
        <f>VLOOKUP(B2592,[1]Namshi!$A:$B,2,0)</f>
        <v/>
      </c>
      <c r="F2592" s="4">
        <f>SUMIFS('Dubai Stock'!I:I,'Dubai Stock'!H:H,Final_UAE!B:B)</f>
        <v/>
      </c>
      <c r="H2592" s="8" t="e">
        <v>#N/A</v>
      </c>
    </row>
    <row r="2593">
      <c r="A2593" s="4" t="n">
        <v>33834</v>
      </c>
      <c r="B2593" s="4" t="inlineStr">
        <is>
          <t>cost3mo-lay-2024-p02-terra-brown-sn0550</t>
        </is>
      </c>
      <c r="C2593" s="4" t="inlineStr">
        <is>
          <t>W00031886A</t>
        </is>
      </c>
      <c r="D2593" s="6">
        <f>IF(F2593&gt;=5, F2593-5, IF(F2593&lt;5, 0, F2593))</f>
        <v/>
      </c>
      <c r="E2593">
        <f>VLOOKUP(B2593,[1]Namshi!$A:$B,2,0)</f>
        <v/>
      </c>
      <c r="F2593" s="4">
        <f>SUMIFS('Dubai Stock'!I:I,'Dubai Stock'!H:H,Final_UAE!B:B)</f>
        <v/>
      </c>
      <c r="H2593" s="8" t="e">
        <v>#N/A</v>
      </c>
      <c r="I2593" s="8" t="n"/>
    </row>
    <row r="2594">
      <c r="A2594" s="4" t="n">
        <v>33834</v>
      </c>
      <c r="B2594" s="4" t="inlineStr">
        <is>
          <t>sw52904-bla-000229-2904-59</t>
        </is>
      </c>
      <c r="C2594" s="4" t="inlineStr">
        <is>
          <t>W00031886A</t>
        </is>
      </c>
      <c r="D2594" s="6">
        <f>IF(F2594&gt;=5, F2594-5, IF(F2594&lt;5, 0, F2594))</f>
        <v/>
      </c>
      <c r="E2594">
        <f>VLOOKUP(B2594,[1]Namshi!$A:$B,2,0)</f>
        <v/>
      </c>
      <c r="F2594" s="4">
        <f>SUMIFS('Dubai Stock'!I:I,'Dubai Stock'!H:H,Final_UAE!B:B)</f>
        <v/>
      </c>
      <c r="H2594" s="8" t="e">
        <v>#N/A</v>
      </c>
    </row>
    <row r="2595">
      <c r="A2595" s="4" t="n">
        <v>33834</v>
      </c>
      <c r="B2595" s="4" t="inlineStr">
        <is>
          <t>cltodai-acu-mois-p30-sn0550-cn0075-a010</t>
        </is>
      </c>
      <c r="C2595" s="4" t="inlineStr">
        <is>
          <t>W00031886A</t>
        </is>
      </c>
      <c r="D2595" s="6">
        <f>IF(F2595&gt;=5, F2595-5, IF(F2595&lt;5, 0, F2595))</f>
        <v/>
      </c>
      <c r="E2595">
        <f>VLOOKUP(B2595,[1]Namshi!$A:$B,2,0)</f>
        <v/>
      </c>
      <c r="F2595" s="4">
        <f>SUMIFS('Dubai Stock'!I:I,'Dubai Stock'!H:H,Final_UAE!B:B)</f>
        <v/>
      </c>
      <c r="H2595" s="8" t="e">
        <v>#N/A</v>
      </c>
      <c r="I2595" s="8" t="n"/>
    </row>
    <row r="2596">
      <c r="A2596" s="4" t="n">
        <v>33834</v>
      </c>
      <c r="B2596" s="4" t="inlineStr">
        <is>
          <t>cost3mo-lay-2021-p02-stardust-gray-sn0150</t>
        </is>
      </c>
      <c r="C2596" s="4" t="inlineStr">
        <is>
          <t>W00031886A</t>
        </is>
      </c>
      <c r="D2596" s="6">
        <f>IF(F2596&gt;=5, F2596-5, IF(F2596&lt;5, 0, F2596))</f>
        <v/>
      </c>
      <c r="E2596">
        <f>VLOOKUP(B2596,[1]Namshi!$A:$B,2,0)</f>
        <v/>
      </c>
      <c r="F2596" s="4">
        <f>SUMIFS('Dubai Stock'!I:I,'Dubai Stock'!H:H,Final_UAE!B:B)</f>
        <v/>
      </c>
      <c r="H2596" s="8" t="e">
        <v>#N/A</v>
      </c>
      <c r="I2596" s="8" t="n"/>
    </row>
    <row r="2597">
      <c r="A2597" s="4" t="n">
        <v>33834</v>
      </c>
      <c r="B2597" s="4" t="inlineStr">
        <is>
          <t>sm11702-30s-00443-1702p-56</t>
        </is>
      </c>
      <c r="C2597" s="4" t="inlineStr">
        <is>
          <t>W00031886A</t>
        </is>
      </c>
      <c r="D2597" s="6">
        <f>IF(F2597&gt;=5, F2597-5, IF(F2597&lt;5, 0, F2597))</f>
        <v/>
      </c>
      <c r="E2597">
        <f>VLOOKUP(B2597,[1]Namshi!$A:$B,2,0)</f>
        <v/>
      </c>
      <c r="F2597" s="4">
        <f>SUMIFS('Dubai Stock'!I:I,'Dubai Stock'!H:H,Final_UAE!B:B)</f>
        <v/>
      </c>
      <c r="H2597" s="8" t="e">
        <v>#N/A</v>
      </c>
    </row>
    <row r="2598">
      <c r="A2598" s="4" t="n">
        <v>33834</v>
      </c>
      <c r="B2598" s="4" t="inlineStr">
        <is>
          <t>clstdai-acu-mois-p60-sn0600</t>
        </is>
      </c>
      <c r="C2598" s="4" t="inlineStr">
        <is>
          <t>W00031886A</t>
        </is>
      </c>
      <c r="D2598" s="6">
        <f>IF(F2598&gt;=5, F2598-5, IF(F2598&lt;5, 0, F2598))</f>
        <v/>
      </c>
      <c r="E2598">
        <f>VLOOKUP(B2598,[1]Namshi!$A:$B,2,0)</f>
        <v/>
      </c>
      <c r="F2598" s="4">
        <f>SUMIFS('Dubai Stock'!I:I,'Dubai Stock'!H:H,Final_UAE!B:B)</f>
        <v/>
      </c>
      <c r="H2598" s="8" t="e">
        <v>#N/A</v>
      </c>
      <c r="I2598" s="8" t="n"/>
    </row>
    <row r="2599">
      <c r="A2599" s="4" t="n">
        <v>33834</v>
      </c>
      <c r="B2599" s="4" t="inlineStr">
        <is>
          <t>fw31318-mrw-mw69093593-50</t>
        </is>
      </c>
      <c r="C2599" s="4" t="inlineStr">
        <is>
          <t>W00031886A</t>
        </is>
      </c>
      <c r="D2599" s="6">
        <f>IF(F2599&gt;=5, F2599-5, IF(F2599&lt;5, 0, F2599))</f>
        <v/>
      </c>
      <c r="E2599">
        <f>VLOOKUP(B2599,[1]Namshi!$A:$B,2,0)</f>
        <v/>
      </c>
      <c r="F2599" s="4">
        <f>SUMIFS('Dubai Stock'!I:I,'Dubai Stock'!H:H,Final_UAE!B:B)</f>
        <v/>
      </c>
      <c r="H2599" s="8" t="e">
        <v>#N/A</v>
      </c>
      <c r="I2599" s="8" t="n"/>
    </row>
    <row r="2600">
      <c r="A2600" s="4" t="n">
        <v>33834</v>
      </c>
      <c r="B2600" s="4" t="inlineStr">
        <is>
          <t>clstdai-lay-cont-p30-dazzle-black-sn0700</t>
        </is>
      </c>
      <c r="C2600" s="4" t="inlineStr">
        <is>
          <t>W00031886A</t>
        </is>
      </c>
      <c r="D2600" s="6">
        <f>IF(F2600&gt;=5, F2600-5, IF(F2600&lt;5, 0, F2600))</f>
        <v/>
      </c>
      <c r="E2600">
        <f>VLOOKUP(B2600,[1]Namshi!$A:$B,2,0)</f>
        <v/>
      </c>
      <c r="F2600" s="4">
        <f>SUMIFS('Dubai Stock'!I:I,'Dubai Stock'!H:H,Final_UAE!B:B)</f>
        <v/>
      </c>
      <c r="H2600" s="8" t="e">
        <v>#N/A</v>
      </c>
      <c r="I2600" s="8" t="n"/>
    </row>
    <row r="2601">
      <c r="A2601" s="4" t="n">
        <v>33834</v>
      </c>
      <c r="B2601" s="4" t="inlineStr">
        <is>
          <t>cost3mo-lay-2024-p02-terra-brown-sn0075</t>
        </is>
      </c>
      <c r="C2601" s="4" t="inlineStr">
        <is>
          <t>W00031886A</t>
        </is>
      </c>
      <c r="D2601" s="6">
        <f>IF(F2601&gt;=5, F2601-5, IF(F2601&lt;5, 0, F2601))</f>
        <v/>
      </c>
      <c r="E2601">
        <f>VLOOKUP(B2601,[1]Namshi!$A:$B,2,0)</f>
        <v/>
      </c>
      <c r="F2601" s="4">
        <f>SUMIFS('Dubai Stock'!I:I,'Dubai Stock'!H:H,Final_UAE!B:B)</f>
        <v/>
      </c>
      <c r="H2601" s="8" t="e">
        <v>#N/A</v>
      </c>
      <c r="I2601" s="8" t="n"/>
    </row>
    <row r="2602">
      <c r="A2602" s="4" t="n">
        <v>33834</v>
      </c>
      <c r="B2602" s="4" t="inlineStr">
        <is>
          <t>sw32904-bla-000250-2904-54</t>
        </is>
      </c>
      <c r="C2602" s="4" t="inlineStr">
        <is>
          <t>W00031886A</t>
        </is>
      </c>
      <c r="D2602" s="6">
        <f>IF(F2602&gt;=5, F2602-5, IF(F2602&lt;5, 0, F2602))</f>
        <v/>
      </c>
      <c r="E2602">
        <f>VLOOKUP(B2602,[1]Namshi!$A:$B,2,0)</f>
        <v/>
      </c>
      <c r="F2602" s="4">
        <f>SUMIFS('Dubai Stock'!I:I,'Dubai Stock'!H:H,Final_UAE!B:B)</f>
        <v/>
      </c>
      <c r="H2602" s="8" t="e">
        <v>#N/A</v>
      </c>
    </row>
    <row r="2603">
      <c r="A2603" s="4" t="n">
        <v>33834</v>
      </c>
      <c r="B2603" s="4" t="inlineStr">
        <is>
          <t>costdai-ama-dail-p10-shadow-sn0100</t>
        </is>
      </c>
      <c r="C2603" s="4" t="inlineStr">
        <is>
          <t>W00031886A</t>
        </is>
      </c>
      <c r="D2603" s="6">
        <f>IF(F2603&gt;=5, F2603-5, IF(F2603&lt;5, 0, F2603))</f>
        <v/>
      </c>
      <c r="E2603">
        <f>VLOOKUP(B2603,[1]Namshi!$A:$B,2,0)</f>
        <v/>
      </c>
      <c r="F2603" s="4">
        <f>SUMIFS('Dubai Stock'!I:I,'Dubai Stock'!H:H,Final_UAE!B:B)</f>
        <v/>
      </c>
      <c r="H2603" s="8" t="e">
        <v>#N/A</v>
      </c>
      <c r="I2603" s="8" t="n"/>
    </row>
    <row r="2604">
      <c r="A2604" s="4" t="n">
        <v>33834</v>
      </c>
      <c r="B2604" s="4" t="inlineStr">
        <is>
          <t>clstmon-eve-prom-p06-sn0375</t>
        </is>
      </c>
      <c r="C2604" s="4" t="inlineStr">
        <is>
          <t>W00031886A</t>
        </is>
      </c>
      <c r="D2604" s="6">
        <f>IF(F2604&gt;=5, F2604-5, IF(F2604&lt;5, 0, F2604))</f>
        <v/>
      </c>
      <c r="E2604">
        <f>VLOOKUP(B2604,[1]Namshi!$A:$B,2,0)</f>
        <v/>
      </c>
      <c r="F2604" s="4">
        <f>SUMIFS('Dubai Stock'!I:I,'Dubai Stock'!H:H,Final_UAE!B:B)</f>
        <v/>
      </c>
      <c r="H2604" s="8" t="n">
        <v>212</v>
      </c>
      <c r="I2604" s="8" t="n">
        <v>111.3</v>
      </c>
    </row>
    <row r="2605">
      <c r="A2605" s="4" t="n">
        <v>33834</v>
      </c>
      <c r="B2605" s="4" t="inlineStr">
        <is>
          <t>clstdai-lay-cont-p10-dazzle-black-sn0250</t>
        </is>
      </c>
      <c r="C2605" s="4" t="inlineStr">
        <is>
          <t>W00031886A</t>
        </is>
      </c>
      <c r="D2605" s="6">
        <f>IF(F2605&gt;=5, F2605-5, IF(F2605&lt;5, 0, F2605))</f>
        <v/>
      </c>
      <c r="E2605">
        <f>VLOOKUP(B2605,[1]Namshi!$A:$B,2,0)</f>
        <v/>
      </c>
      <c r="F2605" s="4">
        <f>SUMIFS('Dubai Stock'!I:I,'Dubai Stock'!H:H,Final_UAE!B:B)</f>
        <v/>
      </c>
      <c r="H2605" s="8" t="e">
        <v>#N/A</v>
      </c>
      <c r="I2605" s="8" t="n"/>
    </row>
    <row r="2606">
      <c r="A2606" s="4" t="n">
        <v>33834</v>
      </c>
      <c r="B2606" s="4" t="inlineStr">
        <is>
          <t>clstmon-eve-prom-p06-sn0500</t>
        </is>
      </c>
      <c r="C2606" s="4" t="inlineStr">
        <is>
          <t>W00031886A</t>
        </is>
      </c>
      <c r="D2606" s="6">
        <f>IF(F2606&gt;=5, F2606-5, IF(F2606&lt;5, 0, F2606))</f>
        <v/>
      </c>
      <c r="E2606">
        <f>VLOOKUP(B2606,[1]Namshi!$A:$B,2,0)</f>
        <v/>
      </c>
      <c r="F2606" s="4">
        <f>SUMIFS('Dubai Stock'!I:I,'Dubai Stock'!H:H,Final_UAE!B:B)</f>
        <v/>
      </c>
      <c r="H2606" s="8" t="n">
        <v>212</v>
      </c>
      <c r="I2606" s="8" t="n">
        <v>111.3</v>
      </c>
    </row>
    <row r="2607">
      <c r="A2607" s="4" t="n">
        <v>33834</v>
      </c>
      <c r="B2607" s="4" t="inlineStr">
        <is>
          <t>clstdai-acu-mois-p30-sn1200</t>
        </is>
      </c>
      <c r="C2607" s="4" t="inlineStr">
        <is>
          <t>W00031886A</t>
        </is>
      </c>
      <c r="D2607" s="6">
        <f>IF(F2607&gt;=5, F2607-5, IF(F2607&lt;5, 0, F2607))</f>
        <v/>
      </c>
      <c r="E2607">
        <f>VLOOKUP(B2607,[1]Namshi!$A:$B,2,0)</f>
        <v/>
      </c>
      <c r="F2607" s="4">
        <f>SUMIFS('Dubai Stock'!I:I,'Dubai Stock'!H:H,Final_UAE!B:B)</f>
        <v/>
      </c>
      <c r="H2607" s="8" t="e">
        <v>#N/A</v>
      </c>
      <c r="I2607" s="8" t="n"/>
    </row>
    <row r="2608">
      <c r="A2608" s="4" t="n">
        <v>33834</v>
      </c>
      <c r="B2608" s="4" t="inlineStr">
        <is>
          <t>sw50606-30s-000276-2102-53</t>
        </is>
      </c>
      <c r="C2608" s="4" t="inlineStr">
        <is>
          <t>W00031886A</t>
        </is>
      </c>
      <c r="D2608" s="6">
        <f>IF(F2608&gt;=5, F2608-5, IF(F2608&lt;5, 0, F2608))</f>
        <v/>
      </c>
      <c r="E2608">
        <f>VLOOKUP(B2608,[1]Namshi!$A:$B,2,0)</f>
        <v/>
      </c>
      <c r="F2608" s="4">
        <f>SUMIFS('Dubai Stock'!I:I,'Dubai Stock'!H:H,Final_UAE!B:B)</f>
        <v/>
      </c>
      <c r="H2608" s="8" t="e">
        <v>#N/A</v>
      </c>
    </row>
    <row r="2609">
      <c r="A2609" s="4" t="n">
        <v>33834</v>
      </c>
      <c r="B2609" s="4" t="inlineStr">
        <is>
          <t>costmon-ama-2020-p02-pure-hazel-sn0475</t>
        </is>
      </c>
      <c r="C2609" s="4" t="inlineStr">
        <is>
          <t>W00031886A</t>
        </is>
      </c>
      <c r="D2609" s="6">
        <f>IF(F2609&gt;=5, F2609-5, IF(F2609&lt;5, 0, F2609))</f>
        <v/>
      </c>
      <c r="E2609">
        <f>VLOOKUP(B2609,[1]Namshi!$A:$B,2,0)</f>
        <v/>
      </c>
      <c r="F2609" s="4">
        <f>SUMIFS('Dubai Stock'!I:I,'Dubai Stock'!H:H,Final_UAE!B:B)</f>
        <v/>
      </c>
      <c r="H2609" s="8" t="e">
        <v>#N/A</v>
      </c>
      <c r="I2609" s="8" t="n"/>
    </row>
    <row r="2610">
      <c r="A2610" s="4" t="n">
        <v>33834</v>
      </c>
      <c r="B2610" s="4" t="inlineStr">
        <is>
          <t>cost3mo-lay-2024-p02-terra-brown-sn0600</t>
        </is>
      </c>
      <c r="C2610" s="4" t="inlineStr">
        <is>
          <t>W00031886A</t>
        </is>
      </c>
      <c r="D2610" s="6">
        <f>IF(F2610&gt;=5, F2610-5, IF(F2610&lt;5, 0, F2610))</f>
        <v/>
      </c>
      <c r="E2610">
        <f>VLOOKUP(B2610,[1]Namshi!$A:$B,2,0)</f>
        <v/>
      </c>
      <c r="F2610" s="4">
        <f>SUMIFS('Dubai Stock'!I:I,'Dubai Stock'!H:H,Final_UAE!B:B)</f>
        <v/>
      </c>
      <c r="H2610" s="8" t="e">
        <v>#N/A</v>
      </c>
      <c r="I2610" s="8" t="n"/>
    </row>
    <row r="2611">
      <c r="A2611" s="4" t="n">
        <v>33834</v>
      </c>
      <c r="B2611" s="4" t="inlineStr">
        <is>
          <t>clstdai-acu-omax-p30-sp0425</t>
        </is>
      </c>
      <c r="C2611" s="4" t="inlineStr">
        <is>
          <t>W00031886A</t>
        </is>
      </c>
      <c r="D2611" s="6">
        <f>IF(F2611&gt;=5, F2611-5, IF(F2611&lt;5, 0, F2611))</f>
        <v/>
      </c>
      <c r="E2611">
        <f>VLOOKUP(B2611,[1]Namshi!$A:$B,2,0)</f>
        <v/>
      </c>
      <c r="F2611" s="4">
        <f>SUMIFS('Dubai Stock'!I:I,'Dubai Stock'!H:H,Final_UAE!B:B)</f>
        <v/>
      </c>
      <c r="H2611" s="8" t="e">
        <v>#N/A</v>
      </c>
      <c r="I2611" s="8" t="n"/>
    </row>
    <row r="2612">
      <c r="A2612" s="4" t="n">
        <v>33834</v>
      </c>
      <c r="B2612" s="4" t="inlineStr">
        <is>
          <t>sm20106-30s-000207-0106-53</t>
        </is>
      </c>
      <c r="C2612" s="4" t="inlineStr">
        <is>
          <t>W00031886A</t>
        </is>
      </c>
      <c r="D2612" s="6">
        <f>IF(F2612&gt;=5, F2612-5, IF(F2612&lt;5, 0, F2612))</f>
        <v/>
      </c>
      <c r="E2612">
        <f>VLOOKUP(B2612,[1]Namshi!$A:$B,2,0)</f>
        <v/>
      </c>
      <c r="F2612" s="4">
        <f>SUMIFS('Dubai Stock'!I:I,'Dubai Stock'!H:H,Final_UAE!B:B)</f>
        <v/>
      </c>
      <c r="H2612" s="8" t="e">
        <v>#N/A</v>
      </c>
    </row>
    <row r="2613">
      <c r="A2613" s="4" t="n">
        <v>33834</v>
      </c>
      <c r="B2613" s="4" t="inlineStr">
        <is>
          <t>sc20907-bab-000510-0907d-43</t>
        </is>
      </c>
      <c r="C2613" s="4" t="inlineStr">
        <is>
          <t>W00031886A</t>
        </is>
      </c>
      <c r="D2613" s="6">
        <f>IF(F2613&gt;=5, F2613-5, IF(F2613&lt;5, 0, F2613))</f>
        <v/>
      </c>
      <c r="E2613">
        <f>VLOOKUP(B2613,[1]Namshi!$A:$B,2,0)</f>
        <v/>
      </c>
      <c r="F2613" s="4">
        <f>SUMIFS('Dubai Stock'!I:I,'Dubai Stock'!H:H,Final_UAE!B:B)</f>
        <v/>
      </c>
      <c r="H2613" s="8" t="e">
        <v>#N/A</v>
      </c>
    </row>
    <row r="2614">
      <c r="A2614" s="4" t="n">
        <v>33834</v>
      </c>
      <c r="B2614" s="4" t="inlineStr">
        <is>
          <t>sw60107-30s-000433-0107-52</t>
        </is>
      </c>
      <c r="C2614" s="4" t="inlineStr">
        <is>
          <t>W00031886A</t>
        </is>
      </c>
      <c r="D2614" s="6">
        <f>IF(F2614&gt;=5, F2614-5, IF(F2614&lt;5, 0, F2614))</f>
        <v/>
      </c>
      <c r="E2614">
        <f>VLOOKUP(B2614,[1]Namshi!$A:$B,2,0)</f>
        <v/>
      </c>
      <c r="F2614" s="4">
        <f>SUMIFS('Dubai Stock'!I:I,'Dubai Stock'!H:H,Final_UAE!B:B)</f>
        <v/>
      </c>
      <c r="H2614" s="8" t="e">
        <v>#N/A</v>
      </c>
    </row>
    <row r="2615">
      <c r="A2615" s="4" t="n">
        <v>33834</v>
      </c>
      <c r="B2615" s="4" t="inlineStr">
        <is>
          <t>costmon-ama-2020-p02-pure-hazel-sn0575</t>
        </is>
      </c>
      <c r="C2615" s="4" t="inlineStr">
        <is>
          <t>W00031886A</t>
        </is>
      </c>
      <c r="D2615" s="6">
        <f>IF(F2615&gt;=5, F2615-5, IF(F2615&lt;5, 0, F2615))</f>
        <v/>
      </c>
      <c r="E2615">
        <f>VLOOKUP(B2615,[1]Namshi!$A:$B,2,0)</f>
        <v/>
      </c>
      <c r="F2615" s="4">
        <f>SUMIFS('Dubai Stock'!I:I,'Dubai Stock'!H:H,Final_UAE!B:B)</f>
        <v/>
      </c>
      <c r="H2615" s="8" t="e">
        <v>#N/A</v>
      </c>
      <c r="I2615" s="8" t="n"/>
    </row>
    <row r="2616">
      <c r="A2616" s="4" t="n">
        <v>33834</v>
      </c>
      <c r="B2616" s="4" t="inlineStr">
        <is>
          <t>sm20101-30s-000249-0101p-53</t>
        </is>
      </c>
      <c r="C2616" s="4" t="inlineStr">
        <is>
          <t>W00031886A</t>
        </is>
      </c>
      <c r="D2616" s="6">
        <f>IF(F2616&gt;=5, F2616-5, IF(F2616&lt;5, 0, F2616))</f>
        <v/>
      </c>
      <c r="E2616">
        <f>VLOOKUP(B2616,[1]Namshi!$A:$B,2,0)</f>
        <v/>
      </c>
      <c r="F2616" s="4">
        <f>SUMIFS('Dubai Stock'!I:I,'Dubai Stock'!H:H,Final_UAE!B:B)</f>
        <v/>
      </c>
      <c r="H2616" s="8" t="e">
        <v>#N/A</v>
      </c>
    </row>
    <row r="2617">
      <c r="A2617" s="4" t="n">
        <v>33834</v>
      </c>
      <c r="B2617" s="4" t="inlineStr">
        <is>
          <t>sw31706-bla-000203-1706-56</t>
        </is>
      </c>
      <c r="C2617" s="4" t="inlineStr">
        <is>
          <t>W00031886A</t>
        </is>
      </c>
      <c r="D2617" s="6">
        <f>IF(F2617&gt;=5, F2617-5, IF(F2617&lt;5, 0, F2617))</f>
        <v/>
      </c>
      <c r="E2617">
        <f>VLOOKUP(B2617,[1]Namshi!$A:$B,2,0)</f>
        <v/>
      </c>
      <c r="F2617" s="4">
        <f>SUMIFS('Dubai Stock'!I:I,'Dubai Stock'!H:H,Final_UAE!B:B)</f>
        <v/>
      </c>
      <c r="H2617" s="8" t="e">
        <v>#N/A</v>
      </c>
    </row>
    <row r="2618">
      <c r="A2618" s="4" t="n">
        <v>33834</v>
      </c>
      <c r="B2618" s="4" t="inlineStr">
        <is>
          <t>su60502-bla-000259-0504-53</t>
        </is>
      </c>
      <c r="C2618" s="4" t="inlineStr">
        <is>
          <t>W00031886A</t>
        </is>
      </c>
      <c r="D2618" s="6">
        <f>IF(F2618&gt;=5, F2618-5, IF(F2618&lt;5, 0, F2618))</f>
        <v/>
      </c>
      <c r="E2618">
        <f>VLOOKUP(B2618,[1]Namshi!$A:$B,2,0)</f>
        <v/>
      </c>
      <c r="F2618" s="4">
        <f>SUMIFS('Dubai Stock'!I:I,'Dubai Stock'!H:H,Final_UAE!B:B)</f>
        <v/>
      </c>
      <c r="H2618" s="8" t="e">
        <v>#N/A</v>
      </c>
    </row>
    <row r="2619">
      <c r="A2619" s="4" t="n">
        <v>33834</v>
      </c>
      <c r="B2619" s="4" t="inlineStr">
        <is>
          <t>cost3mo-lay-2024-p02-terra-brown-sn0100</t>
        </is>
      </c>
      <c r="C2619" s="4" t="inlineStr">
        <is>
          <t>W00031886A</t>
        </is>
      </c>
      <c r="D2619" s="6">
        <f>IF(F2619&gt;=5, F2619-5, IF(F2619&lt;5, 0, F2619))</f>
        <v/>
      </c>
      <c r="E2619">
        <f>VLOOKUP(B2619,[1]Namshi!$A:$B,2,0)</f>
        <v/>
      </c>
      <c r="F2619" s="4">
        <f>SUMIFS('Dubai Stock'!I:I,'Dubai Stock'!H:H,Final_UAE!B:B)</f>
        <v/>
      </c>
      <c r="H2619" s="8" t="e">
        <v>#N/A</v>
      </c>
      <c r="I2619" s="8" t="n"/>
    </row>
    <row r="2620">
      <c r="A2620" s="4" t="n">
        <v>33834</v>
      </c>
      <c r="B2620" s="4" t="inlineStr">
        <is>
          <t>saccase-30s-case101-brn-bge-caramel-brown</t>
        </is>
      </c>
      <c r="C2620" s="4" t="inlineStr">
        <is>
          <t>W00031886A</t>
        </is>
      </c>
      <c r="D2620" s="6">
        <f>IF(F2620&gt;=5, F2620-5, IF(F2620&lt;5, 0, F2620))</f>
        <v/>
      </c>
      <c r="E2620">
        <f>VLOOKUP(B2620,[1]Namshi!$A:$B,2,0)</f>
        <v/>
      </c>
      <c r="F2620" s="4">
        <f>SUMIFS('Dubai Stock'!I:I,'Dubai Stock'!H:H,Final_UAE!B:B)</f>
        <v/>
      </c>
      <c r="H2620" s="8" t="e">
        <v>#N/A</v>
      </c>
      <c r="I2620" s="8" t="n"/>
    </row>
    <row r="2621">
      <c r="A2621" s="4" t="n">
        <v>33834</v>
      </c>
      <c r="B2621" s="4" t="inlineStr">
        <is>
          <t>fc50218-bab-000503-2818-46</t>
        </is>
      </c>
      <c r="C2621" s="4" t="inlineStr">
        <is>
          <t>W00031886A</t>
        </is>
      </c>
      <c r="D2621" s="6">
        <f>IF(F2621&gt;=5, F2621-5, IF(F2621&lt;5, 0, F2621))</f>
        <v/>
      </c>
      <c r="E2621">
        <f>VLOOKUP(B2621,[1]Namshi!$A:$B,2,0)</f>
        <v/>
      </c>
      <c r="F2621" s="4">
        <f>SUMIFS('Dubai Stock'!I:I,'Dubai Stock'!H:H,Final_UAE!B:B)</f>
        <v/>
      </c>
      <c r="H2621" s="8" t="e">
        <v>#N/A</v>
      </c>
      <c r="I2621" s="8" t="n"/>
    </row>
    <row r="2622">
      <c r="A2622" s="4" t="n">
        <v>33834</v>
      </c>
      <c r="B2622" s="4" t="inlineStr">
        <is>
          <t>bc20218-bab-000502-0218-50</t>
        </is>
      </c>
      <c r="C2622" s="4" t="inlineStr">
        <is>
          <t>W00031886A</t>
        </is>
      </c>
      <c r="D2622" s="6">
        <f>IF(F2622&gt;=5, F2622-5, IF(F2622&lt;5, 0, F2622))</f>
        <v/>
      </c>
      <c r="E2622">
        <f>VLOOKUP(B2622,[1]Namshi!$A:$B,2,0)</f>
        <v/>
      </c>
      <c r="F2622" s="4">
        <f>SUMIFS('Dubai Stock'!I:I,'Dubai Stock'!H:H,Final_UAE!B:B)</f>
        <v/>
      </c>
      <c r="H2622" s="8" t="e">
        <v>#N/A</v>
      </c>
    </row>
    <row r="2623">
      <c r="A2623" s="4" t="n">
        <v>33834</v>
      </c>
      <c r="B2623" s="4" t="inlineStr">
        <is>
          <t>cost3mo-lay-2021-p02-polar-gray-sn0350</t>
        </is>
      </c>
      <c r="C2623" s="4" t="inlineStr">
        <is>
          <t>W00031886A</t>
        </is>
      </c>
      <c r="D2623" s="6">
        <f>IF(F2623&gt;=5, F2623-5, IF(F2623&lt;5, 0, F2623))</f>
        <v/>
      </c>
      <c r="E2623">
        <f>VLOOKUP(B2623,[1]Namshi!$A:$B,2,0)</f>
        <v/>
      </c>
      <c r="F2623" s="4">
        <f>SUMIFS('Dubai Stock'!I:I,'Dubai Stock'!H:H,Final_UAE!B:B)</f>
        <v/>
      </c>
      <c r="H2623" s="8" t="e">
        <v>#N/A</v>
      </c>
      <c r="I2623" s="8" t="n"/>
    </row>
    <row r="2624">
      <c r="A2624" s="4" t="n">
        <v>33834</v>
      </c>
      <c r="B2624" s="4" t="inlineStr">
        <is>
          <t>su10404-30s-000279-0304-55</t>
        </is>
      </c>
      <c r="C2624" s="4" t="inlineStr">
        <is>
          <t>W00031886A</t>
        </is>
      </c>
      <c r="D2624" s="6">
        <f>IF(F2624&gt;=5, F2624-5, IF(F2624&lt;5, 0, F2624))</f>
        <v/>
      </c>
      <c r="E2624">
        <f>VLOOKUP(B2624,[1]Namshi!$A:$B,2,0)</f>
        <v/>
      </c>
      <c r="F2624" s="4">
        <f>SUMIFS('Dubai Stock'!I:I,'Dubai Stock'!H:H,Final_UAE!B:B)</f>
        <v/>
      </c>
      <c r="H2624" s="8" t="e">
        <v>#N/A</v>
      </c>
    </row>
    <row r="2625">
      <c r="A2625" s="4" t="n">
        <v>33834</v>
      </c>
      <c r="B2625" s="4" t="inlineStr">
        <is>
          <t>clstdai-acu-dfna-p60-sn0475</t>
        </is>
      </c>
      <c r="C2625" s="4" t="inlineStr">
        <is>
          <t>W00031886A</t>
        </is>
      </c>
      <c r="D2625" s="6">
        <f>IF(F2625&gt;=5, F2625-5, IF(F2625&lt;5, 0, F2625))</f>
        <v/>
      </c>
      <c r="E2625">
        <f>VLOOKUP(B2625,[1]Namshi!$A:$B,2,0)</f>
        <v/>
      </c>
      <c r="F2625" s="4">
        <f>SUMIFS('Dubai Stock'!I:I,'Dubai Stock'!H:H,Final_UAE!B:B)</f>
        <v/>
      </c>
      <c r="H2625" s="8" t="e">
        <v>#N/A</v>
      </c>
      <c r="I2625" s="8" t="n"/>
    </row>
    <row r="2626">
      <c r="A2626" s="4" t="n">
        <v>33834</v>
      </c>
      <c r="B2626" s="4" t="inlineStr">
        <is>
          <t>clstdai-acu-dfvi-p90-sn0550</t>
        </is>
      </c>
      <c r="C2626" s="4" t="inlineStr">
        <is>
          <t>W00031886A</t>
        </is>
      </c>
      <c r="D2626" s="6">
        <f>IF(F2626&gt;=5, F2626-5, IF(F2626&lt;5, 0, F2626))</f>
        <v/>
      </c>
      <c r="E2626">
        <f>VLOOKUP(B2626,[1]Namshi!$A:$B,2,0)</f>
        <v/>
      </c>
      <c r="F2626" s="4">
        <f>SUMIFS('Dubai Stock'!I:I,'Dubai Stock'!H:H,Final_UAE!B:B)</f>
        <v/>
      </c>
      <c r="H2626" s="8" t="e">
        <v>#N/A</v>
      </c>
      <c r="I2626" s="8" t="n"/>
    </row>
    <row r="2627">
      <c r="A2627" s="4" t="n">
        <v>33834</v>
      </c>
      <c r="B2627" s="4" t="inlineStr">
        <is>
          <t>costdai-acu-dffr-p10-honey-sn0150</t>
        </is>
      </c>
      <c r="C2627" s="4" t="inlineStr">
        <is>
          <t>W00031886A</t>
        </is>
      </c>
      <c r="D2627" s="6">
        <f>IF(F2627&gt;=5, F2627-5, IF(F2627&lt;5, 0, F2627))</f>
        <v/>
      </c>
      <c r="E2627">
        <f>VLOOKUP(B2627,[1]Namshi!$A:$B,2,0)</f>
        <v/>
      </c>
      <c r="F2627" s="4">
        <f>SUMIFS('Dubai Stock'!I:I,'Dubai Stock'!H:H,Final_UAE!B:B)</f>
        <v/>
      </c>
      <c r="H2627" s="8" t="e">
        <v>#N/A</v>
      </c>
      <c r="I2627" s="8" t="n"/>
    </row>
    <row r="2628">
      <c r="A2628" s="4" t="n">
        <v>33834</v>
      </c>
      <c r="B2628" s="4" t="inlineStr">
        <is>
          <t>clstbiw-acu-oasy-p18-sn0350</t>
        </is>
      </c>
      <c r="C2628" s="4" t="inlineStr">
        <is>
          <t>W00031886A</t>
        </is>
      </c>
      <c r="D2628" s="6">
        <f>IF(F2628&gt;=5, F2628-5, IF(F2628&lt;5, 0, F2628))</f>
        <v/>
      </c>
      <c r="E2628">
        <f>VLOOKUP(B2628,[1]Namshi!$A:$B,2,0)</f>
        <v/>
      </c>
      <c r="F2628" s="4">
        <f>SUMIFS('Dubai Stock'!I:I,'Dubai Stock'!H:H,Final_UAE!B:B)</f>
        <v/>
      </c>
      <c r="H2628" s="8" t="e">
        <v>#N/A</v>
      </c>
      <c r="I2628" s="8" t="n"/>
    </row>
    <row r="2629">
      <c r="A2629" s="4" t="n">
        <v>33834</v>
      </c>
      <c r="B2629" s="4" t="inlineStr">
        <is>
          <t>clstdai-sof-sdai-p90-sn0750</t>
        </is>
      </c>
      <c r="C2629" s="4" t="inlineStr">
        <is>
          <t>W00031886A</t>
        </is>
      </c>
      <c r="D2629" s="6">
        <f>IF(F2629&gt;=5, F2629-5, IF(F2629&lt;5, 0, F2629))</f>
        <v/>
      </c>
      <c r="E2629">
        <f>VLOOKUP(B2629,[1]Namshi!$A:$B,2,0)</f>
        <v/>
      </c>
      <c r="F2629" s="4">
        <f>SUMIFS('Dubai Stock'!I:I,'Dubai Stock'!H:H,Final_UAE!B:B)</f>
        <v/>
      </c>
      <c r="H2629" s="8" t="e">
        <v>#N/A</v>
      </c>
      <c r="I2629" s="8" t="n"/>
    </row>
    <row r="2630">
      <c r="A2630" s="4" t="n">
        <v>33834</v>
      </c>
      <c r="B2630" s="4" t="inlineStr">
        <is>
          <t>cost3mo-lay-2024-p02-moon-gray-sn0325</t>
        </is>
      </c>
      <c r="C2630" s="4" t="inlineStr">
        <is>
          <t>W00031886A</t>
        </is>
      </c>
      <c r="D2630" s="6">
        <f>IF(F2630&gt;=5, F2630-5, IF(F2630&lt;5, 0, F2630))</f>
        <v/>
      </c>
      <c r="E2630">
        <f>VLOOKUP(B2630,[1]Namshi!$A:$B,2,0)</f>
        <v/>
      </c>
      <c r="F2630" s="4">
        <f>SUMIFS('Dubai Stock'!I:I,'Dubai Stock'!H:H,Final_UAE!B:B)</f>
        <v/>
      </c>
      <c r="H2630" s="8" t="e">
        <v>#N/A</v>
      </c>
      <c r="I2630" s="8" t="n"/>
    </row>
    <row r="2631">
      <c r="A2631" s="4" t="n">
        <v>33834</v>
      </c>
      <c r="B2631" s="4" t="inlineStr">
        <is>
          <t>saccase-30s-case102-brn-bge-caramel-brown</t>
        </is>
      </c>
      <c r="C2631" s="4" t="inlineStr">
        <is>
          <t>W00031886A</t>
        </is>
      </c>
      <c r="D2631" s="6">
        <f>IF(F2631&gt;=5, F2631-5, IF(F2631&lt;5, 0, F2631))</f>
        <v/>
      </c>
      <c r="E2631">
        <f>VLOOKUP(B2631,[1]Namshi!$A:$B,2,0)</f>
        <v/>
      </c>
      <c r="F2631" s="4">
        <f>SUMIFS('Dubai Stock'!I:I,'Dubai Stock'!H:H,Final_UAE!B:B)</f>
        <v/>
      </c>
      <c r="H2631" s="8" t="e">
        <v>#N/A</v>
      </c>
      <c r="I2631" s="8" t="n"/>
    </row>
    <row r="2632">
      <c r="A2632" s="4" t="n">
        <v>33834</v>
      </c>
      <c r="B2632" s="4" t="inlineStr">
        <is>
          <t>cost3mo-lay-lens-p02-crystal-brown-sn0175</t>
        </is>
      </c>
      <c r="C2632" s="4" t="inlineStr">
        <is>
          <t>W00031886A</t>
        </is>
      </c>
      <c r="D2632" s="6">
        <f>IF(F2632&gt;=5, F2632-5, IF(F2632&lt;5, 0, F2632))</f>
        <v/>
      </c>
      <c r="E2632">
        <f>VLOOKUP(B2632,[1]Namshi!$A:$B,2,0)</f>
        <v/>
      </c>
      <c r="F2632" s="4">
        <f>SUMIFS('Dubai Stock'!I:I,'Dubai Stock'!H:H,Final_UAE!B:B)</f>
        <v/>
      </c>
      <c r="H2632" s="8" t="e">
        <v>#N/A</v>
      </c>
      <c r="I2632" s="8" t="n"/>
    </row>
    <row r="2633">
      <c r="A2633" s="4" t="n">
        <v>33834</v>
      </c>
      <c r="B2633" s="4" t="inlineStr">
        <is>
          <t>sacchan-30s-cleo-tortoise</t>
        </is>
      </c>
      <c r="C2633" s="4" t="inlineStr">
        <is>
          <t>W00031886A</t>
        </is>
      </c>
      <c r="D2633" s="6">
        <f>IF(F2633&gt;=5, F2633-5, IF(F2633&lt;5, 0, F2633))</f>
        <v/>
      </c>
      <c r="E2633">
        <f>VLOOKUP(B2633,[1]Namshi!$A:$B,2,0)</f>
        <v/>
      </c>
      <c r="F2633" s="4">
        <f>SUMIFS('Dubai Stock'!I:I,'Dubai Stock'!H:H,Final_UAE!B:B)</f>
        <v/>
      </c>
      <c r="H2633" s="8" t="e">
        <v>#N/A</v>
      </c>
      <c r="I2633" s="8" t="n"/>
    </row>
    <row r="2634">
      <c r="A2634" s="4" t="n">
        <v>33834</v>
      </c>
      <c r="B2634" s="4" t="inlineStr">
        <is>
          <t>cost3mo-lay-2024-p02-moon-gray-sn0050</t>
        </is>
      </c>
      <c r="C2634" s="4" t="inlineStr">
        <is>
          <t>W00031886A</t>
        </is>
      </c>
      <c r="D2634" s="6">
        <f>IF(F2634&gt;=5, F2634-5, IF(F2634&lt;5, 0, F2634))</f>
        <v/>
      </c>
      <c r="E2634">
        <f>VLOOKUP(B2634,[1]Namshi!$A:$B,2,0)</f>
        <v/>
      </c>
      <c r="F2634" s="4">
        <f>SUMIFS('Dubai Stock'!I:I,'Dubai Stock'!H:H,Final_UAE!B:B)</f>
        <v/>
      </c>
      <c r="H2634" s="8" t="e">
        <v>#N/A</v>
      </c>
      <c r="I2634" s="8" t="n"/>
    </row>
    <row r="2635">
      <c r="A2635" s="4" t="n">
        <v>33834</v>
      </c>
      <c r="B2635" s="4" t="inlineStr">
        <is>
          <t>clstmon-bme-bm55-p06-sn1000</t>
        </is>
      </c>
      <c r="C2635" s="4" t="inlineStr">
        <is>
          <t>W00031886A</t>
        </is>
      </c>
      <c r="D2635" s="6">
        <f>IF(F2635&gt;=5, F2635-5, IF(F2635&lt;5, 0, F2635))</f>
        <v/>
      </c>
      <c r="E2635">
        <f>VLOOKUP(B2635,[1]Namshi!$A:$B,2,0)</f>
        <v/>
      </c>
      <c r="F2635" s="4">
        <f>SUMIFS('Dubai Stock'!I:I,'Dubai Stock'!H:H,Final_UAE!B:B)</f>
        <v/>
      </c>
      <c r="H2635" s="8" t="e">
        <v>#N/A</v>
      </c>
      <c r="I2635" s="8" t="n"/>
    </row>
    <row r="2636">
      <c r="A2636" s="4" t="n">
        <v>33834</v>
      </c>
      <c r="B2636" s="4" t="inlineStr">
        <is>
          <t>clstdai-lay-cont-p10-dazzle-black-sn0125</t>
        </is>
      </c>
      <c r="C2636" s="4" t="inlineStr">
        <is>
          <t>W00031886A</t>
        </is>
      </c>
      <c r="D2636" s="6">
        <f>IF(F2636&gt;=5, F2636-5, IF(F2636&lt;5, 0, F2636))</f>
        <v/>
      </c>
      <c r="E2636">
        <f>VLOOKUP(B2636,[1]Namshi!$A:$B,2,0)</f>
        <v/>
      </c>
      <c r="F2636" s="4">
        <f>SUMIFS('Dubai Stock'!I:I,'Dubai Stock'!H:H,Final_UAE!B:B)</f>
        <v/>
      </c>
      <c r="H2636" s="8" t="e">
        <v>#N/A</v>
      </c>
      <c r="I2636" s="8" t="n"/>
    </row>
    <row r="2637">
      <c r="A2637" s="4" t="n">
        <v>33834</v>
      </c>
      <c r="B2637" s="4" t="inlineStr">
        <is>
          <t>sacchan-30s-chain101-svr-fleek-silver</t>
        </is>
      </c>
      <c r="C2637" s="4" t="inlineStr">
        <is>
          <t>W00031886A</t>
        </is>
      </c>
      <c r="D2637" s="6">
        <f>IF(F2637&gt;=5, F2637-5, IF(F2637&lt;5, 0, F2637))</f>
        <v/>
      </c>
      <c r="E2637">
        <f>VLOOKUP(B2637,[1]Namshi!$A:$B,2,0)</f>
        <v/>
      </c>
      <c r="F2637" s="4">
        <f>SUMIFS('Dubai Stock'!I:I,'Dubai Stock'!H:H,Final_UAE!B:B)</f>
        <v/>
      </c>
      <c r="H2637" s="8" t="e">
        <v>#N/A</v>
      </c>
      <c r="I2637" s="8" t="n"/>
    </row>
    <row r="2638">
      <c r="A2638" s="4" t="n">
        <v>33834</v>
      </c>
      <c r="B2638" s="4" t="inlineStr">
        <is>
          <t>costdai-acu-dffr-p30-green-sn0125</t>
        </is>
      </c>
      <c r="C2638" s="4" t="inlineStr">
        <is>
          <t>W00031886A</t>
        </is>
      </c>
      <c r="D2638" s="6">
        <f>IF(F2638&gt;=5, F2638-5, IF(F2638&lt;5, 0, F2638))</f>
        <v/>
      </c>
      <c r="E2638">
        <f>VLOOKUP(B2638,[1]Namshi!$A:$B,2,0)</f>
        <v/>
      </c>
      <c r="F2638" s="4">
        <f>SUMIFS('Dubai Stock'!I:I,'Dubai Stock'!H:H,Final_UAE!B:B)</f>
        <v/>
      </c>
      <c r="H2638" s="8" t="e">
        <v>#N/A</v>
      </c>
      <c r="I2638" s="8" t="n"/>
    </row>
    <row r="2639">
      <c r="A2639" s="4" t="n">
        <v>33834</v>
      </c>
      <c r="B2639" s="4" t="inlineStr">
        <is>
          <t>sc51402-bab-000506-1402-48</t>
        </is>
      </c>
      <c r="C2639" s="4" t="inlineStr">
        <is>
          <t>W00031886A</t>
        </is>
      </c>
      <c r="D2639" s="6">
        <f>IF(F2639&gt;=5, F2639-5, IF(F2639&lt;5, 0, F2639))</f>
        <v/>
      </c>
      <c r="E2639">
        <f>VLOOKUP(B2639,[1]Namshi!$A:$B,2,0)</f>
        <v/>
      </c>
      <c r="F2639" s="4">
        <f>SUMIFS('Dubai Stock'!I:I,'Dubai Stock'!H:H,Final_UAE!B:B)</f>
        <v/>
      </c>
      <c r="H2639" s="8" t="e">
        <v>#N/A</v>
      </c>
    </row>
    <row r="2640">
      <c r="A2640" s="4" t="n">
        <v>33834</v>
      </c>
      <c r="B2640" s="4" t="inlineStr">
        <is>
          <t>cltobiw-acu-oasy-p06-sn0325-cn0075-a170</t>
        </is>
      </c>
      <c r="C2640" s="4" t="inlineStr">
        <is>
          <t>W00031886A</t>
        </is>
      </c>
      <c r="D2640" s="6">
        <f>IF(F2640&gt;=5, F2640-5, IF(F2640&lt;5, 0, F2640))</f>
        <v/>
      </c>
      <c r="E2640">
        <f>VLOOKUP(B2640,[1]Namshi!$A:$B,2,0)</f>
        <v/>
      </c>
      <c r="F2640" s="4">
        <f>SUMIFS('Dubai Stock'!I:I,'Dubai Stock'!H:H,Final_UAE!B:B)</f>
        <v/>
      </c>
      <c r="H2640" s="8" t="e">
        <v>#N/A</v>
      </c>
      <c r="I2640" s="8" t="n"/>
    </row>
    <row r="2641">
      <c r="A2641" s="4" t="n">
        <v>33834</v>
      </c>
      <c r="B2641" s="4" t="inlineStr">
        <is>
          <t>clstdai-eve-elit-p90-sp0175</t>
        </is>
      </c>
      <c r="C2641" s="4" t="inlineStr">
        <is>
          <t>W00031886A</t>
        </is>
      </c>
      <c r="D2641" s="6">
        <f>IF(F2641&gt;=5, F2641-5, IF(F2641&lt;5, 0, F2641))</f>
        <v/>
      </c>
      <c r="E2641">
        <f>VLOOKUP(B2641,[1]Namshi!$A:$B,2,0)</f>
        <v/>
      </c>
      <c r="F2641" s="4">
        <f>SUMIFS('Dubai Stock'!I:I,'Dubai Stock'!H:H,Final_UAE!B:B)</f>
        <v/>
      </c>
      <c r="H2641" s="8" t="n">
        <v>729</v>
      </c>
      <c r="I2641" s="8" t="n">
        <v>357</v>
      </c>
    </row>
    <row r="2642">
      <c r="A2642" s="4" t="n">
        <v>33834</v>
      </c>
      <c r="B2642" s="4" t="inlineStr">
        <is>
          <t>sw51307-bla-000225-1307-55</t>
        </is>
      </c>
      <c r="C2642" s="4" t="inlineStr">
        <is>
          <t>W00031886A</t>
        </is>
      </c>
      <c r="D2642" s="6">
        <f>IF(F2642&gt;=5, F2642-5, IF(F2642&lt;5, 0, F2642))</f>
        <v/>
      </c>
      <c r="E2642">
        <f>VLOOKUP(B2642,[1]Namshi!$A:$B,2,0)</f>
        <v/>
      </c>
      <c r="F2642" s="4">
        <f>SUMIFS('Dubai Stock'!I:I,'Dubai Stock'!H:H,Final_UAE!B:B)</f>
        <v/>
      </c>
      <c r="H2642" s="8" t="e">
        <v>#N/A</v>
      </c>
    </row>
    <row r="2643">
      <c r="A2643" s="4" t="n">
        <v>33834</v>
      </c>
      <c r="B2643" s="4" t="inlineStr">
        <is>
          <t>cost3mo-lay-2021-p02-willow-green-sn0225</t>
        </is>
      </c>
      <c r="C2643" s="4" t="inlineStr">
        <is>
          <t>W00031886A</t>
        </is>
      </c>
      <c r="D2643" s="6">
        <f>IF(F2643&gt;=5, F2643-5, IF(F2643&lt;5, 0, F2643))</f>
        <v/>
      </c>
      <c r="E2643">
        <f>VLOOKUP(B2643,[1]Namshi!$A:$B,2,0)</f>
        <v/>
      </c>
      <c r="F2643" s="4">
        <f>SUMIFS('Dubai Stock'!I:I,'Dubai Stock'!H:H,Final_UAE!B:B)</f>
        <v/>
      </c>
      <c r="H2643" s="8" t="e">
        <v>#N/A</v>
      </c>
      <c r="I2643" s="8" t="n"/>
    </row>
    <row r="2644">
      <c r="A2644" s="4" t="n">
        <v>33834</v>
      </c>
      <c r="B2644" s="4" t="inlineStr">
        <is>
          <t>cost3mo-lay-2022-p02-avena-brown-sn0275</t>
        </is>
      </c>
      <c r="C2644" s="4" t="inlineStr">
        <is>
          <t>W00031886A</t>
        </is>
      </c>
      <c r="D2644" s="6">
        <f>IF(F2644&gt;=5, F2644-5, IF(F2644&lt;5, 0, F2644))</f>
        <v/>
      </c>
      <c r="E2644">
        <f>VLOOKUP(B2644,[1]Namshi!$A:$B,2,0)</f>
        <v/>
      </c>
      <c r="F2644" s="4">
        <f>SUMIFS('Dubai Stock'!I:I,'Dubai Stock'!H:H,Final_UAE!B:B)</f>
        <v/>
      </c>
      <c r="H2644" s="8" t="e">
        <v>#N/A</v>
      </c>
      <c r="I2644" s="8" t="n"/>
    </row>
    <row r="2645">
      <c r="A2645" s="4" t="n">
        <v>33834</v>
      </c>
      <c r="B2645" s="4" t="inlineStr">
        <is>
          <t>clstdai-acu-dfna-p60-sn0800</t>
        </is>
      </c>
      <c r="C2645" s="4" t="inlineStr">
        <is>
          <t>W00031886A</t>
        </is>
      </c>
      <c r="D2645" s="6">
        <f>IF(F2645&gt;=5, F2645-5, IF(F2645&lt;5, 0, F2645))</f>
        <v/>
      </c>
      <c r="E2645">
        <f>VLOOKUP(B2645,[1]Namshi!$A:$B,2,0)</f>
        <v/>
      </c>
      <c r="F2645" s="4">
        <f>SUMIFS('Dubai Stock'!I:I,'Dubai Stock'!H:H,Final_UAE!B:B)</f>
        <v/>
      </c>
      <c r="H2645" s="8" t="e">
        <v>#N/A</v>
      </c>
      <c r="I2645" s="8" t="n"/>
    </row>
    <row r="2646">
      <c r="A2646" s="4" t="n">
        <v>33834</v>
      </c>
      <c r="B2646" s="4" t="inlineStr">
        <is>
          <t>clstdai-lay-cont-p30-dazzle-brown-sn0650</t>
        </is>
      </c>
      <c r="C2646" s="4" t="inlineStr">
        <is>
          <t>W00031886A</t>
        </is>
      </c>
      <c r="D2646" s="6">
        <f>IF(F2646&gt;=5, F2646-5, IF(F2646&lt;5, 0, F2646))</f>
        <v/>
      </c>
      <c r="E2646">
        <f>VLOOKUP(B2646,[1]Namshi!$A:$B,2,0)</f>
        <v/>
      </c>
      <c r="F2646" s="4">
        <f>SUMIFS('Dubai Stock'!I:I,'Dubai Stock'!H:H,Final_UAE!B:B)</f>
        <v/>
      </c>
      <c r="H2646" s="8" t="e">
        <v>#N/A</v>
      </c>
      <c r="I2646" s="8" t="n"/>
    </row>
    <row r="2647">
      <c r="A2647" s="4" t="n">
        <v>33834</v>
      </c>
      <c r="B2647" s="4" t="inlineStr">
        <is>
          <t>clstdai-dai-tot1-p90-sn0700</t>
        </is>
      </c>
      <c r="C2647" s="4" t="inlineStr">
        <is>
          <t>W00031886A</t>
        </is>
      </c>
      <c r="D2647" s="6">
        <f>IF(F2647&gt;=5, F2647-5, IF(F2647&lt;5, 0, F2647))</f>
        <v/>
      </c>
      <c r="E2647">
        <f>VLOOKUP(B2647,[1]Namshi!$A:$B,2,0)</f>
        <v/>
      </c>
      <c r="F2647" s="4">
        <f>SUMIFS('Dubai Stock'!I:I,'Dubai Stock'!H:H,Final_UAE!B:B)</f>
        <v/>
      </c>
      <c r="H2647" s="8" t="e">
        <v>#N/A</v>
      </c>
      <c r="I2647" s="8" t="n"/>
    </row>
    <row r="2648">
      <c r="A2648" s="4" t="n">
        <v>33834</v>
      </c>
      <c r="B2648" s="4" t="inlineStr">
        <is>
          <t>sacchan-30s-chain142-wht-sky-white</t>
        </is>
      </c>
      <c r="C2648" s="4" t="inlineStr">
        <is>
          <t>W00031886A</t>
        </is>
      </c>
      <c r="D2648" s="6">
        <f>IF(F2648&gt;=5, F2648-5, IF(F2648&lt;5, 0, F2648))</f>
        <v/>
      </c>
      <c r="E2648">
        <f>VLOOKUP(B2648,[1]Namshi!$A:$B,2,0)</f>
        <v/>
      </c>
      <c r="F2648" s="4">
        <f>SUMIFS('Dubai Stock'!I:I,'Dubai Stock'!H:H,Final_UAE!B:B)</f>
        <v/>
      </c>
      <c r="H2648" s="8" t="e">
        <v>#N/A</v>
      </c>
      <c r="I2648" s="8" t="n"/>
    </row>
    <row r="2649">
      <c r="A2649" s="4" t="n">
        <v>33834</v>
      </c>
      <c r="B2649" s="4" t="inlineStr">
        <is>
          <t>su40406-bla-000278-0406-58</t>
        </is>
      </c>
      <c r="C2649" s="4" t="inlineStr">
        <is>
          <t>W00031886A</t>
        </is>
      </c>
      <c r="D2649" s="6">
        <f>IF(F2649&gt;=5, F2649-5, IF(F2649&lt;5, 0, F2649))</f>
        <v/>
      </c>
      <c r="E2649">
        <f>VLOOKUP(B2649,[1]Namshi!$A:$B,2,0)</f>
        <v/>
      </c>
      <c r="F2649" s="4">
        <f>SUMIFS('Dubai Stock'!I:I,'Dubai Stock'!H:H,Final_UAE!B:B)</f>
        <v/>
      </c>
      <c r="H2649" s="8" t="e">
        <v>#N/A</v>
      </c>
    </row>
    <row r="2650">
      <c r="A2650" s="4" t="n">
        <v>33834</v>
      </c>
      <c r="B2650" s="4" t="inlineStr">
        <is>
          <t>clstdai-acu-dfna-p90-sn0750</t>
        </is>
      </c>
      <c r="C2650" s="4" t="inlineStr">
        <is>
          <t>W00031886A</t>
        </is>
      </c>
      <c r="D2650" s="6">
        <f>IF(F2650&gt;=5, F2650-5, IF(F2650&lt;5, 0, F2650))</f>
        <v/>
      </c>
      <c r="E2650">
        <f>VLOOKUP(B2650,[1]Namshi!$A:$B,2,0)</f>
        <v/>
      </c>
      <c r="F2650" s="4">
        <f>SUMIFS('Dubai Stock'!I:I,'Dubai Stock'!H:H,Final_UAE!B:B)</f>
        <v/>
      </c>
      <c r="H2650" s="8" t="e">
        <v>#N/A</v>
      </c>
      <c r="I2650" s="8" t="n"/>
    </row>
    <row r="2651">
      <c r="A2651" s="4" t="n">
        <v>33834</v>
      </c>
      <c r="B2651" s="4" t="inlineStr">
        <is>
          <t>clstbiw-acu-oasy-p06-sn0475</t>
        </is>
      </c>
      <c r="C2651" s="4" t="inlineStr">
        <is>
          <t>W00031886A</t>
        </is>
      </c>
      <c r="D2651" s="6">
        <f>IF(F2651&gt;=5, F2651-5, IF(F2651&lt;5, 0, F2651))</f>
        <v/>
      </c>
      <c r="E2651">
        <f>VLOOKUP(B2651,[1]Namshi!$A:$B,2,0)</f>
        <v/>
      </c>
      <c r="F2651" s="4">
        <f>SUMIFS('Dubai Stock'!I:I,'Dubai Stock'!H:H,Final_UAE!B:B)</f>
        <v/>
      </c>
      <c r="H2651" s="8" t="e">
        <v>#N/A</v>
      </c>
      <c r="I2651" s="8" t="n"/>
    </row>
    <row r="2652">
      <c r="A2652" s="4" t="n">
        <v>33834</v>
      </c>
      <c r="B2652" s="4" t="inlineStr">
        <is>
          <t>sm52906-30s-000211-0106-51</t>
        </is>
      </c>
      <c r="C2652" s="4" t="inlineStr">
        <is>
          <t>W00031886A</t>
        </is>
      </c>
      <c r="D2652" s="6">
        <f>IF(F2652&gt;=5, F2652-5, IF(F2652&lt;5, 0, F2652))</f>
        <v/>
      </c>
      <c r="E2652">
        <f>VLOOKUP(B2652,[1]Namshi!$A:$B,2,0)</f>
        <v/>
      </c>
      <c r="F2652" s="4">
        <f>SUMIFS('Dubai Stock'!I:I,'Dubai Stock'!H:H,Final_UAE!B:B)</f>
        <v/>
      </c>
      <c r="H2652" s="8" t="e">
        <v>#N/A</v>
      </c>
    </row>
    <row r="2653">
      <c r="A2653" s="4" t="n">
        <v>33834</v>
      </c>
      <c r="B2653" s="4" t="inlineStr">
        <is>
          <t>clstdai-acu-mois-p30-sn0700</t>
        </is>
      </c>
      <c r="C2653" s="4" t="inlineStr">
        <is>
          <t>W00031886A</t>
        </is>
      </c>
      <c r="D2653" s="6">
        <f>IF(F2653&gt;=5, F2653-5, IF(F2653&lt;5, 0, F2653))</f>
        <v/>
      </c>
      <c r="E2653">
        <f>VLOOKUP(B2653,[1]Namshi!$A:$B,2,0)</f>
        <v/>
      </c>
      <c r="F2653" s="4">
        <f>SUMIFS('Dubai Stock'!I:I,'Dubai Stock'!H:H,Final_UAE!B:B)</f>
        <v/>
      </c>
      <c r="H2653" s="8" t="e">
        <v>#N/A</v>
      </c>
      <c r="I2653" s="8" t="n"/>
    </row>
    <row r="2654">
      <c r="A2654" s="4" t="n">
        <v>33834</v>
      </c>
      <c r="B2654" s="4" t="inlineStr">
        <is>
          <t>su100107-30s-000277-0101-52</t>
        </is>
      </c>
      <c r="C2654" s="4" t="inlineStr">
        <is>
          <t>W00031886A</t>
        </is>
      </c>
      <c r="D2654" s="6">
        <f>IF(F2654&gt;=5, F2654-5, IF(F2654&lt;5, 0, F2654))</f>
        <v/>
      </c>
      <c r="E2654">
        <f>VLOOKUP(B2654,[1]Namshi!$A:$B,2,0)</f>
        <v/>
      </c>
      <c r="F2654" s="4">
        <f>SUMIFS('Dubai Stock'!I:I,'Dubai Stock'!H:H,Final_UAE!B:B)</f>
        <v/>
      </c>
      <c r="H2654" s="8" t="e">
        <v>#N/A</v>
      </c>
      <c r="I2654" s="8" t="n"/>
    </row>
    <row r="2655">
      <c r="A2655" s="4" t="n">
        <v>33834</v>
      </c>
      <c r="B2655" s="4" t="inlineStr">
        <is>
          <t>su50107-30s-000236-0101-49</t>
        </is>
      </c>
      <c r="C2655" s="4" t="inlineStr">
        <is>
          <t>W00031886A</t>
        </is>
      </c>
      <c r="D2655" s="6">
        <f>IF(F2655&gt;=5, F2655-5, IF(F2655&lt;5, 0, F2655))</f>
        <v/>
      </c>
      <c r="E2655">
        <f>VLOOKUP(B2655,[1]Namshi!$A:$B,2,0)</f>
        <v/>
      </c>
      <c r="F2655" s="4">
        <f>SUMIFS('Dubai Stock'!I:I,'Dubai Stock'!H:H,Final_UAE!B:B)</f>
        <v/>
      </c>
      <c r="H2655" s="8" t="e">
        <v>#N/A</v>
      </c>
    </row>
    <row r="2656">
      <c r="A2656" s="4" t="n">
        <v>33834</v>
      </c>
      <c r="B2656" s="4" t="inlineStr">
        <is>
          <t>clstdai-sof-sdai-p30-sn0550</t>
        </is>
      </c>
      <c r="C2656" s="4" t="inlineStr">
        <is>
          <t>W00031886A</t>
        </is>
      </c>
      <c r="D2656" s="6">
        <f>IF(F2656&gt;=5, F2656-5, IF(F2656&lt;5, 0, F2656))</f>
        <v/>
      </c>
      <c r="E2656">
        <f>VLOOKUP(B2656,[1]Namshi!$A:$B,2,0)</f>
        <v/>
      </c>
      <c r="F2656" s="4">
        <f>SUMIFS('Dubai Stock'!I:I,'Dubai Stock'!H:H,Final_UAE!B:B)</f>
        <v/>
      </c>
      <c r="H2656" s="8" t="e">
        <v>#N/A</v>
      </c>
      <c r="I2656" s="8" t="n"/>
    </row>
    <row r="2657">
      <c r="A2657" s="4" t="n">
        <v>33834</v>
      </c>
      <c r="B2657" s="4" t="inlineStr">
        <is>
          <t>clstdai-eve-elit-p30-sn0200</t>
        </is>
      </c>
      <c r="C2657" s="4" t="inlineStr">
        <is>
          <t>W00031886A</t>
        </is>
      </c>
      <c r="D2657" s="6">
        <f>IF(F2657&gt;=5, F2657-5, IF(F2657&lt;5, 0, F2657))</f>
        <v/>
      </c>
      <c r="E2657">
        <f>VLOOKUP(B2657,[1]Namshi!$A:$B,2,0)</f>
        <v/>
      </c>
      <c r="F2657" s="4">
        <f>SUMIFS('Dubai Stock'!I:I,'Dubai Stock'!H:H,Final_UAE!B:B)</f>
        <v/>
      </c>
      <c r="H2657" s="8" t="n">
        <v>261</v>
      </c>
      <c r="I2657" s="8" t="n">
        <v>146.3</v>
      </c>
    </row>
    <row r="2658">
      <c r="A2658" s="4" t="n">
        <v>33834</v>
      </c>
      <c r="B2658" s="4" t="inlineStr">
        <is>
          <t>cost3mo-lay-2021-p02-willow-green-sn0450</t>
        </is>
      </c>
      <c r="C2658" s="4" t="inlineStr">
        <is>
          <t>W00031886A</t>
        </is>
      </c>
      <c r="D2658" s="6">
        <f>IF(F2658&gt;=5, F2658-5, IF(F2658&lt;5, 0, F2658))</f>
        <v/>
      </c>
      <c r="E2658">
        <f>VLOOKUP(B2658,[1]Namshi!$A:$B,2,0)</f>
        <v/>
      </c>
      <c r="F2658" s="4">
        <f>SUMIFS('Dubai Stock'!I:I,'Dubai Stock'!H:H,Final_UAE!B:B)</f>
        <v/>
      </c>
      <c r="H2658" s="8" t="e">
        <v>#N/A</v>
      </c>
      <c r="I2658" s="8" t="n"/>
    </row>
    <row r="2659">
      <c r="A2659" s="4" t="n">
        <v>33834</v>
      </c>
      <c r="B2659" s="4" t="inlineStr">
        <is>
          <t>clstdai-acu-oasy-p90-sn0575</t>
        </is>
      </c>
      <c r="C2659" s="4" t="inlineStr">
        <is>
          <t>W00031886A</t>
        </is>
      </c>
      <c r="D2659" s="6">
        <f>IF(F2659&gt;=5, F2659-5, IF(F2659&lt;5, 0, F2659))</f>
        <v/>
      </c>
      <c r="E2659">
        <f>VLOOKUP(B2659,[1]Namshi!$A:$B,2,0)</f>
        <v/>
      </c>
      <c r="F2659" s="4">
        <f>SUMIFS('Dubai Stock'!I:I,'Dubai Stock'!H:H,Final_UAE!B:B)</f>
        <v/>
      </c>
      <c r="H2659" s="8" t="e">
        <v>#N/A</v>
      </c>
      <c r="I2659" s="8" t="n"/>
    </row>
    <row r="2660">
      <c r="A2660" s="4" t="n">
        <v>33834</v>
      </c>
      <c r="B2660" s="4" t="inlineStr">
        <is>
          <t>cost3mo-lay-2024-p02-terra-brown-sn0350</t>
        </is>
      </c>
      <c r="C2660" s="4" t="inlineStr">
        <is>
          <t>W00031886A</t>
        </is>
      </c>
      <c r="D2660" s="6">
        <f>IF(F2660&gt;=5, F2660-5, IF(F2660&lt;5, 0, F2660))</f>
        <v/>
      </c>
      <c r="E2660">
        <f>VLOOKUP(B2660,[1]Namshi!$A:$B,2,0)</f>
        <v/>
      </c>
      <c r="F2660" s="4">
        <f>SUMIFS('Dubai Stock'!I:I,'Dubai Stock'!H:H,Final_UAE!B:B)</f>
        <v/>
      </c>
      <c r="H2660" s="8" t="e">
        <v>#N/A</v>
      </c>
      <c r="I2660" s="8" t="n"/>
    </row>
    <row r="2661">
      <c r="A2661" s="4" t="n">
        <v>33834</v>
      </c>
      <c r="B2661" s="4" t="inlineStr">
        <is>
          <t>sw101010-bla-000317-1010-52</t>
        </is>
      </c>
      <c r="C2661" s="4" t="inlineStr">
        <is>
          <t>W00031886A</t>
        </is>
      </c>
      <c r="D2661" s="6">
        <f>IF(F2661&gt;=5, F2661-5, IF(F2661&lt;5, 0, F2661))</f>
        <v/>
      </c>
      <c r="E2661">
        <f>VLOOKUP(B2661,[1]Namshi!$A:$B,2,0)</f>
        <v/>
      </c>
      <c r="F2661" s="4">
        <f>SUMIFS('Dubai Stock'!I:I,'Dubai Stock'!H:H,Final_UAE!B:B)</f>
        <v/>
      </c>
      <c r="H2661" s="8" t="e">
        <v>#N/A</v>
      </c>
    </row>
    <row r="2662">
      <c r="A2662" s="4" t="n">
        <v>33834</v>
      </c>
      <c r="B2662" s="4" t="inlineStr">
        <is>
          <t>sacchan-30s-luna-rose-gold</t>
        </is>
      </c>
      <c r="C2662" s="4" t="inlineStr">
        <is>
          <t>W00031886A</t>
        </is>
      </c>
      <c r="D2662" s="6">
        <f>IF(F2662&gt;=5, F2662-5, IF(F2662&lt;5, 0, F2662))</f>
        <v/>
      </c>
      <c r="E2662">
        <f>VLOOKUP(B2662,[1]Namshi!$A:$B,2,0)</f>
        <v/>
      </c>
      <c r="F2662" s="4">
        <f>SUMIFS('Dubai Stock'!I:I,'Dubai Stock'!H:H,Final_UAE!B:B)</f>
        <v/>
      </c>
      <c r="H2662" s="8" t="e">
        <v>#N/A</v>
      </c>
      <c r="I2662" s="8" t="n"/>
    </row>
    <row r="2663">
      <c r="A2663" s="4" t="n">
        <v>33834</v>
      </c>
      <c r="B2663" s="4" t="inlineStr">
        <is>
          <t>clstdai-eve-pure-p90-sn0225</t>
        </is>
      </c>
      <c r="C2663" s="4" t="inlineStr">
        <is>
          <t>W00031886A</t>
        </is>
      </c>
      <c r="D2663" s="6">
        <f>IF(F2663&gt;=5, F2663-5, IF(F2663&lt;5, 0, F2663))</f>
        <v/>
      </c>
      <c r="E2663">
        <f>VLOOKUP(B2663,[1]Namshi!$A:$B,2,0)</f>
        <v/>
      </c>
      <c r="F2663" s="4">
        <f>SUMIFS('Dubai Stock'!I:I,'Dubai Stock'!H:H,Final_UAE!B:B)</f>
        <v/>
      </c>
      <c r="H2663" s="8" t="n">
        <v>529</v>
      </c>
      <c r="I2663" s="8" t="n">
        <v>259</v>
      </c>
    </row>
    <row r="2664">
      <c r="A2664" s="4" t="n">
        <v>33834</v>
      </c>
      <c r="B2664" s="4" t="inlineStr">
        <is>
          <t>sw30404-30s-000292-0404-54</t>
        </is>
      </c>
      <c r="C2664" s="4" t="inlineStr">
        <is>
          <t>W00031886A</t>
        </is>
      </c>
      <c r="D2664" s="6">
        <f>IF(F2664&gt;=5, F2664-5, IF(F2664&lt;5, 0, F2664))</f>
        <v/>
      </c>
      <c r="E2664">
        <f>VLOOKUP(B2664,[1]Namshi!$A:$B,2,0)</f>
        <v/>
      </c>
      <c r="F2664" s="4">
        <f>SUMIFS('Dubai Stock'!I:I,'Dubai Stock'!H:H,Final_UAE!B:B)</f>
        <v/>
      </c>
      <c r="H2664" s="8" t="e">
        <v>#N/A</v>
      </c>
    </row>
    <row r="2665">
      <c r="A2665" s="4" t="n">
        <v>33834</v>
      </c>
      <c r="B2665" s="4" t="inlineStr">
        <is>
          <t>clstdai-acu-dfna-p90-sn0075</t>
        </is>
      </c>
      <c r="C2665" s="4" t="inlineStr">
        <is>
          <t>W00031886A</t>
        </is>
      </c>
      <c r="D2665" s="6">
        <f>IF(F2665&gt;=5, F2665-5, IF(F2665&lt;5, 0, F2665))</f>
        <v/>
      </c>
      <c r="E2665">
        <f>VLOOKUP(B2665,[1]Namshi!$A:$B,2,0)</f>
        <v/>
      </c>
      <c r="F2665" s="4">
        <f>SUMIFS('Dubai Stock'!I:I,'Dubai Stock'!H:H,Final_UAE!B:B)</f>
        <v/>
      </c>
      <c r="H2665" s="8" t="e">
        <v>#N/A</v>
      </c>
      <c r="I2665" s="8" t="n"/>
    </row>
    <row r="2666">
      <c r="A2666" s="4" t="n">
        <v>33834</v>
      </c>
      <c r="B2666" s="4" t="inlineStr">
        <is>
          <t>clstdai-btr-oned-p90-sn0425</t>
        </is>
      </c>
      <c r="C2666" s="4" t="inlineStr">
        <is>
          <t>W00031886A</t>
        </is>
      </c>
      <c r="D2666" s="6">
        <f>IF(F2666&gt;=5, F2666-5, IF(F2666&lt;5, 0, F2666))</f>
        <v/>
      </c>
      <c r="E2666">
        <f>VLOOKUP(B2666,[1]Namshi!$A:$B,2,0)</f>
        <v/>
      </c>
      <c r="F2666" s="4">
        <f>SUMIFS('Dubai Stock'!I:I,'Dubai Stock'!H:H,Final_UAE!B:B)</f>
        <v/>
      </c>
      <c r="H2666" s="8" t="e">
        <v>#N/A</v>
      </c>
      <c r="I2666" s="8" t="n"/>
    </row>
    <row r="2667">
      <c r="A2667" s="4" t="n">
        <v>33834</v>
      </c>
      <c r="B2667" s="4" t="inlineStr">
        <is>
          <t>clstdai-acu-oasy-p120-sn0600</t>
        </is>
      </c>
      <c r="C2667" s="4" t="inlineStr">
        <is>
          <t>W00031886A</t>
        </is>
      </c>
      <c r="D2667" s="6">
        <f>IF(F2667&gt;=5, F2667-5, IF(F2667&lt;5, 0, F2667))</f>
        <v/>
      </c>
      <c r="E2667">
        <f>VLOOKUP(B2667,[1]Namshi!$A:$B,2,0)</f>
        <v/>
      </c>
      <c r="F2667" s="4">
        <f>SUMIFS('Dubai Stock'!I:I,'Dubai Stock'!H:H,Final_UAE!B:B)</f>
        <v/>
      </c>
      <c r="H2667" s="8" t="e">
        <v>#N/A</v>
      </c>
      <c r="I2667" s="8" t="n"/>
    </row>
    <row r="2668">
      <c r="A2668" s="4" t="n">
        <v>33834</v>
      </c>
      <c r="B2668" s="4" t="inlineStr">
        <is>
          <t>clstdai-acu-oasy-p30-sn0050</t>
        </is>
      </c>
      <c r="C2668" s="4" t="inlineStr">
        <is>
          <t>W00031886A</t>
        </is>
      </c>
      <c r="D2668" s="6">
        <f>IF(F2668&gt;=5, F2668-5, IF(F2668&lt;5, 0, F2668))</f>
        <v/>
      </c>
      <c r="E2668">
        <f>VLOOKUP(B2668,[1]Namshi!$A:$B,2,0)</f>
        <v/>
      </c>
      <c r="F2668" s="4">
        <f>SUMIFS('Dubai Stock'!I:I,'Dubai Stock'!H:H,Final_UAE!B:B)</f>
        <v/>
      </c>
      <c r="H2668" s="8" t="e">
        <v>#N/A</v>
      </c>
      <c r="I2668" s="8" t="n"/>
    </row>
    <row r="2669">
      <c r="A2669" s="4" t="n">
        <v>33834</v>
      </c>
      <c r="B2669" s="4" t="inlineStr">
        <is>
          <t>sw20107-bla-000107-0107-60</t>
        </is>
      </c>
      <c r="C2669" s="4" t="inlineStr">
        <is>
          <t>W00031886A</t>
        </is>
      </c>
      <c r="D2669" s="6">
        <f>IF(F2669&gt;=5, F2669-5, IF(F2669&lt;5, 0, F2669))</f>
        <v/>
      </c>
      <c r="E2669">
        <f>VLOOKUP(B2669,[1]Namshi!$A:$B,2,0)</f>
        <v/>
      </c>
      <c r="F2669" s="4">
        <f>SUMIFS('Dubai Stock'!I:I,'Dubai Stock'!H:H,Final_UAE!B:B)</f>
        <v/>
      </c>
      <c r="H2669" s="8" t="e">
        <v>#N/A</v>
      </c>
    </row>
    <row r="2670">
      <c r="A2670" s="4" t="n">
        <v>33834</v>
      </c>
      <c r="B2670" s="4" t="inlineStr">
        <is>
          <t>costdai-acu-dffr-p30-honey-sn0200</t>
        </is>
      </c>
      <c r="C2670" s="4" t="inlineStr">
        <is>
          <t>W00031886A</t>
        </is>
      </c>
      <c r="D2670" s="6">
        <f>IF(F2670&gt;=5, F2670-5, IF(F2670&lt;5, 0, F2670))</f>
        <v/>
      </c>
      <c r="E2670">
        <f>VLOOKUP(B2670,[1]Namshi!$A:$B,2,0)</f>
        <v/>
      </c>
      <c r="F2670" s="4">
        <f>SUMIFS('Dubai Stock'!I:I,'Dubai Stock'!H:H,Final_UAE!B:B)</f>
        <v/>
      </c>
      <c r="H2670" s="8" t="e">
        <v>#N/A</v>
      </c>
      <c r="I2670" s="8" t="n"/>
    </row>
    <row r="2671">
      <c r="A2671" s="4" t="n">
        <v>33834</v>
      </c>
      <c r="B2671" s="4" t="inlineStr">
        <is>
          <t>cost3mo-lay-2024-p02-moon-gray-sn0350</t>
        </is>
      </c>
      <c r="C2671" s="4" t="inlineStr">
        <is>
          <t>W00031886A</t>
        </is>
      </c>
      <c r="D2671" s="6">
        <f>IF(F2671&gt;=5, F2671-5, IF(F2671&lt;5, 0, F2671))</f>
        <v/>
      </c>
      <c r="E2671">
        <f>VLOOKUP(B2671,[1]Namshi!$A:$B,2,0)</f>
        <v/>
      </c>
      <c r="F2671" s="4">
        <f>SUMIFS('Dubai Stock'!I:I,'Dubai Stock'!H:H,Final_UAE!B:B)</f>
        <v/>
      </c>
      <c r="H2671" s="8" t="e">
        <v>#N/A</v>
      </c>
      <c r="I2671" s="8" t="n"/>
    </row>
    <row r="2672">
      <c r="A2672" s="4" t="n">
        <v>33834</v>
      </c>
      <c r="B2672" s="4" t="inlineStr">
        <is>
          <t>clstdai-acu-mois-p30-sn0125</t>
        </is>
      </c>
      <c r="C2672" s="4" t="inlineStr">
        <is>
          <t>W00031886A</t>
        </is>
      </c>
      <c r="D2672" s="6">
        <f>IF(F2672&gt;=5, F2672-5, IF(F2672&lt;5, 0, F2672))</f>
        <v/>
      </c>
      <c r="E2672">
        <f>VLOOKUP(B2672,[1]Namshi!$A:$B,2,0)</f>
        <v/>
      </c>
      <c r="F2672" s="4">
        <f>SUMIFS('Dubai Stock'!I:I,'Dubai Stock'!H:H,Final_UAE!B:B)</f>
        <v/>
      </c>
      <c r="H2672" s="8" t="e">
        <v>#N/A</v>
      </c>
      <c r="I2672" s="8" t="n"/>
    </row>
    <row r="2673">
      <c r="A2673" s="4" t="n">
        <v>33834</v>
      </c>
      <c r="B2673" s="4" t="inlineStr">
        <is>
          <t>clstdai-lay-cont-p30-dazzle-brown-sn0425</t>
        </is>
      </c>
      <c r="C2673" s="4" t="inlineStr">
        <is>
          <t>W00031886A</t>
        </is>
      </c>
      <c r="D2673" s="6">
        <f>IF(F2673&gt;=5, F2673-5, IF(F2673&lt;5, 0, F2673))</f>
        <v/>
      </c>
      <c r="E2673">
        <f>VLOOKUP(B2673,[1]Namshi!$A:$B,2,0)</f>
        <v/>
      </c>
      <c r="F2673" s="4">
        <f>SUMIFS('Dubai Stock'!I:I,'Dubai Stock'!H:H,Final_UAE!B:B)</f>
        <v/>
      </c>
      <c r="H2673" s="8" t="e">
        <v>#N/A</v>
      </c>
      <c r="I2673" s="8" t="n"/>
    </row>
    <row r="2674">
      <c r="A2674" s="4" t="n">
        <v>33834</v>
      </c>
      <c r="B2674" s="4" t="inlineStr">
        <is>
          <t>clstmon-bio-biof-p06-sn0550</t>
        </is>
      </c>
      <c r="C2674" s="4" t="inlineStr">
        <is>
          <t>W00031886A</t>
        </is>
      </c>
      <c r="D2674" s="6">
        <f>IF(F2674&gt;=5, F2674-5, IF(F2674&lt;5, 0, F2674))</f>
        <v/>
      </c>
      <c r="E2674">
        <f>VLOOKUP(B2674,[1]Namshi!$A:$B,2,0)</f>
        <v/>
      </c>
      <c r="F2674" s="4">
        <f>SUMIFS('Dubai Stock'!I:I,'Dubai Stock'!H:H,Final_UAE!B:B)</f>
        <v/>
      </c>
      <c r="H2674" s="8" t="e">
        <v>#N/A</v>
      </c>
      <c r="I2674" s="8" t="n"/>
    </row>
    <row r="2675">
      <c r="A2675" s="4" t="n">
        <v>33834</v>
      </c>
      <c r="B2675" s="4" t="inlineStr">
        <is>
          <t>costdai-acu-dffr-p30-hazel-sn0425</t>
        </is>
      </c>
      <c r="C2675" s="4" t="inlineStr">
        <is>
          <t>W00031886A</t>
        </is>
      </c>
      <c r="D2675" s="6">
        <f>IF(F2675&gt;=5, F2675-5, IF(F2675&lt;5, 0, F2675))</f>
        <v/>
      </c>
      <c r="E2675">
        <f>VLOOKUP(B2675,[1]Namshi!$A:$B,2,0)</f>
        <v/>
      </c>
      <c r="F2675" s="4">
        <f>SUMIFS('Dubai Stock'!I:I,'Dubai Stock'!H:H,Final_UAE!B:B)</f>
        <v/>
      </c>
      <c r="H2675" s="8" t="e">
        <v>#N/A</v>
      </c>
      <c r="I2675" s="8" t="n"/>
    </row>
    <row r="2676">
      <c r="A2676" s="4" t="n">
        <v>33834</v>
      </c>
      <c r="B2676" s="4" t="inlineStr">
        <is>
          <t>clstdai-acu-dfvi-p60-sn0500</t>
        </is>
      </c>
      <c r="C2676" s="4" t="inlineStr">
        <is>
          <t>W00031886A</t>
        </is>
      </c>
      <c r="D2676" s="6">
        <f>IF(F2676&gt;=5, F2676-5, IF(F2676&lt;5, 0, F2676))</f>
        <v/>
      </c>
      <c r="E2676">
        <f>VLOOKUP(B2676,[1]Namshi!$A:$B,2,0)</f>
        <v/>
      </c>
      <c r="F2676" s="4">
        <f>SUMIFS('Dubai Stock'!I:I,'Dubai Stock'!H:H,Final_UAE!B:B)</f>
        <v/>
      </c>
      <c r="H2676" s="8" t="e">
        <v>#N/A</v>
      </c>
      <c r="I2676" s="8" t="n"/>
    </row>
    <row r="2677">
      <c r="A2677" s="4" t="n">
        <v>33834</v>
      </c>
      <c r="B2677" s="4" t="inlineStr">
        <is>
          <t>clstdai-dai-aqua-p30-sn1000</t>
        </is>
      </c>
      <c r="C2677" s="4" t="inlineStr">
        <is>
          <t>W00031886A</t>
        </is>
      </c>
      <c r="D2677" s="6">
        <f>IF(F2677&gt;=5, F2677-5, IF(F2677&lt;5, 0, F2677))</f>
        <v/>
      </c>
      <c r="E2677">
        <f>VLOOKUP(B2677,[1]Namshi!$A:$B,2,0)</f>
        <v/>
      </c>
      <c r="F2677" s="4">
        <f>SUMIFS('Dubai Stock'!I:I,'Dubai Stock'!H:H,Final_UAE!B:B)</f>
        <v/>
      </c>
      <c r="H2677" s="8" t="e">
        <v>#N/A</v>
      </c>
      <c r="I2677" s="8" t="n"/>
    </row>
    <row r="2678">
      <c r="A2678" s="4" t="n">
        <v>33834</v>
      </c>
      <c r="B2678" s="4" t="inlineStr">
        <is>
          <t>clstdai-acu-omax-p90-sp0500</t>
        </is>
      </c>
      <c r="C2678" s="4" t="inlineStr">
        <is>
          <t>W00031886A</t>
        </is>
      </c>
      <c r="D2678" s="6">
        <f>IF(F2678&gt;=5, F2678-5, IF(F2678&lt;5, 0, F2678))</f>
        <v/>
      </c>
      <c r="E2678">
        <f>VLOOKUP(B2678,[1]Namshi!$A:$B,2,0)</f>
        <v/>
      </c>
      <c r="F2678" s="4">
        <f>SUMIFS('Dubai Stock'!I:I,'Dubai Stock'!H:H,Final_UAE!B:B)</f>
        <v/>
      </c>
      <c r="H2678" s="8" t="e">
        <v>#N/A</v>
      </c>
      <c r="I2678" s="8" t="n"/>
    </row>
    <row r="2679">
      <c r="A2679" s="4" t="n">
        <v>33834</v>
      </c>
      <c r="B2679" s="4" t="inlineStr">
        <is>
          <t>fw40918-spc-000543-0900-55</t>
        </is>
      </c>
      <c r="C2679" s="4" t="inlineStr">
        <is>
          <t>W00031886A</t>
        </is>
      </c>
      <c r="D2679" s="6">
        <f>IF(F2679&gt;=5, F2679-5, IF(F2679&lt;5, 0, F2679))</f>
        <v/>
      </c>
      <c r="E2679">
        <f>VLOOKUP(B2679,[1]Namshi!$A:$B,2,0)</f>
        <v/>
      </c>
      <c r="F2679" s="4">
        <f>SUMIFS('Dubai Stock'!I:I,'Dubai Stock'!H:H,Final_UAE!B:B)</f>
        <v/>
      </c>
      <c r="H2679" s="8" t="e">
        <v>#N/A</v>
      </c>
      <c r="I2679" s="8" t="n"/>
    </row>
    <row r="2680">
      <c r="A2680" s="4" t="n">
        <v>33834</v>
      </c>
      <c r="B2680" s="4" t="inlineStr">
        <is>
          <t>cltobiw-acu-oasy-p06-sn0300-cn0075-a170</t>
        </is>
      </c>
      <c r="C2680" s="4" t="inlineStr">
        <is>
          <t>W00031886A</t>
        </is>
      </c>
      <c r="D2680" s="6">
        <f>IF(F2680&gt;=5, F2680-5, IF(F2680&lt;5, 0, F2680))</f>
        <v/>
      </c>
      <c r="E2680">
        <f>VLOOKUP(B2680,[1]Namshi!$A:$B,2,0)</f>
        <v/>
      </c>
      <c r="F2680" s="4">
        <f>SUMIFS('Dubai Stock'!I:I,'Dubai Stock'!H:H,Final_UAE!B:B)</f>
        <v/>
      </c>
      <c r="H2680" s="8" t="e">
        <v>#N/A</v>
      </c>
      <c r="I2680" s="8" t="n"/>
    </row>
    <row r="2681">
      <c r="A2681" s="4" t="n">
        <v>33834</v>
      </c>
      <c r="B2681" s="4" t="inlineStr">
        <is>
          <t>fm72918-spc-000824-2918-51</t>
        </is>
      </c>
      <c r="C2681" s="4" t="inlineStr">
        <is>
          <t>W00031886A</t>
        </is>
      </c>
      <c r="D2681" s="6">
        <f>IF(F2681&gt;=5, F2681-5, IF(F2681&lt;5, 0, F2681))</f>
        <v/>
      </c>
      <c r="E2681">
        <f>VLOOKUP(B2681,[1]Namshi!$A:$B,2,0)</f>
        <v/>
      </c>
      <c r="F2681" s="4">
        <f>SUMIFS('Dubai Stock'!I:I,'Dubai Stock'!H:H,Final_UAE!B:B)</f>
        <v/>
      </c>
      <c r="H2681" s="8" t="e">
        <v>#N/A</v>
      </c>
      <c r="I2681" s="8" t="n"/>
    </row>
    <row r="2682">
      <c r="A2682" s="4" t="n">
        <v>33834</v>
      </c>
      <c r="B2682" s="4" t="inlineStr">
        <is>
          <t>clstdai-btr-oned-p90-sn0200</t>
        </is>
      </c>
      <c r="C2682" s="4" t="inlineStr">
        <is>
          <t>W00031886A</t>
        </is>
      </c>
      <c r="D2682" s="6">
        <f>IF(F2682&gt;=5, F2682-5, IF(F2682&lt;5, 0, F2682))</f>
        <v/>
      </c>
      <c r="E2682">
        <f>VLOOKUP(B2682,[1]Namshi!$A:$B,2,0)</f>
        <v/>
      </c>
      <c r="F2682" s="4">
        <f>SUMIFS('Dubai Stock'!I:I,'Dubai Stock'!H:H,Final_UAE!B:B)</f>
        <v/>
      </c>
      <c r="H2682" s="8" t="e">
        <v>#N/A</v>
      </c>
      <c r="I2682" s="8" t="n"/>
    </row>
    <row r="2683">
      <c r="A2683" s="4" t="n">
        <v>33834</v>
      </c>
      <c r="B2683" s="4" t="inlineStr">
        <is>
          <t>clstdai-lay-cont-p90-dazzle-black-sn0275</t>
        </is>
      </c>
      <c r="C2683" s="4" t="inlineStr">
        <is>
          <t>W00031886A</t>
        </is>
      </c>
      <c r="D2683" s="6">
        <f>IF(F2683&gt;=5, F2683-5, IF(F2683&lt;5, 0, F2683))</f>
        <v/>
      </c>
      <c r="E2683">
        <f>VLOOKUP(B2683,[1]Namshi!$A:$B,2,0)</f>
        <v/>
      </c>
      <c r="F2683" s="4">
        <f>SUMIFS('Dubai Stock'!I:I,'Dubai Stock'!H:H,Final_UAE!B:B)</f>
        <v/>
      </c>
      <c r="H2683" s="8" t="e">
        <v>#N/A</v>
      </c>
      <c r="I2683" s="8" t="n"/>
    </row>
    <row r="2684">
      <c r="A2684" s="4" t="n">
        <v>33834</v>
      </c>
      <c r="B2684" s="4" t="inlineStr">
        <is>
          <t>costmon-ama-2023-p02-chai-sn0125</t>
        </is>
      </c>
      <c r="C2684" s="4" t="inlineStr">
        <is>
          <t>W00031886A</t>
        </is>
      </c>
      <c r="D2684" s="6">
        <f>IF(F2684&gt;=5, F2684-5, IF(F2684&lt;5, 0, F2684))</f>
        <v/>
      </c>
      <c r="E2684">
        <f>VLOOKUP(B2684,[1]Namshi!$A:$B,2,0)</f>
        <v/>
      </c>
      <c r="F2684" s="4">
        <f>SUMIFS('Dubai Stock'!I:I,'Dubai Stock'!H:H,Final_UAE!B:B)</f>
        <v/>
      </c>
      <c r="H2684" s="8" t="e">
        <v>#N/A</v>
      </c>
      <c r="I2684" s="8" t="n"/>
    </row>
    <row r="2685">
      <c r="A2685" s="4" t="n">
        <v>33834</v>
      </c>
      <c r="B2685" s="4" t="inlineStr">
        <is>
          <t>clstdai-acu-omax-p90-sp0050</t>
        </is>
      </c>
      <c r="C2685" s="4" t="inlineStr">
        <is>
          <t>W00031886A</t>
        </is>
      </c>
      <c r="D2685" s="6">
        <f>IF(F2685&gt;=5, F2685-5, IF(F2685&lt;5, 0, F2685))</f>
        <v/>
      </c>
      <c r="E2685">
        <f>VLOOKUP(B2685,[1]Namshi!$A:$B,2,0)</f>
        <v/>
      </c>
      <c r="F2685" s="4">
        <f>SUMIFS('Dubai Stock'!I:I,'Dubai Stock'!H:H,Final_UAE!B:B)</f>
        <v/>
      </c>
      <c r="H2685" s="8" t="e">
        <v>#N/A</v>
      </c>
      <c r="I2685" s="8" t="n"/>
    </row>
    <row r="2686">
      <c r="A2686" s="4" t="n">
        <v>33834</v>
      </c>
      <c r="B2686" s="4" t="inlineStr">
        <is>
          <t>clstdai-acu-dfna-p60-sn0450</t>
        </is>
      </c>
      <c r="C2686" s="4" t="inlineStr">
        <is>
          <t>W00031886A</t>
        </is>
      </c>
      <c r="D2686" s="6">
        <f>IF(F2686&gt;=5, F2686-5, IF(F2686&lt;5, 0, F2686))</f>
        <v/>
      </c>
      <c r="E2686">
        <f>VLOOKUP(B2686,[1]Namshi!$A:$B,2,0)</f>
        <v/>
      </c>
      <c r="F2686" s="4">
        <f>SUMIFS('Dubai Stock'!I:I,'Dubai Stock'!H:H,Final_UAE!B:B)</f>
        <v/>
      </c>
      <c r="H2686" s="8" t="e">
        <v>#N/A</v>
      </c>
      <c r="I2686" s="8" t="n"/>
    </row>
    <row r="2687">
      <c r="A2687" s="4" t="n">
        <v>33834</v>
      </c>
      <c r="B2687" s="4" t="inlineStr">
        <is>
          <t>clstdai-eve-pure-p90-sn0500</t>
        </is>
      </c>
      <c r="C2687" s="4" t="inlineStr">
        <is>
          <t>W00031886A</t>
        </is>
      </c>
      <c r="D2687" s="6">
        <f>IF(F2687&gt;=5, F2687-5, IF(F2687&lt;5, 0, F2687))</f>
        <v/>
      </c>
      <c r="E2687">
        <f>VLOOKUP(B2687,[1]Namshi!$A:$B,2,0)</f>
        <v/>
      </c>
      <c r="F2687" s="4">
        <f>SUMIFS('Dubai Stock'!I:I,'Dubai Stock'!H:H,Final_UAE!B:B)</f>
        <v/>
      </c>
      <c r="H2687" s="8" t="n">
        <v>529</v>
      </c>
      <c r="I2687" s="8" t="n">
        <v>259</v>
      </c>
    </row>
    <row r="2688">
      <c r="A2688" s="4" t="n">
        <v>33834</v>
      </c>
      <c r="B2688" s="4" t="inlineStr">
        <is>
          <t>clstbiw-acu-0002-p12-sn0500</t>
        </is>
      </c>
      <c r="C2688" s="4" t="inlineStr">
        <is>
          <t>W00031886A</t>
        </is>
      </c>
      <c r="D2688" s="6">
        <f>IF(F2688&gt;=5, F2688-5, IF(F2688&lt;5, 0, F2688))</f>
        <v/>
      </c>
      <c r="E2688">
        <f>VLOOKUP(B2688,[1]Namshi!$A:$B,2,0)</f>
        <v/>
      </c>
      <c r="F2688" s="4">
        <f>SUMIFS('Dubai Stock'!I:I,'Dubai Stock'!H:H,Final_UAE!B:B)</f>
        <v/>
      </c>
      <c r="H2688" s="8" t="e">
        <v>#N/A</v>
      </c>
      <c r="I2688" s="8" t="n"/>
    </row>
    <row r="2689">
      <c r="A2689" s="4" t="n">
        <v>33834</v>
      </c>
      <c r="B2689" s="4" t="inlineStr">
        <is>
          <t>clstdai-acu-mois-p120-sn0275</t>
        </is>
      </c>
      <c r="C2689" s="4" t="inlineStr">
        <is>
          <t>W00031886A</t>
        </is>
      </c>
      <c r="D2689" s="6">
        <f>IF(F2689&gt;=5, F2689-5, IF(F2689&lt;5, 0, F2689))</f>
        <v/>
      </c>
      <c r="E2689">
        <f>VLOOKUP(B2689,[1]Namshi!$A:$B,2,0)</f>
        <v/>
      </c>
      <c r="F2689" s="4">
        <f>SUMIFS('Dubai Stock'!I:I,'Dubai Stock'!H:H,Final_UAE!B:B)</f>
        <v/>
      </c>
      <c r="H2689" s="8" t="e">
        <v>#N/A</v>
      </c>
      <c r="I2689" s="8" t="n"/>
    </row>
    <row r="2690">
      <c r="A2690" s="4" t="n">
        <v>33834</v>
      </c>
      <c r="B2690" s="4" t="inlineStr">
        <is>
          <t>clstdai-btr-oned-p90-sp0150</t>
        </is>
      </c>
      <c r="C2690" s="4" t="inlineStr">
        <is>
          <t>W00031886A</t>
        </is>
      </c>
      <c r="D2690" s="6">
        <f>IF(F2690&gt;=5, F2690-5, IF(F2690&lt;5, 0, F2690))</f>
        <v/>
      </c>
      <c r="E2690">
        <f>VLOOKUP(B2690,[1]Namshi!$A:$B,2,0)</f>
        <v/>
      </c>
      <c r="F2690" s="4">
        <f>SUMIFS('Dubai Stock'!I:I,'Dubai Stock'!H:H,Final_UAE!B:B)</f>
        <v/>
      </c>
      <c r="H2690" s="8" t="e">
        <v>#N/A</v>
      </c>
      <c r="I2690" s="8" t="n"/>
    </row>
    <row r="2691">
      <c r="A2691" s="4" t="n">
        <v>33834</v>
      </c>
      <c r="B2691" s="4" t="inlineStr">
        <is>
          <t>costmon-ama-2022-p02-dream-sn0700</t>
        </is>
      </c>
      <c r="C2691" s="4" t="inlineStr">
        <is>
          <t>W00031886A</t>
        </is>
      </c>
      <c r="D2691" s="6">
        <f>IF(F2691&gt;=5, F2691-5, IF(F2691&lt;5, 0, F2691))</f>
        <v/>
      </c>
      <c r="E2691">
        <f>VLOOKUP(B2691,[1]Namshi!$A:$B,2,0)</f>
        <v/>
      </c>
      <c r="F2691" s="4">
        <f>SUMIFS('Dubai Stock'!I:I,'Dubai Stock'!H:H,Final_UAE!B:B)</f>
        <v/>
      </c>
      <c r="H2691" s="8" t="e">
        <v>#N/A</v>
      </c>
      <c r="I2691" s="8" t="n"/>
    </row>
    <row r="2692">
      <c r="A2692" s="4" t="n">
        <v>33834</v>
      </c>
      <c r="B2692" s="4" t="inlineStr">
        <is>
          <t>cost3mo-cel-natu-p01-hazelwood-sp0300</t>
        </is>
      </c>
      <c r="C2692" s="4" t="inlineStr">
        <is>
          <t>W00031886A</t>
        </is>
      </c>
      <c r="D2692" s="6">
        <f>IF(F2692&gt;=5, F2692-5, IF(F2692&lt;5, 0, F2692))</f>
        <v/>
      </c>
      <c r="E2692">
        <f>VLOOKUP(B2692,[1]Namshi!$A:$B,2,0)</f>
        <v/>
      </c>
      <c r="F2692" s="4">
        <f>SUMIFS('Dubai Stock'!I:I,'Dubai Stock'!H:H,Final_UAE!B:B)</f>
        <v/>
      </c>
      <c r="H2692" s="8" t="e">
        <v>#N/A</v>
      </c>
      <c r="I2692" s="8" t="n"/>
    </row>
    <row r="2693">
      <c r="A2693" s="4" t="n">
        <v>33834</v>
      </c>
      <c r="B2693" s="4" t="inlineStr">
        <is>
          <t>costmon-ama-2024-p02-matcha-sn0525</t>
        </is>
      </c>
      <c r="C2693" s="4" t="inlineStr">
        <is>
          <t>W00031886A</t>
        </is>
      </c>
      <c r="D2693" s="6">
        <f>IF(F2693&gt;=5, F2693-5, IF(F2693&lt;5, 0, F2693))</f>
        <v/>
      </c>
      <c r="E2693">
        <f>VLOOKUP(B2693,[1]Namshi!$A:$B,2,0)</f>
        <v/>
      </c>
      <c r="F2693" s="4">
        <f>SUMIFS('Dubai Stock'!I:I,'Dubai Stock'!H:H,Final_UAE!B:B)</f>
        <v/>
      </c>
      <c r="H2693" s="8" t="e">
        <v>#N/A</v>
      </c>
      <c r="I2693" s="8" t="n"/>
    </row>
    <row r="2694">
      <c r="A2694" s="4" t="n">
        <v>33834</v>
      </c>
      <c r="B2694" s="4" t="inlineStr">
        <is>
          <t>clstdai-eve-elit-p30-sn0525</t>
        </is>
      </c>
      <c r="C2694" s="4" t="inlineStr">
        <is>
          <t>W00031886A</t>
        </is>
      </c>
      <c r="D2694" s="6">
        <f>IF(F2694&gt;=5, F2694-5, IF(F2694&lt;5, 0, F2694))</f>
        <v/>
      </c>
      <c r="E2694">
        <f>VLOOKUP(B2694,[1]Namshi!$A:$B,2,0)</f>
        <v/>
      </c>
      <c r="F2694" s="4">
        <f>SUMIFS('Dubai Stock'!I:I,'Dubai Stock'!H:H,Final_UAE!B:B)</f>
        <v/>
      </c>
      <c r="H2694" s="8" t="n">
        <v>261</v>
      </c>
      <c r="I2694" s="8" t="n">
        <v>146.3</v>
      </c>
    </row>
    <row r="2695">
      <c r="A2695" s="4" t="n">
        <v>33834</v>
      </c>
      <c r="B2695" s="4" t="inlineStr">
        <is>
          <t>clstdai-acu-dfvi-p30-sn0050</t>
        </is>
      </c>
      <c r="C2695" s="4" t="inlineStr">
        <is>
          <t>W00031886A</t>
        </is>
      </c>
      <c r="D2695" s="6">
        <f>IF(F2695&gt;=5, F2695-5, IF(F2695&lt;5, 0, F2695))</f>
        <v/>
      </c>
      <c r="E2695">
        <f>VLOOKUP(B2695,[1]Namshi!$A:$B,2,0)</f>
        <v/>
      </c>
      <c r="F2695" s="4">
        <f>SUMIFS('Dubai Stock'!I:I,'Dubai Stock'!H:H,Final_UAE!B:B)</f>
        <v/>
      </c>
      <c r="H2695" s="8" t="e">
        <v>#N/A</v>
      </c>
      <c r="I2695" s="8" t="n"/>
    </row>
    <row r="2696">
      <c r="A2696" s="4" t="n">
        <v>33834</v>
      </c>
      <c r="B2696" s="4" t="inlineStr">
        <is>
          <t>costdai-acu-dffr-p10-grayzel-sn0525</t>
        </is>
      </c>
      <c r="C2696" s="4" t="inlineStr">
        <is>
          <t>W00031886A</t>
        </is>
      </c>
      <c r="D2696" s="6">
        <f>IF(F2696&gt;=5, F2696-5, IF(F2696&lt;5, 0, F2696))</f>
        <v/>
      </c>
      <c r="E2696">
        <f>VLOOKUP(B2696,[1]Namshi!$A:$B,2,0)</f>
        <v/>
      </c>
      <c r="F2696" s="4">
        <f>SUMIFS('Dubai Stock'!I:I,'Dubai Stock'!H:H,Final_UAE!B:B)</f>
        <v/>
      </c>
      <c r="H2696" s="8" t="e">
        <v>#N/A</v>
      </c>
      <c r="I2696" s="8" t="n"/>
    </row>
    <row r="2697">
      <c r="A2697" s="4" t="n">
        <v>33834</v>
      </c>
      <c r="B2697" s="4" t="inlineStr">
        <is>
          <t>costmon-ama-lens-p02-mocca-sn0150</t>
        </is>
      </c>
      <c r="C2697" s="4" t="inlineStr">
        <is>
          <t>W00031886A</t>
        </is>
      </c>
      <c r="D2697" s="6">
        <f>IF(F2697&gt;=5, F2697-5, IF(F2697&lt;5, 0, F2697))</f>
        <v/>
      </c>
      <c r="E2697">
        <f>VLOOKUP(B2697,[1]Namshi!$A:$B,2,0)</f>
        <v/>
      </c>
      <c r="F2697" s="4">
        <f>SUMIFS('Dubai Stock'!I:I,'Dubai Stock'!H:H,Final_UAE!B:B)</f>
        <v/>
      </c>
      <c r="H2697" s="8" t="e">
        <v>#N/A</v>
      </c>
      <c r="I2697" s="8" t="n"/>
    </row>
    <row r="2698">
      <c r="A2698" s="4" t="n">
        <v>33834</v>
      </c>
      <c r="B2698" s="4" t="inlineStr">
        <is>
          <t>costmon-ama-2024-p02-barbie-brown-sn0275</t>
        </is>
      </c>
      <c r="C2698" s="4" t="inlineStr">
        <is>
          <t>W00031886A</t>
        </is>
      </c>
      <c r="D2698" s="6">
        <f>IF(F2698&gt;=5, F2698-5, IF(F2698&lt;5, 0, F2698))</f>
        <v/>
      </c>
      <c r="E2698">
        <f>VLOOKUP(B2698,[1]Namshi!$A:$B,2,0)</f>
        <v/>
      </c>
      <c r="F2698" s="4">
        <f>SUMIFS('Dubai Stock'!I:I,'Dubai Stock'!H:H,Final_UAE!B:B)</f>
        <v/>
      </c>
      <c r="H2698" s="8" t="e">
        <v>#N/A</v>
      </c>
      <c r="I2698" s="8" t="n"/>
    </row>
    <row r="2699">
      <c r="A2699" s="4" t="n">
        <v>33834</v>
      </c>
      <c r="B2699" s="4" t="inlineStr">
        <is>
          <t>fu70118-spc-000637-0118-52</t>
        </is>
      </c>
      <c r="C2699" s="4" t="inlineStr">
        <is>
          <t>W00031886A</t>
        </is>
      </c>
      <c r="D2699" s="6">
        <f>IF(F2699&gt;=5, F2699-5, IF(F2699&lt;5, 0, F2699))</f>
        <v/>
      </c>
      <c r="E2699">
        <f>VLOOKUP(B2699,[1]Namshi!$A:$B,2,0)</f>
        <v/>
      </c>
      <c r="F2699" s="4">
        <f>SUMIFS('Dubai Stock'!I:I,'Dubai Stock'!H:H,Final_UAE!B:B)</f>
        <v/>
      </c>
      <c r="H2699" s="8" t="e">
        <v>#N/A</v>
      </c>
      <c r="I2699" s="8" t="n"/>
    </row>
    <row r="2700">
      <c r="A2700" s="4" t="n">
        <v>33834</v>
      </c>
      <c r="B2700" s="4" t="inlineStr">
        <is>
          <t>su52907-30s-00448-2907p-51</t>
        </is>
      </c>
      <c r="C2700" s="4" t="inlineStr">
        <is>
          <t>W00031886A</t>
        </is>
      </c>
      <c r="D2700" s="6">
        <f>IF(F2700&gt;=5, F2700-5, IF(F2700&lt;5, 0, F2700))</f>
        <v/>
      </c>
      <c r="E2700">
        <f>VLOOKUP(B2700,[1]Namshi!$A:$B,2,0)</f>
        <v/>
      </c>
      <c r="F2700" s="4">
        <f>SUMIFS('Dubai Stock'!I:I,'Dubai Stock'!H:H,Final_UAE!B:B)</f>
        <v/>
      </c>
      <c r="H2700" s="8" t="e">
        <v>#N/A</v>
      </c>
    </row>
    <row r="2701">
      <c r="A2701" s="4" t="n">
        <v>33834</v>
      </c>
      <c r="B2701" s="4" t="inlineStr">
        <is>
          <t>cost3mo-lay-2020-p02-ash-gray-sp0000</t>
        </is>
      </c>
      <c r="C2701" s="4" t="inlineStr">
        <is>
          <t>W00031886A</t>
        </is>
      </c>
      <c r="D2701" s="6">
        <f>IF(F2701&gt;=5, F2701-5, IF(F2701&lt;5, 0, F2701))</f>
        <v/>
      </c>
      <c r="E2701">
        <f>VLOOKUP(B2701,[1]Namshi!$A:$B,2,0)</f>
        <v/>
      </c>
      <c r="F2701" s="4">
        <f>SUMIFS('Dubai Stock'!I:I,'Dubai Stock'!H:H,Final_UAE!B:B)</f>
        <v/>
      </c>
      <c r="H2701" s="8" t="e">
        <v>#N/A</v>
      </c>
      <c r="I2701" s="8" t="n"/>
    </row>
    <row r="2702">
      <c r="A2702" s="4" t="n">
        <v>33834</v>
      </c>
      <c r="B2702" s="4" t="inlineStr">
        <is>
          <t>costdai-ama-dail-p10-moon-stone-sp0000</t>
        </is>
      </c>
      <c r="C2702" s="4" t="inlineStr">
        <is>
          <t>W00031886A</t>
        </is>
      </c>
      <c r="D2702" s="6">
        <f>IF(F2702&gt;=5, F2702-5, IF(F2702&lt;5, 0, F2702))</f>
        <v/>
      </c>
      <c r="E2702">
        <f>VLOOKUP(B2702,[1]Namshi!$A:$B,2,0)</f>
        <v/>
      </c>
      <c r="F2702" s="4">
        <f>SUMIFS('Dubai Stock'!I:I,'Dubai Stock'!H:H,Final_UAE!B:B)</f>
        <v/>
      </c>
      <c r="H2702" s="8" t="e">
        <v>#N/A</v>
      </c>
      <c r="I2702" s="8" t="n"/>
    </row>
    <row r="2703">
      <c r="A2703" s="4" t="n">
        <v>33834</v>
      </c>
      <c r="B2703" s="4" t="inlineStr">
        <is>
          <t>cost3mo-cel-natu-p01-forest-green-sp0200</t>
        </is>
      </c>
      <c r="C2703" s="4" t="inlineStr">
        <is>
          <t>W00031886A</t>
        </is>
      </c>
      <c r="D2703" s="6">
        <f>IF(F2703&gt;=5, F2703-5, IF(F2703&lt;5, 0, F2703))</f>
        <v/>
      </c>
      <c r="E2703">
        <f>VLOOKUP(B2703,[1]Namshi!$A:$B,2,0)</f>
        <v/>
      </c>
      <c r="F2703" s="4">
        <f>SUMIFS('Dubai Stock'!I:I,'Dubai Stock'!H:H,Final_UAE!B:B)</f>
        <v/>
      </c>
      <c r="H2703" s="8" t="e">
        <v>#N/A</v>
      </c>
      <c r="I2703" s="8" t="n"/>
    </row>
    <row r="2704">
      <c r="A2704" s="4" t="n">
        <v>33834</v>
      </c>
      <c r="B2704" s="4" t="inlineStr">
        <is>
          <t>cost3mo-lay-2022-p02-sage-gray-sp0000</t>
        </is>
      </c>
      <c r="C2704" s="4" t="inlineStr">
        <is>
          <t>W00031886A</t>
        </is>
      </c>
      <c r="D2704" s="6">
        <f>IF(F2704&gt;=5, F2704-5, IF(F2704&lt;5, 0, F2704))</f>
        <v/>
      </c>
      <c r="E2704">
        <f>VLOOKUP(B2704,[1]Namshi!$A:$B,2,0)</f>
        <v/>
      </c>
      <c r="F2704" s="4">
        <f>SUMIFS('Dubai Stock'!I:I,'Dubai Stock'!H:H,Final_UAE!B:B)</f>
        <v/>
      </c>
      <c r="H2704" s="8" t="e">
        <v>#N/A</v>
      </c>
      <c r="I2704" s="8" t="n"/>
    </row>
    <row r="2705">
      <c r="A2705" s="4" t="n">
        <v>33834</v>
      </c>
      <c r="B2705" s="4" t="inlineStr">
        <is>
          <t>sw60107-bla-000324-0107-52</t>
        </is>
      </c>
      <c r="C2705" s="4" t="inlineStr">
        <is>
          <t>W00031886A</t>
        </is>
      </c>
      <c r="D2705" s="6">
        <f>IF(F2705&gt;=5, F2705-5, IF(F2705&lt;5, 0, F2705))</f>
        <v/>
      </c>
      <c r="E2705">
        <f>VLOOKUP(B2705,[1]Namshi!$A:$B,2,0)</f>
        <v/>
      </c>
      <c r="F2705" s="4">
        <f>SUMIFS('Dubai Stock'!I:I,'Dubai Stock'!H:H,Final_UAE!B:B)</f>
        <v/>
      </c>
      <c r="H2705" s="8" t="e">
        <v>#N/A</v>
      </c>
    </row>
    <row r="2706">
      <c r="A2706" s="4" t="n">
        <v>33834</v>
      </c>
      <c r="B2706" s="4" t="inlineStr">
        <is>
          <t>clstdai-lay-cont-p90-dazzle-brown-sn0175</t>
        </is>
      </c>
      <c r="C2706" s="4" t="inlineStr">
        <is>
          <t>W00031886A</t>
        </is>
      </c>
      <c r="D2706" s="6">
        <f>IF(F2706&gt;=5, F2706-5, IF(F2706&lt;5, 0, F2706))</f>
        <v/>
      </c>
      <c r="E2706">
        <f>VLOOKUP(B2706,[1]Namshi!$A:$B,2,0)</f>
        <v/>
      </c>
      <c r="F2706" s="4">
        <f>SUMIFS('Dubai Stock'!I:I,'Dubai Stock'!H:H,Final_UAE!B:B)</f>
        <v/>
      </c>
      <c r="H2706" s="8" t="e">
        <v>#N/A</v>
      </c>
      <c r="I2706" s="8" t="n"/>
    </row>
    <row r="2707">
      <c r="A2707" s="4" t="n">
        <v>33834</v>
      </c>
      <c r="B2707" s="4" t="inlineStr">
        <is>
          <t>sw30107-30s-000258-0107-54</t>
        </is>
      </c>
      <c r="C2707" s="4" t="inlineStr">
        <is>
          <t>W00031886A</t>
        </is>
      </c>
      <c r="D2707" s="6">
        <f>IF(F2707&gt;=5, F2707-5, IF(F2707&lt;5, 0, F2707))</f>
        <v/>
      </c>
      <c r="E2707">
        <f>VLOOKUP(B2707,[1]Namshi!$A:$B,2,0)</f>
        <v/>
      </c>
      <c r="F2707" s="4">
        <f>SUMIFS('Dubai Stock'!I:I,'Dubai Stock'!H:H,Final_UAE!B:B)</f>
        <v/>
      </c>
      <c r="H2707" s="8" t="e">
        <v>#N/A</v>
      </c>
    </row>
    <row r="2708">
      <c r="A2708" s="4" t="n">
        <v>33834</v>
      </c>
      <c r="B2708" s="4" t="inlineStr">
        <is>
          <t>clstdai-dai-tot1-p90-sn0575</t>
        </is>
      </c>
      <c r="C2708" s="4" t="inlineStr">
        <is>
          <t>W00031886A</t>
        </is>
      </c>
      <c r="D2708" s="6">
        <f>IF(F2708&gt;=5, F2708-5, IF(F2708&lt;5, 0, F2708))</f>
        <v/>
      </c>
      <c r="E2708">
        <f>VLOOKUP(B2708,[1]Namshi!$A:$B,2,0)</f>
        <v/>
      </c>
      <c r="F2708" s="4">
        <f>SUMIFS('Dubai Stock'!I:I,'Dubai Stock'!H:H,Final_UAE!B:B)</f>
        <v/>
      </c>
      <c r="H2708" s="8" t="e">
        <v>#N/A</v>
      </c>
      <c r="I2708" s="8" t="n"/>
    </row>
    <row r="2709">
      <c r="A2709" s="4" t="n">
        <v>33834</v>
      </c>
      <c r="B2709" s="4" t="inlineStr">
        <is>
          <t>sw61107-bla-000324-1107-52</t>
        </is>
      </c>
      <c r="C2709" s="4" t="inlineStr">
        <is>
          <t>W00031886A</t>
        </is>
      </c>
      <c r="D2709" s="6">
        <f>IF(F2709&gt;=5, F2709-5, IF(F2709&lt;5, 0, F2709))</f>
        <v/>
      </c>
      <c r="E2709">
        <f>VLOOKUP(B2709,[1]Namshi!$A:$B,2,0)</f>
        <v/>
      </c>
      <c r="F2709" s="4">
        <f>SUMIFS('Dubai Stock'!I:I,'Dubai Stock'!H:H,Final_UAE!B:B)</f>
        <v/>
      </c>
      <c r="H2709" s="8" t="e">
        <v>#N/A</v>
      </c>
    </row>
    <row r="2710">
      <c r="A2710" s="4" t="n">
        <v>33834</v>
      </c>
      <c r="B2710" s="4" t="inlineStr">
        <is>
          <t>sw42904-bla-000246-2904-58</t>
        </is>
      </c>
      <c r="C2710" s="4" t="inlineStr">
        <is>
          <t>W00031886A</t>
        </is>
      </c>
      <c r="D2710" s="6">
        <f>IF(F2710&gt;=5, F2710-5, IF(F2710&lt;5, 0, F2710))</f>
        <v/>
      </c>
      <c r="E2710">
        <f>VLOOKUP(B2710,[1]Namshi!$A:$B,2,0)</f>
        <v/>
      </c>
      <c r="F2710" s="4">
        <f>SUMIFS('Dubai Stock'!I:I,'Dubai Stock'!H:H,Final_UAE!B:B)</f>
        <v/>
      </c>
      <c r="H2710" s="8" t="e">
        <v>#N/A</v>
      </c>
    </row>
    <row r="2711">
      <c r="A2711" s="4" t="n">
        <v>33834</v>
      </c>
      <c r="B2711" s="4" t="inlineStr">
        <is>
          <t>costdai-acu-dffr-p10-green-sn0050</t>
        </is>
      </c>
      <c r="C2711" s="4" t="inlineStr">
        <is>
          <t>W00031886A</t>
        </is>
      </c>
      <c r="D2711" s="6">
        <f>IF(F2711&gt;=5, F2711-5, IF(F2711&lt;5, 0, F2711))</f>
        <v/>
      </c>
      <c r="E2711">
        <f>VLOOKUP(B2711,[1]Namshi!$A:$B,2,0)</f>
        <v/>
      </c>
      <c r="F2711" s="4">
        <f>SUMIFS('Dubai Stock'!I:I,'Dubai Stock'!H:H,Final_UAE!B:B)</f>
        <v/>
      </c>
      <c r="H2711" s="8" t="e">
        <v>#N/A</v>
      </c>
      <c r="I2711" s="8" t="n"/>
    </row>
    <row r="2712">
      <c r="A2712" s="4" t="n">
        <v>33834</v>
      </c>
      <c r="B2712" s="4" t="inlineStr">
        <is>
          <t>clstdai-eve-pure-p30-sn0850</t>
        </is>
      </c>
      <c r="C2712" s="4" t="inlineStr">
        <is>
          <t>W00031886A</t>
        </is>
      </c>
      <c r="D2712" s="6">
        <f>IF(F2712&gt;=5, F2712-5, IF(F2712&lt;5, 0, F2712))</f>
        <v/>
      </c>
      <c r="E2712">
        <f>VLOOKUP(B2712,[1]Namshi!$A:$B,2,0)</f>
        <v/>
      </c>
      <c r="F2712" s="4">
        <f>SUMIFS('Dubai Stock'!I:I,'Dubai Stock'!H:H,Final_UAE!B:B)</f>
        <v/>
      </c>
      <c r="H2712" s="8" t="n">
        <v>186</v>
      </c>
      <c r="I2712" s="8" t="n">
        <v>104.3</v>
      </c>
    </row>
    <row r="2713">
      <c r="A2713" s="4" t="n">
        <v>33834</v>
      </c>
      <c r="B2713" s="4" t="inlineStr">
        <is>
          <t>clstdai-lay-cont-p60-dazzle-black-sn1000</t>
        </is>
      </c>
      <c r="C2713" s="4" t="inlineStr">
        <is>
          <t>W00031886A</t>
        </is>
      </c>
      <c r="D2713" s="6">
        <f>IF(F2713&gt;=5, F2713-5, IF(F2713&lt;5, 0, F2713))</f>
        <v/>
      </c>
      <c r="E2713">
        <f>VLOOKUP(B2713,[1]Namshi!$A:$B,2,0)</f>
        <v/>
      </c>
      <c r="F2713" s="4">
        <f>SUMIFS('Dubai Stock'!I:I,'Dubai Stock'!H:H,Final_UAE!B:B)</f>
        <v/>
      </c>
      <c r="H2713" s="8" t="e">
        <v>#N/A</v>
      </c>
      <c r="I2713" s="8" t="n"/>
    </row>
    <row r="2714">
      <c r="A2714" s="4" t="n">
        <v>33834</v>
      </c>
      <c r="B2714" s="4" t="inlineStr">
        <is>
          <t>fw30418-spc-000556-0400-53</t>
        </is>
      </c>
      <c r="C2714" s="4" t="inlineStr">
        <is>
          <t>W00031886A</t>
        </is>
      </c>
      <c r="D2714" s="6">
        <f>IF(F2714&gt;=5, F2714-5, IF(F2714&lt;5, 0, F2714))</f>
        <v/>
      </c>
      <c r="E2714">
        <f>VLOOKUP(B2714,[1]Namshi!$A:$B,2,0)</f>
        <v/>
      </c>
      <c r="F2714" s="4">
        <f>SUMIFS('Dubai Stock'!I:I,'Dubai Stock'!H:H,Final_UAE!B:B)</f>
        <v/>
      </c>
      <c r="H2714" s="8" t="e">
        <v>#N/A</v>
      </c>
      <c r="I2714" s="8" t="n"/>
    </row>
    <row r="2715">
      <c r="A2715" s="4" t="n">
        <v>33834</v>
      </c>
      <c r="B2715" s="4" t="inlineStr">
        <is>
          <t>clstbiw-acu-oasy-p06-sp0100</t>
        </is>
      </c>
      <c r="C2715" s="4" t="inlineStr">
        <is>
          <t>W00031886A</t>
        </is>
      </c>
      <c r="D2715" s="6">
        <f>IF(F2715&gt;=5, F2715-5, IF(F2715&lt;5, 0, F2715))</f>
        <v/>
      </c>
      <c r="E2715">
        <f>VLOOKUP(B2715,[1]Namshi!$A:$B,2,0)</f>
        <v/>
      </c>
      <c r="F2715" s="4">
        <f>SUMIFS('Dubai Stock'!I:I,'Dubai Stock'!H:H,Final_UAE!B:B)</f>
        <v/>
      </c>
      <c r="H2715" s="8" t="e">
        <v>#N/A</v>
      </c>
      <c r="I2715" s="8" t="n"/>
    </row>
    <row r="2716">
      <c r="A2716" s="4" t="n">
        <v>33834</v>
      </c>
      <c r="B2716" s="4" t="inlineStr">
        <is>
          <t>cost3mo-lay-lens-p02-platinum-gray-sn0575</t>
        </is>
      </c>
      <c r="C2716" s="4" t="inlineStr">
        <is>
          <t>W00031886A</t>
        </is>
      </c>
      <c r="D2716" s="6">
        <f>IF(F2716&gt;=5, F2716-5, IF(F2716&lt;5, 0, F2716))</f>
        <v/>
      </c>
      <c r="E2716">
        <f>VLOOKUP(B2716,[1]Namshi!$A:$B,2,0)</f>
        <v/>
      </c>
      <c r="F2716" s="4">
        <f>SUMIFS('Dubai Stock'!I:I,'Dubai Stock'!H:H,Final_UAE!B:B)</f>
        <v/>
      </c>
      <c r="H2716" s="8" t="e">
        <v>#N/A</v>
      </c>
      <c r="I2716" s="8" t="n"/>
    </row>
    <row r="2717">
      <c r="A2717" s="4" t="n">
        <v>33834</v>
      </c>
      <c r="B2717" s="4" t="inlineStr">
        <is>
          <t>clstdai-acu-oasy-p120-sn0475</t>
        </is>
      </c>
      <c r="C2717" s="4" t="inlineStr">
        <is>
          <t>W00031886A</t>
        </is>
      </c>
      <c r="D2717" s="6">
        <f>IF(F2717&gt;=5, F2717-5, IF(F2717&lt;5, 0, F2717))</f>
        <v/>
      </c>
      <c r="E2717">
        <f>VLOOKUP(B2717,[1]Namshi!$A:$B,2,0)</f>
        <v/>
      </c>
      <c r="F2717" s="4">
        <f>SUMIFS('Dubai Stock'!I:I,'Dubai Stock'!H:H,Final_UAE!B:B)</f>
        <v/>
      </c>
      <c r="H2717" s="8" t="e">
        <v>#N/A</v>
      </c>
      <c r="I2717" s="8" t="n"/>
    </row>
    <row r="2718">
      <c r="A2718" s="4" t="n">
        <v>33834</v>
      </c>
      <c r="B2718" s="4" t="inlineStr">
        <is>
          <t>sw20504-30s-000226-0504-54</t>
        </is>
      </c>
      <c r="C2718" s="4" t="inlineStr">
        <is>
          <t>W00031886A</t>
        </is>
      </c>
      <c r="D2718" s="6">
        <f>IF(F2718&gt;=5, F2718-5, IF(F2718&lt;5, 0, F2718))</f>
        <v/>
      </c>
      <c r="E2718">
        <f>VLOOKUP(B2718,[1]Namshi!$A:$B,2,0)</f>
        <v/>
      </c>
      <c r="F2718" s="4">
        <f>SUMIFS('Dubai Stock'!I:I,'Dubai Stock'!H:H,Final_UAE!B:B)</f>
        <v/>
      </c>
      <c r="H2718" s="8" t="e">
        <v>#N/A</v>
      </c>
    </row>
    <row r="2719">
      <c r="A2719" s="4" t="n">
        <v>33834</v>
      </c>
      <c r="B2719" s="4" t="inlineStr">
        <is>
          <t>sw101202-bla-000352-1202-52</t>
        </is>
      </c>
      <c r="C2719" s="4" t="inlineStr">
        <is>
          <t>W00031886A</t>
        </is>
      </c>
      <c r="D2719" s="6">
        <f>IF(F2719&gt;=5, F2719-5, IF(F2719&lt;5, 0, F2719))</f>
        <v/>
      </c>
      <c r="E2719">
        <f>VLOOKUP(B2719,[1]Namshi!$A:$B,2,0)</f>
        <v/>
      </c>
      <c r="F2719" s="4">
        <f>SUMIFS('Dubai Stock'!I:I,'Dubai Stock'!H:H,Final_UAE!B:B)</f>
        <v/>
      </c>
      <c r="H2719" s="8" t="e">
        <v>#N/A</v>
      </c>
    </row>
    <row r="2720">
      <c r="A2720" s="4" t="n">
        <v>33834</v>
      </c>
      <c r="B2720" s="4" t="inlineStr">
        <is>
          <t>sw100707-bla-000321-0707-52</t>
        </is>
      </c>
      <c r="C2720" s="4" t="inlineStr">
        <is>
          <t>W00031886A</t>
        </is>
      </c>
      <c r="D2720" s="6">
        <f>IF(F2720&gt;=5, F2720-5, IF(F2720&lt;5, 0, F2720))</f>
        <v/>
      </c>
      <c r="E2720">
        <f>VLOOKUP(B2720,[1]Namshi!$A:$B,2,0)</f>
        <v/>
      </c>
      <c r="F2720" s="4">
        <f>SUMIFS('Dubai Stock'!I:I,'Dubai Stock'!H:H,Final_UAE!B:B)</f>
        <v/>
      </c>
      <c r="H2720" s="8" t="e">
        <v>#N/A</v>
      </c>
    </row>
    <row r="2721">
      <c r="A2721" s="4" t="n">
        <v>33834</v>
      </c>
      <c r="B2721" s="4" t="inlineStr">
        <is>
          <t>clstdai-btr-oned-p30-sp0325</t>
        </is>
      </c>
      <c r="C2721" s="4" t="inlineStr">
        <is>
          <t>W00031886A</t>
        </is>
      </c>
      <c r="D2721" s="6">
        <f>IF(F2721&gt;=5, F2721-5, IF(F2721&lt;5, 0, F2721))</f>
        <v/>
      </c>
      <c r="E2721">
        <f>VLOOKUP(B2721,[1]Namshi!$A:$B,2,0)</f>
        <v/>
      </c>
      <c r="F2721" s="4">
        <f>SUMIFS('Dubai Stock'!I:I,'Dubai Stock'!H:H,Final_UAE!B:B)</f>
        <v/>
      </c>
      <c r="H2721" s="8" t="e">
        <v>#N/A</v>
      </c>
      <c r="I2721" s="8" t="n"/>
    </row>
    <row r="2722">
      <c r="A2722" s="4" t="n">
        <v>33834</v>
      </c>
      <c r="B2722" s="4" t="inlineStr">
        <is>
          <t>sw50904-bla-000101-2404-62</t>
        </is>
      </c>
      <c r="C2722" s="4" t="inlineStr">
        <is>
          <t>W00031886A</t>
        </is>
      </c>
      <c r="D2722" s="6">
        <f>IF(F2722&gt;=5, F2722-5, IF(F2722&lt;5, 0, F2722))</f>
        <v/>
      </c>
      <c r="E2722">
        <f>VLOOKUP(B2722,[1]Namshi!$A:$B,2,0)</f>
        <v/>
      </c>
      <c r="F2722" s="4">
        <f>SUMIFS('Dubai Stock'!I:I,'Dubai Stock'!H:H,Final_UAE!B:B)</f>
        <v/>
      </c>
      <c r="H2722" s="8" t="e">
        <v>#N/A</v>
      </c>
    </row>
    <row r="2723">
      <c r="A2723" s="4" t="n">
        <v>33834</v>
      </c>
      <c r="B2723" s="4" t="inlineStr">
        <is>
          <t>costdai-ama-dail-p10-shadow-sn0575</t>
        </is>
      </c>
      <c r="C2723" s="4" t="inlineStr">
        <is>
          <t>W00031886A</t>
        </is>
      </c>
      <c r="D2723" s="6">
        <f>IF(F2723&gt;=5, F2723-5, IF(F2723&lt;5, 0, F2723))</f>
        <v/>
      </c>
      <c r="E2723">
        <f>VLOOKUP(B2723,[1]Namshi!$A:$B,2,0)</f>
        <v/>
      </c>
      <c r="F2723" s="4">
        <f>SUMIFS('Dubai Stock'!I:I,'Dubai Stock'!H:H,Final_UAE!B:B)</f>
        <v/>
      </c>
      <c r="H2723" s="8" t="e">
        <v>#N/A</v>
      </c>
      <c r="I2723" s="8" t="n"/>
    </row>
    <row r="2724">
      <c r="A2724" s="4" t="n">
        <v>33834</v>
      </c>
      <c r="B2724" s="4" t="inlineStr">
        <is>
          <t>sc50607-bab-000506-0607-48</t>
        </is>
      </c>
      <c r="C2724" s="4" t="inlineStr">
        <is>
          <t>W00031886A</t>
        </is>
      </c>
      <c r="D2724" s="6">
        <f>IF(F2724&gt;=5, F2724-5, IF(F2724&lt;5, 0, F2724))</f>
        <v/>
      </c>
      <c r="E2724">
        <f>VLOOKUP(B2724,[1]Namshi!$A:$B,2,0)</f>
        <v/>
      </c>
      <c r="F2724" s="4">
        <f>SUMIFS('Dubai Stock'!I:I,'Dubai Stock'!H:H,Final_UAE!B:B)</f>
        <v/>
      </c>
      <c r="H2724" s="8" t="e">
        <v>#N/A</v>
      </c>
    </row>
    <row r="2725">
      <c r="A2725" s="4" t="n">
        <v>33834</v>
      </c>
      <c r="B2725" s="4" t="inlineStr">
        <is>
          <t>costmon-ama-2020-p02-charcoal-gray-sp0000</t>
        </is>
      </c>
      <c r="C2725" s="4" t="inlineStr">
        <is>
          <t>W00031886A</t>
        </is>
      </c>
      <c r="D2725" s="6">
        <f>IF(F2725&gt;=5, F2725-5, IF(F2725&lt;5, 0, F2725))</f>
        <v/>
      </c>
      <c r="E2725">
        <f>VLOOKUP(B2725,[1]Namshi!$A:$B,2,0)</f>
        <v/>
      </c>
      <c r="F2725" s="4">
        <f>SUMIFS('Dubai Stock'!I:I,'Dubai Stock'!H:H,Final_UAE!B:B)</f>
        <v/>
      </c>
      <c r="H2725" s="8" t="e">
        <v>#N/A</v>
      </c>
      <c r="I2725" s="8" t="n"/>
    </row>
    <row r="2726">
      <c r="A2726" s="4" t="n">
        <v>33834</v>
      </c>
      <c r="B2726" s="4" t="inlineStr">
        <is>
          <t>fw52418-spc-000569-2418-54</t>
        </is>
      </c>
      <c r="C2726" s="4" t="inlineStr">
        <is>
          <t>W00031886A</t>
        </is>
      </c>
      <c r="D2726" s="6">
        <f>IF(F2726&gt;=5, F2726-5, IF(F2726&lt;5, 0, F2726))</f>
        <v/>
      </c>
      <c r="E2726">
        <f>VLOOKUP(B2726,[1]Namshi!$A:$B,2,0)</f>
        <v/>
      </c>
      <c r="F2726" s="4">
        <f>SUMIFS('Dubai Stock'!I:I,'Dubai Stock'!H:H,Final_UAE!B:B)</f>
        <v/>
      </c>
      <c r="H2726" s="8" t="e">
        <v>#N/A</v>
      </c>
      <c r="I2726" s="8" t="n"/>
    </row>
    <row r="2727">
      <c r="A2727" s="4" t="n">
        <v>33834</v>
      </c>
      <c r="B2727" s="4" t="inlineStr">
        <is>
          <t>clstdai-acu-oasy-p30-sn0200</t>
        </is>
      </c>
      <c r="C2727" s="4" t="inlineStr">
        <is>
          <t>W00031886A</t>
        </is>
      </c>
      <c r="D2727" s="6">
        <f>IF(F2727&gt;=5, F2727-5, IF(F2727&lt;5, 0, F2727))</f>
        <v/>
      </c>
      <c r="E2727">
        <f>VLOOKUP(B2727,[1]Namshi!$A:$B,2,0)</f>
        <v/>
      </c>
      <c r="F2727" s="4">
        <f>SUMIFS('Dubai Stock'!I:I,'Dubai Stock'!H:H,Final_UAE!B:B)</f>
        <v/>
      </c>
      <c r="H2727" s="8" t="e">
        <v>#N/A</v>
      </c>
      <c r="I2727" s="8" t="n"/>
    </row>
    <row r="2728">
      <c r="A2728" s="4" t="n">
        <v>33834</v>
      </c>
      <c r="B2728" s="4" t="inlineStr">
        <is>
          <t>clstdai-lay-cont-p10-dazzle-brown-sn0050</t>
        </is>
      </c>
      <c r="C2728" s="4" t="inlineStr">
        <is>
          <t>W00031886A</t>
        </is>
      </c>
      <c r="D2728" s="6">
        <f>IF(F2728&gt;=5, F2728-5, IF(F2728&lt;5, 0, F2728))</f>
        <v/>
      </c>
      <c r="E2728">
        <f>VLOOKUP(B2728,[1]Namshi!$A:$B,2,0)</f>
        <v/>
      </c>
      <c r="F2728" s="4">
        <f>SUMIFS('Dubai Stock'!I:I,'Dubai Stock'!H:H,Final_UAE!B:B)</f>
        <v/>
      </c>
      <c r="H2728" s="8" t="e">
        <v>#N/A</v>
      </c>
      <c r="I2728" s="8" t="n"/>
    </row>
    <row r="2729">
      <c r="A2729" s="4" t="n">
        <v>33834</v>
      </c>
      <c r="B2729" s="4" t="inlineStr">
        <is>
          <t>fw20218-spc-000653-0218-47</t>
        </is>
      </c>
      <c r="C2729" s="4" t="inlineStr">
        <is>
          <t>W00031886A</t>
        </is>
      </c>
      <c r="D2729" s="6">
        <f>IF(F2729&gt;=5, F2729-5, IF(F2729&lt;5, 0, F2729))</f>
        <v/>
      </c>
      <c r="E2729">
        <f>VLOOKUP(B2729,[1]Namshi!$A:$B,2,0)</f>
        <v/>
      </c>
      <c r="F2729" s="4">
        <f>SUMIFS('Dubai Stock'!I:I,'Dubai Stock'!H:H,Final_UAE!B:B)</f>
        <v/>
      </c>
      <c r="H2729" s="8" t="e">
        <v>#N/A</v>
      </c>
      <c r="I2729" s="8" t="n"/>
    </row>
    <row r="2730">
      <c r="A2730" s="4" t="n">
        <v>33834</v>
      </c>
      <c r="B2730" s="4" t="inlineStr">
        <is>
          <t>clstdai-lay-cont-p30-dazzle-brown-sn0075</t>
        </is>
      </c>
      <c r="C2730" s="4" t="inlineStr">
        <is>
          <t>W00031886A</t>
        </is>
      </c>
      <c r="D2730" s="6">
        <f>IF(F2730&gt;=5, F2730-5, IF(F2730&lt;5, 0, F2730))</f>
        <v/>
      </c>
      <c r="E2730">
        <f>VLOOKUP(B2730,[1]Namshi!$A:$B,2,0)</f>
        <v/>
      </c>
      <c r="F2730" s="4">
        <f>SUMIFS('Dubai Stock'!I:I,'Dubai Stock'!H:H,Final_UAE!B:B)</f>
        <v/>
      </c>
      <c r="H2730" s="8" t="e">
        <v>#N/A</v>
      </c>
      <c r="I2730" s="8" t="n"/>
    </row>
    <row r="2731">
      <c r="A2731" s="4" t="n">
        <v>33834</v>
      </c>
      <c r="B2731" s="4" t="inlineStr">
        <is>
          <t>clstdai-eve-elit-p90-sn0225</t>
        </is>
      </c>
      <c r="C2731" s="4" t="inlineStr">
        <is>
          <t>W00031886A</t>
        </is>
      </c>
      <c r="D2731" s="6">
        <f>IF(F2731&gt;=5, F2731-5, IF(F2731&lt;5, 0, F2731))</f>
        <v/>
      </c>
      <c r="E2731">
        <f>VLOOKUP(B2731,[1]Namshi!$A:$B,2,0)</f>
        <v/>
      </c>
      <c r="F2731" s="4">
        <f>SUMIFS('Dubai Stock'!I:I,'Dubai Stock'!H:H,Final_UAE!B:B)</f>
        <v/>
      </c>
      <c r="H2731" s="8" t="n">
        <v>729</v>
      </c>
      <c r="I2731" s="8" t="n">
        <v>357</v>
      </c>
    </row>
    <row r="2732">
      <c r="A2732" s="4" t="n">
        <v>33834</v>
      </c>
      <c r="B2732" s="4" t="inlineStr">
        <is>
          <t>costdai-ama-dail-p10-amber-sn0750</t>
        </is>
      </c>
      <c r="C2732" s="4" t="inlineStr">
        <is>
          <t>W00031886A</t>
        </is>
      </c>
      <c r="D2732" s="6">
        <f>IF(F2732&gt;=5, F2732-5, IF(F2732&lt;5, 0, F2732))</f>
        <v/>
      </c>
      <c r="E2732">
        <f>VLOOKUP(B2732,[1]Namshi!$A:$B,2,0)</f>
        <v/>
      </c>
      <c r="F2732" s="4">
        <f>SUMIFS('Dubai Stock'!I:I,'Dubai Stock'!H:H,Final_UAE!B:B)</f>
        <v/>
      </c>
      <c r="H2732" s="8" t="e">
        <v>#N/A</v>
      </c>
      <c r="I2732" s="8" t="n"/>
    </row>
    <row r="2733">
      <c r="A2733" s="4" t="n">
        <v>33834</v>
      </c>
      <c r="B2733" s="4" t="inlineStr">
        <is>
          <t>clstdai-acu-omax-p90-sn0525</t>
        </is>
      </c>
      <c r="C2733" s="4" t="inlineStr">
        <is>
          <t>W00031886A</t>
        </is>
      </c>
      <c r="D2733" s="6">
        <f>IF(F2733&gt;=5, F2733-5, IF(F2733&lt;5, 0, F2733))</f>
        <v/>
      </c>
      <c r="E2733">
        <f>VLOOKUP(B2733,[1]Namshi!$A:$B,2,0)</f>
        <v/>
      </c>
      <c r="F2733" s="4">
        <f>SUMIFS('Dubai Stock'!I:I,'Dubai Stock'!H:H,Final_UAE!B:B)</f>
        <v/>
      </c>
      <c r="H2733" s="8" t="e">
        <v>#N/A</v>
      </c>
      <c r="I2733" s="8" t="n"/>
    </row>
    <row r="2734">
      <c r="A2734" s="4" t="n">
        <v>33834</v>
      </c>
      <c r="B2734" s="4" t="inlineStr">
        <is>
          <t>costmon-ama-2022-p02-dream-sn0350</t>
        </is>
      </c>
      <c r="C2734" s="4" t="inlineStr">
        <is>
          <t>W00031886A</t>
        </is>
      </c>
      <c r="D2734" s="6">
        <f>IF(F2734&gt;=5, F2734-5, IF(F2734&lt;5, 0, F2734))</f>
        <v/>
      </c>
      <c r="E2734">
        <f>VLOOKUP(B2734,[1]Namshi!$A:$B,2,0)</f>
        <v/>
      </c>
      <c r="F2734" s="4">
        <f>SUMIFS('Dubai Stock'!I:I,'Dubai Stock'!H:H,Final_UAE!B:B)</f>
        <v/>
      </c>
      <c r="H2734" s="8" t="e">
        <v>#N/A</v>
      </c>
      <c r="I2734" s="8" t="n"/>
    </row>
    <row r="2735">
      <c r="A2735" s="4" t="n">
        <v>33834</v>
      </c>
      <c r="B2735" s="4" t="inlineStr">
        <is>
          <t>clstdai-acu-oasy-p30-sn0325</t>
        </is>
      </c>
      <c r="C2735" s="4" t="inlineStr">
        <is>
          <t>W00031886A</t>
        </is>
      </c>
      <c r="D2735" s="6">
        <f>IF(F2735&gt;=5, F2735-5, IF(F2735&lt;5, 0, F2735))</f>
        <v/>
      </c>
      <c r="E2735">
        <f>VLOOKUP(B2735,[1]Namshi!$A:$B,2,0)</f>
        <v/>
      </c>
      <c r="F2735" s="4">
        <f>SUMIFS('Dubai Stock'!I:I,'Dubai Stock'!H:H,Final_UAE!B:B)</f>
        <v/>
      </c>
      <c r="H2735" s="8" t="e">
        <v>#N/A</v>
      </c>
      <c r="I2735" s="8" t="n"/>
    </row>
    <row r="2736">
      <c r="A2736" s="4" t="n">
        <v>33834</v>
      </c>
      <c r="B2736" s="4" t="inlineStr">
        <is>
          <t>clstdai-acu-dfvi-p30-sn0175</t>
        </is>
      </c>
      <c r="C2736" s="4" t="inlineStr">
        <is>
          <t>W00031886A</t>
        </is>
      </c>
      <c r="D2736" s="6">
        <f>IF(F2736&gt;=5, F2736-5, IF(F2736&lt;5, 0, F2736))</f>
        <v/>
      </c>
      <c r="E2736">
        <f>VLOOKUP(B2736,[1]Namshi!$A:$B,2,0)</f>
        <v/>
      </c>
      <c r="F2736" s="4">
        <f>SUMIFS('Dubai Stock'!I:I,'Dubai Stock'!H:H,Final_UAE!B:B)</f>
        <v/>
      </c>
      <c r="H2736" s="8" t="e">
        <v>#N/A</v>
      </c>
      <c r="I2736" s="8" t="n"/>
    </row>
    <row r="2737">
      <c r="A2737" s="4" t="n">
        <v>33834</v>
      </c>
      <c r="B2737" s="4" t="inlineStr">
        <is>
          <t>sacchan-30s-deja-silver</t>
        </is>
      </c>
      <c r="C2737" s="4" t="inlineStr">
        <is>
          <t>W00031886A</t>
        </is>
      </c>
      <c r="D2737" s="6">
        <f>IF(F2737&gt;=5, F2737-5, IF(F2737&lt;5, 0, F2737))</f>
        <v/>
      </c>
      <c r="E2737">
        <f>VLOOKUP(B2737,[1]Namshi!$A:$B,2,0)</f>
        <v/>
      </c>
      <c r="F2737" s="4">
        <f>SUMIFS('Dubai Stock'!I:I,'Dubai Stock'!H:H,Final_UAE!B:B)</f>
        <v/>
      </c>
      <c r="H2737" s="8" t="e">
        <v>#N/A</v>
      </c>
      <c r="I2737" s="8" t="n"/>
    </row>
    <row r="2738">
      <c r="A2738" s="4" t="n">
        <v>33834</v>
      </c>
      <c r="B2738" s="4" t="inlineStr">
        <is>
          <t>cost3mo-lay-lens-p02-forest-green-sn0325</t>
        </is>
      </c>
      <c r="C2738" s="4" t="inlineStr">
        <is>
          <t>W00031886A</t>
        </is>
      </c>
      <c r="D2738" s="6">
        <f>IF(F2738&gt;=5, F2738-5, IF(F2738&lt;5, 0, F2738))</f>
        <v/>
      </c>
      <c r="E2738">
        <f>VLOOKUP(B2738,[1]Namshi!$A:$B,2,0)</f>
        <v/>
      </c>
      <c r="F2738" s="4">
        <f>SUMIFS('Dubai Stock'!I:I,'Dubai Stock'!H:H,Final_UAE!B:B)</f>
        <v/>
      </c>
      <c r="H2738" s="8" t="e">
        <v>#N/A</v>
      </c>
      <c r="I2738" s="8" t="n"/>
    </row>
    <row r="2739">
      <c r="A2739" s="4" t="n">
        <v>33834</v>
      </c>
      <c r="B2739" s="4" t="inlineStr">
        <is>
          <t>clstdai-lay-cont-p30-dazzle-black-sn0250</t>
        </is>
      </c>
      <c r="C2739" s="4" t="inlineStr">
        <is>
          <t>W00031886A</t>
        </is>
      </c>
      <c r="D2739" s="6">
        <f>IF(F2739&gt;=5, F2739-5, IF(F2739&lt;5, 0, F2739))</f>
        <v/>
      </c>
      <c r="E2739">
        <f>VLOOKUP(B2739,[1]Namshi!$A:$B,2,0)</f>
        <v/>
      </c>
      <c r="F2739" s="4">
        <f>SUMIFS('Dubai Stock'!I:I,'Dubai Stock'!H:H,Final_UAE!B:B)</f>
        <v/>
      </c>
      <c r="H2739" s="8" t="e">
        <v>#N/A</v>
      </c>
      <c r="I2739" s="8" t="n"/>
    </row>
    <row r="2740">
      <c r="A2740" s="4" t="n">
        <v>33834</v>
      </c>
      <c r="B2740" s="4" t="inlineStr">
        <is>
          <t>clstdai-acu-mois-p30-sn0350</t>
        </is>
      </c>
      <c r="C2740" s="4" t="inlineStr">
        <is>
          <t>W00031886A</t>
        </is>
      </c>
      <c r="D2740" s="6">
        <f>IF(F2740&gt;=5, F2740-5, IF(F2740&lt;5, 0, F2740))</f>
        <v/>
      </c>
      <c r="E2740">
        <f>VLOOKUP(B2740,[1]Namshi!$A:$B,2,0)</f>
        <v/>
      </c>
      <c r="F2740" s="4">
        <f>SUMIFS('Dubai Stock'!I:I,'Dubai Stock'!H:H,Final_UAE!B:B)</f>
        <v/>
      </c>
      <c r="H2740" s="8" t="e">
        <v>#N/A</v>
      </c>
      <c r="I2740" s="8" t="n"/>
    </row>
    <row r="2741">
      <c r="A2741" s="4" t="n">
        <v>33834</v>
      </c>
      <c r="B2741" s="4" t="inlineStr">
        <is>
          <t>bc70118-bab-000513-0118-46</t>
        </is>
      </c>
      <c r="C2741" s="4" t="inlineStr">
        <is>
          <t>W00031886A</t>
        </is>
      </c>
      <c r="D2741" s="6">
        <f>IF(F2741&gt;=5, F2741-5, IF(F2741&lt;5, 0, F2741))</f>
        <v/>
      </c>
      <c r="E2741">
        <f>VLOOKUP(B2741,[1]Namshi!$A:$B,2,0)</f>
        <v/>
      </c>
      <c r="F2741" s="4">
        <f>SUMIFS('Dubai Stock'!I:I,'Dubai Stock'!H:H,Final_UAE!B:B)</f>
        <v/>
      </c>
      <c r="H2741" s="8" t="e">
        <v>#N/A</v>
      </c>
    </row>
    <row r="2742">
      <c r="A2742" s="4" t="n">
        <v>33834</v>
      </c>
      <c r="B2742" s="4" t="inlineStr">
        <is>
          <t>sm51302-30s-000234-1302-48</t>
        </is>
      </c>
      <c r="C2742" s="4" t="inlineStr">
        <is>
          <t>W00031886A</t>
        </is>
      </c>
      <c r="D2742" s="6">
        <f>IF(F2742&gt;=5, F2742-5, IF(F2742&lt;5, 0, F2742))</f>
        <v/>
      </c>
      <c r="E2742">
        <f>VLOOKUP(B2742,[1]Namshi!$A:$B,2,0)</f>
        <v/>
      </c>
      <c r="F2742" s="4">
        <f>SUMIFS('Dubai Stock'!I:I,'Dubai Stock'!H:H,Final_UAE!B:B)</f>
        <v/>
      </c>
      <c r="H2742" s="8" t="e">
        <v>#N/A</v>
      </c>
    </row>
    <row r="2743">
      <c r="A2743" s="4" t="n">
        <v>33834</v>
      </c>
      <c r="B2743" s="4" t="inlineStr">
        <is>
          <t>clstdai-acu-mois-p60-sn0850</t>
        </is>
      </c>
      <c r="C2743" s="4" t="inlineStr">
        <is>
          <t>W00031886A</t>
        </is>
      </c>
      <c r="D2743" s="6">
        <f>IF(F2743&gt;=5, F2743-5, IF(F2743&lt;5, 0, F2743))</f>
        <v/>
      </c>
      <c r="E2743">
        <f>VLOOKUP(B2743,[1]Namshi!$A:$B,2,0)</f>
        <v/>
      </c>
      <c r="F2743" s="4">
        <f>SUMIFS('Dubai Stock'!I:I,'Dubai Stock'!H:H,Final_UAE!B:B)</f>
        <v/>
      </c>
      <c r="H2743" s="8" t="e">
        <v>#N/A</v>
      </c>
      <c r="I2743" s="8" t="n"/>
    </row>
    <row r="2744">
      <c r="A2744" s="4" t="n">
        <v>33834</v>
      </c>
      <c r="B2744" s="4" t="inlineStr">
        <is>
          <t>cost3mo-lay-2022-p02-cosmo-gray-sn0150</t>
        </is>
      </c>
      <c r="C2744" s="4" t="inlineStr">
        <is>
          <t>W00031886A</t>
        </is>
      </c>
      <c r="D2744" s="6">
        <f>IF(F2744&gt;=5, F2744-5, IF(F2744&lt;5, 0, F2744))</f>
        <v/>
      </c>
      <c r="E2744">
        <f>VLOOKUP(B2744,[1]Namshi!$A:$B,2,0)</f>
        <v/>
      </c>
      <c r="F2744" s="4">
        <f>SUMIFS('Dubai Stock'!I:I,'Dubai Stock'!H:H,Final_UAE!B:B)</f>
        <v/>
      </c>
      <c r="H2744" s="8" t="e">
        <v>#N/A</v>
      </c>
      <c r="I2744" s="8" t="n"/>
    </row>
    <row r="2745">
      <c r="A2745" s="4" t="n">
        <v>33834</v>
      </c>
      <c r="B2745" s="4" t="inlineStr">
        <is>
          <t>clstmon-bme-bm55-p06-sn0350</t>
        </is>
      </c>
      <c r="C2745" s="4" t="inlineStr">
        <is>
          <t>W00031886A</t>
        </is>
      </c>
      <c r="D2745" s="6">
        <f>IF(F2745&gt;=5, F2745-5, IF(F2745&lt;5, 0, F2745))</f>
        <v/>
      </c>
      <c r="E2745">
        <f>VLOOKUP(B2745,[1]Namshi!$A:$B,2,0)</f>
        <v/>
      </c>
      <c r="F2745" s="4">
        <f>SUMIFS('Dubai Stock'!I:I,'Dubai Stock'!H:H,Final_UAE!B:B)</f>
        <v/>
      </c>
      <c r="H2745" s="8" t="e">
        <v>#N/A</v>
      </c>
      <c r="I2745" s="8" t="n"/>
    </row>
    <row r="2746">
      <c r="A2746" s="4" t="n">
        <v>33834</v>
      </c>
      <c r="B2746" s="4" t="inlineStr">
        <is>
          <t>costmon-ama-2024-p02-matcha-sn0200</t>
        </is>
      </c>
      <c r="C2746" s="4" t="inlineStr">
        <is>
          <t>W00031886A</t>
        </is>
      </c>
      <c r="D2746" s="6">
        <f>IF(F2746&gt;=5, F2746-5, IF(F2746&lt;5, 0, F2746))</f>
        <v/>
      </c>
      <c r="E2746">
        <f>VLOOKUP(B2746,[1]Namshi!$A:$B,2,0)</f>
        <v/>
      </c>
      <c r="F2746" s="4">
        <f>SUMIFS('Dubai Stock'!I:I,'Dubai Stock'!H:H,Final_UAE!B:B)</f>
        <v/>
      </c>
      <c r="H2746" s="8" t="e">
        <v>#N/A</v>
      </c>
      <c r="I2746" s="8" t="n"/>
    </row>
    <row r="2747">
      <c r="A2747" s="4" t="n">
        <v>33834</v>
      </c>
      <c r="B2747" s="4" t="inlineStr">
        <is>
          <t>costdai-acu-dffr-p10-green-sn0125</t>
        </is>
      </c>
      <c r="C2747" s="4" t="inlineStr">
        <is>
          <t>W00031886A</t>
        </is>
      </c>
      <c r="D2747" s="6">
        <f>IF(F2747&gt;=5, F2747-5, IF(F2747&lt;5, 0, F2747))</f>
        <v/>
      </c>
      <c r="E2747">
        <f>VLOOKUP(B2747,[1]Namshi!$A:$B,2,0)</f>
        <v/>
      </c>
      <c r="F2747" s="4">
        <f>SUMIFS('Dubai Stock'!I:I,'Dubai Stock'!H:H,Final_UAE!B:B)</f>
        <v/>
      </c>
      <c r="H2747" s="8" t="e">
        <v>#N/A</v>
      </c>
      <c r="I2747" s="8" t="n"/>
    </row>
    <row r="2748">
      <c r="A2748" s="4" t="n">
        <v>33834</v>
      </c>
      <c r="B2748" s="4" t="inlineStr">
        <is>
          <t>cltobiw-acu-oasy-p06-sn0025-cn0125-a170</t>
        </is>
      </c>
      <c r="C2748" s="4" t="inlineStr">
        <is>
          <t>W00031886A</t>
        </is>
      </c>
      <c r="D2748" s="6">
        <f>IF(F2748&gt;=5, F2748-5, IF(F2748&lt;5, 0, F2748))</f>
        <v/>
      </c>
      <c r="E2748">
        <f>VLOOKUP(B2748,[1]Namshi!$A:$B,2,0)</f>
        <v/>
      </c>
      <c r="F2748" s="4">
        <f>SUMIFS('Dubai Stock'!I:I,'Dubai Stock'!H:H,Final_UAE!B:B)</f>
        <v/>
      </c>
      <c r="H2748" s="8" t="e">
        <v>#N/A</v>
      </c>
      <c r="I2748" s="8" t="n"/>
    </row>
    <row r="2749">
      <c r="A2749" s="4" t="n">
        <v>33834</v>
      </c>
      <c r="B2749" s="4" t="inlineStr">
        <is>
          <t>clstdai-lay-cont-p90-dazzle-brown-sn0300</t>
        </is>
      </c>
      <c r="C2749" s="4" t="inlineStr">
        <is>
          <t>W00031886A</t>
        </is>
      </c>
      <c r="D2749" s="6">
        <f>IF(F2749&gt;=5, F2749-5, IF(F2749&lt;5, 0, F2749))</f>
        <v/>
      </c>
      <c r="E2749">
        <f>VLOOKUP(B2749,[1]Namshi!$A:$B,2,0)</f>
        <v/>
      </c>
      <c r="F2749" s="4">
        <f>SUMIFS('Dubai Stock'!I:I,'Dubai Stock'!H:H,Final_UAE!B:B)</f>
        <v/>
      </c>
      <c r="H2749" s="8" t="e">
        <v>#N/A</v>
      </c>
      <c r="I2749" s="8" t="n"/>
    </row>
    <row r="2750">
      <c r="A2750" s="4" t="n">
        <v>33834</v>
      </c>
      <c r="B2750" s="4" t="inlineStr">
        <is>
          <t>clstdai-sof-sdai-p30-sn0475</t>
        </is>
      </c>
      <c r="C2750" s="4" t="inlineStr">
        <is>
          <t>W00031886A</t>
        </is>
      </c>
      <c r="D2750" s="6">
        <f>IF(F2750&gt;=5, F2750-5, IF(F2750&lt;5, 0, F2750))</f>
        <v/>
      </c>
      <c r="E2750">
        <f>VLOOKUP(B2750,[1]Namshi!$A:$B,2,0)</f>
        <v/>
      </c>
      <c r="F2750" s="4">
        <f>SUMIFS('Dubai Stock'!I:I,'Dubai Stock'!H:H,Final_UAE!B:B)</f>
        <v/>
      </c>
      <c r="H2750" s="8" t="e">
        <v>#N/A</v>
      </c>
      <c r="I2750" s="8" t="n"/>
    </row>
    <row r="2751">
      <c r="A2751" s="4" t="n">
        <v>33834</v>
      </c>
      <c r="B2751" s="4" t="inlineStr">
        <is>
          <t>costdai-acu-dffr-p10-grayzel-sn0225</t>
        </is>
      </c>
      <c r="C2751" s="4" t="inlineStr">
        <is>
          <t>W00031886A</t>
        </is>
      </c>
      <c r="D2751" s="6">
        <f>IF(F2751&gt;=5, F2751-5, IF(F2751&lt;5, 0, F2751))</f>
        <v/>
      </c>
      <c r="E2751">
        <f>VLOOKUP(B2751,[1]Namshi!$A:$B,2,0)</f>
        <v/>
      </c>
      <c r="F2751" s="4">
        <f>SUMIFS('Dubai Stock'!I:I,'Dubai Stock'!H:H,Final_UAE!B:B)</f>
        <v/>
      </c>
      <c r="H2751" s="8" t="e">
        <v>#N/A</v>
      </c>
      <c r="I2751" s="8" t="n"/>
    </row>
    <row r="2752">
      <c r="A2752" s="4" t="n">
        <v>33834</v>
      </c>
      <c r="B2752" s="4" t="inlineStr">
        <is>
          <t>cost3mo-lay-lens-p02-golden-brown-sn0550</t>
        </is>
      </c>
      <c r="C2752" s="4" t="inlineStr">
        <is>
          <t>W00031886A</t>
        </is>
      </c>
      <c r="D2752" s="6">
        <f>IF(F2752&gt;=5, F2752-5, IF(F2752&lt;5, 0, F2752))</f>
        <v/>
      </c>
      <c r="E2752">
        <f>VLOOKUP(B2752,[1]Namshi!$A:$B,2,0)</f>
        <v/>
      </c>
      <c r="F2752" s="4">
        <f>SUMIFS('Dubai Stock'!I:I,'Dubai Stock'!H:H,Final_UAE!B:B)</f>
        <v/>
      </c>
      <c r="H2752" s="8" t="e">
        <v>#N/A</v>
      </c>
      <c r="I2752" s="8" t="n"/>
    </row>
    <row r="2753">
      <c r="A2753" s="4" t="n">
        <v>33834</v>
      </c>
      <c r="B2753" s="4" t="inlineStr">
        <is>
          <t>clstdai-acu-dfvi-p30-sn0850</t>
        </is>
      </c>
      <c r="C2753" s="4" t="inlineStr">
        <is>
          <t>W00031886A</t>
        </is>
      </c>
      <c r="D2753" s="6">
        <f>IF(F2753&gt;=5, F2753-5, IF(F2753&lt;5, 0, F2753))</f>
        <v/>
      </c>
      <c r="E2753">
        <f>VLOOKUP(B2753,[1]Namshi!$A:$B,2,0)</f>
        <v/>
      </c>
      <c r="F2753" s="4">
        <f>SUMIFS('Dubai Stock'!I:I,'Dubai Stock'!H:H,Final_UAE!B:B)</f>
        <v/>
      </c>
      <c r="H2753" s="8" t="e">
        <v>#N/A</v>
      </c>
      <c r="I2753" s="8" t="n"/>
    </row>
    <row r="2754">
      <c r="A2754" s="4" t="n">
        <v>33834</v>
      </c>
      <c r="B2754" s="4" t="inlineStr">
        <is>
          <t>clstdai-dai-tot1-p30-sp0300</t>
        </is>
      </c>
      <c r="C2754" s="4" t="inlineStr">
        <is>
          <t>W00031886A</t>
        </is>
      </c>
      <c r="D2754" s="6">
        <f>IF(F2754&gt;=5, F2754-5, IF(F2754&lt;5, 0, F2754))</f>
        <v/>
      </c>
      <c r="E2754">
        <f>VLOOKUP(B2754,[1]Namshi!$A:$B,2,0)</f>
        <v/>
      </c>
      <c r="F2754" s="4">
        <f>SUMIFS('Dubai Stock'!I:I,'Dubai Stock'!H:H,Final_UAE!B:B)</f>
        <v/>
      </c>
      <c r="H2754" s="8" t="e">
        <v>#N/A</v>
      </c>
      <c r="I2754" s="8" t="n"/>
    </row>
    <row r="2755">
      <c r="A2755" s="4" t="n">
        <v>33834</v>
      </c>
      <c r="B2755" s="4" t="inlineStr">
        <is>
          <t>cost3mo-lay-lens-p02-forest-green-sp0000</t>
        </is>
      </c>
      <c r="C2755" s="4" t="inlineStr">
        <is>
          <t>W00031886A</t>
        </is>
      </c>
      <c r="D2755" s="6">
        <f>IF(F2755&gt;=5, F2755-5, IF(F2755&lt;5, 0, F2755))</f>
        <v/>
      </c>
      <c r="E2755">
        <f>VLOOKUP(B2755,[1]Namshi!$A:$B,2,0)</f>
        <v/>
      </c>
      <c r="F2755" s="4">
        <f>SUMIFS('Dubai Stock'!I:I,'Dubai Stock'!H:H,Final_UAE!B:B)</f>
        <v/>
      </c>
      <c r="H2755" s="8" t="e">
        <v>#N/A</v>
      </c>
      <c r="I2755" s="8" t="n"/>
    </row>
    <row r="2756">
      <c r="A2756" s="4" t="n">
        <v>33834</v>
      </c>
      <c r="B2756" s="4" t="inlineStr">
        <is>
          <t>clstdai-acu-omax-p90-sp0475</t>
        </is>
      </c>
      <c r="C2756" s="4" t="inlineStr">
        <is>
          <t>W00031886A</t>
        </is>
      </c>
      <c r="D2756" s="6">
        <f>IF(F2756&gt;=5, F2756-5, IF(F2756&lt;5, 0, F2756))</f>
        <v/>
      </c>
      <c r="E2756">
        <f>VLOOKUP(B2756,[1]Namshi!$A:$B,2,0)</f>
        <v/>
      </c>
      <c r="F2756" s="4">
        <f>SUMIFS('Dubai Stock'!I:I,'Dubai Stock'!H:H,Final_UAE!B:B)</f>
        <v/>
      </c>
      <c r="H2756" s="8" t="e">
        <v>#N/A</v>
      </c>
      <c r="I2756" s="8" t="n"/>
    </row>
    <row r="2757">
      <c r="A2757" s="4" t="n">
        <v>33834</v>
      </c>
      <c r="B2757" s="4" t="inlineStr">
        <is>
          <t>clstdai-acu-dfrb-p90-sn0275</t>
        </is>
      </c>
      <c r="C2757" s="4" t="inlineStr">
        <is>
          <t>W00031886A</t>
        </is>
      </c>
      <c r="D2757" s="6">
        <f>IF(F2757&gt;=5, F2757-5, IF(F2757&lt;5, 0, F2757))</f>
        <v/>
      </c>
      <c r="E2757">
        <f>VLOOKUP(B2757,[1]Namshi!$A:$B,2,0)</f>
        <v/>
      </c>
      <c r="F2757" s="4">
        <f>SUMIFS('Dubai Stock'!I:I,'Dubai Stock'!H:H,Final_UAE!B:B)</f>
        <v/>
      </c>
      <c r="H2757" s="8" t="e">
        <v>#N/A</v>
      </c>
      <c r="I2757" s="8" t="n"/>
    </row>
    <row r="2758">
      <c r="A2758" s="4" t="n">
        <v>33834</v>
      </c>
      <c r="B2758" s="4" t="inlineStr">
        <is>
          <t>clstdai-lay-cont-p30-dazzle-brown-sn0225</t>
        </is>
      </c>
      <c r="C2758" s="4" t="inlineStr">
        <is>
          <t>W00031886A</t>
        </is>
      </c>
      <c r="D2758" s="6">
        <f>IF(F2758&gt;=5, F2758-5, IF(F2758&lt;5, 0, F2758))</f>
        <v/>
      </c>
      <c r="E2758">
        <f>VLOOKUP(B2758,[1]Namshi!$A:$B,2,0)</f>
        <v/>
      </c>
      <c r="F2758" s="4">
        <f>SUMIFS('Dubai Stock'!I:I,'Dubai Stock'!H:H,Final_UAE!B:B)</f>
        <v/>
      </c>
      <c r="H2758" s="8" t="e">
        <v>#N/A</v>
      </c>
      <c r="I2758" s="8" t="n"/>
    </row>
    <row r="2759">
      <c r="A2759" s="4" t="n">
        <v>33834</v>
      </c>
      <c r="B2759" s="4" t="inlineStr">
        <is>
          <t>fc50218-bab-000504-0218-51</t>
        </is>
      </c>
      <c r="C2759" s="4" t="inlineStr">
        <is>
          <t>W00031886A</t>
        </is>
      </c>
      <c r="D2759" s="6">
        <f>IF(F2759&gt;=5, F2759-5, IF(F2759&lt;5, 0, F2759))</f>
        <v/>
      </c>
      <c r="E2759">
        <f>VLOOKUP(B2759,[1]Namshi!$A:$B,2,0)</f>
        <v/>
      </c>
      <c r="F2759" s="4">
        <f>SUMIFS('Dubai Stock'!I:I,'Dubai Stock'!H:H,Final_UAE!B:B)</f>
        <v/>
      </c>
      <c r="H2759" s="8" t="e">
        <v>#N/A</v>
      </c>
      <c r="I2759" s="8" t="n"/>
    </row>
    <row r="2760">
      <c r="A2760" s="4" t="n">
        <v>33834</v>
      </c>
      <c r="B2760" s="4" t="inlineStr">
        <is>
          <t>sw30504-bla-000203-2904-59</t>
        </is>
      </c>
      <c r="C2760" s="4" t="inlineStr">
        <is>
          <t>W00031886A</t>
        </is>
      </c>
      <c r="D2760" s="6">
        <f>IF(F2760&gt;=5, F2760-5, IF(F2760&lt;5, 0, F2760))</f>
        <v/>
      </c>
      <c r="E2760">
        <f>VLOOKUP(B2760,[1]Namshi!$A:$B,2,0)</f>
        <v/>
      </c>
      <c r="F2760" s="4">
        <f>SUMIFS('Dubai Stock'!I:I,'Dubai Stock'!H:H,Final_UAE!B:B)</f>
        <v/>
      </c>
      <c r="H2760" s="8" t="e">
        <v>#N/A</v>
      </c>
    </row>
    <row r="2761">
      <c r="A2761" s="4" t="n">
        <v>33834</v>
      </c>
      <c r="B2761" s="4" t="inlineStr">
        <is>
          <t>costmon-ama-2024-p02-nmr-sn0100</t>
        </is>
      </c>
      <c r="C2761" s="4" t="inlineStr">
        <is>
          <t>W00031886A</t>
        </is>
      </c>
      <c r="D2761" s="6">
        <f>IF(F2761&gt;=5, F2761-5, IF(F2761&lt;5, 0, F2761))</f>
        <v/>
      </c>
      <c r="E2761">
        <f>VLOOKUP(B2761,[1]Namshi!$A:$B,2,0)</f>
        <v/>
      </c>
      <c r="F2761" s="4">
        <f>SUMIFS('Dubai Stock'!I:I,'Dubai Stock'!H:H,Final_UAE!B:B)</f>
        <v/>
      </c>
      <c r="H2761" s="8" t="e">
        <v>#N/A</v>
      </c>
      <c r="I2761" s="8" t="n"/>
    </row>
    <row r="2762">
      <c r="A2762" s="4" t="n">
        <v>33834</v>
      </c>
      <c r="B2762" s="4" t="inlineStr">
        <is>
          <t>costdai-acu-dffr-p10-green-sn0175</t>
        </is>
      </c>
      <c r="C2762" s="4" t="inlineStr">
        <is>
          <t>W00031886A</t>
        </is>
      </c>
      <c r="D2762" s="6">
        <f>IF(F2762&gt;=5, F2762-5, IF(F2762&lt;5, 0, F2762))</f>
        <v/>
      </c>
      <c r="E2762">
        <f>VLOOKUP(B2762,[1]Namshi!$A:$B,2,0)</f>
        <v/>
      </c>
      <c r="F2762" s="4">
        <f>SUMIFS('Dubai Stock'!I:I,'Dubai Stock'!H:H,Final_UAE!B:B)</f>
        <v/>
      </c>
      <c r="H2762" s="8" t="e">
        <v>#N/A</v>
      </c>
      <c r="I2762" s="8" t="n"/>
    </row>
    <row r="2763">
      <c r="A2763" s="4" t="n">
        <v>33834</v>
      </c>
      <c r="B2763" s="4" t="inlineStr">
        <is>
          <t>clstdai-eve-elit-p90-sp0700</t>
        </is>
      </c>
      <c r="C2763" s="4" t="inlineStr">
        <is>
          <t>W00031886A</t>
        </is>
      </c>
      <c r="D2763" s="6">
        <f>IF(F2763&gt;=5, F2763-5, IF(F2763&lt;5, 0, F2763))</f>
        <v/>
      </c>
      <c r="E2763">
        <f>VLOOKUP(B2763,[1]Namshi!$A:$B,2,0)</f>
        <v/>
      </c>
      <c r="F2763" s="4">
        <f>SUMIFS('Dubai Stock'!I:I,'Dubai Stock'!H:H,Final_UAE!B:B)</f>
        <v/>
      </c>
      <c r="H2763" s="8" t="n">
        <v>729</v>
      </c>
      <c r="I2763" s="8" t="n">
        <v>357</v>
      </c>
    </row>
    <row r="2764">
      <c r="A2764" s="4" t="n">
        <v>33834</v>
      </c>
      <c r="B2764" s="4" t="inlineStr">
        <is>
          <t>clstdai-acu-dfna-p60-sn0575</t>
        </is>
      </c>
      <c r="C2764" s="4" t="inlineStr">
        <is>
          <t>W00031886A</t>
        </is>
      </c>
      <c r="D2764" s="6">
        <f>IF(F2764&gt;=5, F2764-5, IF(F2764&lt;5, 0, F2764))</f>
        <v/>
      </c>
      <c r="E2764">
        <f>VLOOKUP(B2764,[1]Namshi!$A:$B,2,0)</f>
        <v/>
      </c>
      <c r="F2764" s="4">
        <f>SUMIFS('Dubai Stock'!I:I,'Dubai Stock'!H:H,Final_UAE!B:B)</f>
        <v/>
      </c>
      <c r="H2764" s="8" t="e">
        <v>#N/A</v>
      </c>
      <c r="I2764" s="8" t="n"/>
    </row>
    <row r="2765">
      <c r="A2765" s="4" t="n">
        <v>33834</v>
      </c>
      <c r="B2765" s="4" t="inlineStr">
        <is>
          <t>clstmon-ava-avai-p06-sn0525</t>
        </is>
      </c>
      <c r="C2765" s="4" t="inlineStr">
        <is>
          <t>W00031886A</t>
        </is>
      </c>
      <c r="D2765" s="6">
        <f>IF(F2765&gt;=5, F2765-5, IF(F2765&lt;5, 0, F2765))</f>
        <v/>
      </c>
      <c r="E2765">
        <f>VLOOKUP(B2765,[1]Namshi!$A:$B,2,0)</f>
        <v/>
      </c>
      <c r="F2765" s="4">
        <f>SUMIFS('Dubai Stock'!I:I,'Dubai Stock'!H:H,Final_UAE!B:B)</f>
        <v/>
      </c>
      <c r="H2765" s="8" t="e">
        <v>#N/A</v>
      </c>
      <c r="I2765" s="8" t="n"/>
    </row>
    <row r="2766">
      <c r="A2766" s="4" t="n">
        <v>33834</v>
      </c>
      <c r="B2766" s="4" t="inlineStr">
        <is>
          <t>clstbiw-acu-cle-p06-sn0525</t>
        </is>
      </c>
      <c r="C2766" s="4" t="inlineStr">
        <is>
          <t>W00031886A</t>
        </is>
      </c>
      <c r="D2766" s="6">
        <f>IF(F2766&gt;=5, F2766-5, IF(F2766&lt;5, 0, F2766))</f>
        <v/>
      </c>
      <c r="E2766">
        <f>VLOOKUP(B2766,[1]Namshi!$A:$B,2,0)</f>
        <v/>
      </c>
      <c r="F2766" s="4">
        <f>SUMIFS('Dubai Stock'!I:I,'Dubai Stock'!H:H,Final_UAE!B:B)</f>
        <v/>
      </c>
      <c r="H2766" s="8" t="e">
        <v>#N/A</v>
      </c>
      <c r="I2766" s="8" t="n"/>
    </row>
    <row r="2767">
      <c r="A2767" s="4" t="n">
        <v>33834</v>
      </c>
      <c r="B2767" s="4" t="inlineStr">
        <is>
          <t>clstbiw-acu-oasy-p06-sp0800</t>
        </is>
      </c>
      <c r="C2767" s="4" t="inlineStr">
        <is>
          <t>W00031886A</t>
        </is>
      </c>
      <c r="D2767" s="6">
        <f>IF(F2767&gt;=5, F2767-5, IF(F2767&lt;5, 0, F2767))</f>
        <v/>
      </c>
      <c r="E2767">
        <f>VLOOKUP(B2767,[1]Namshi!$A:$B,2,0)</f>
        <v/>
      </c>
      <c r="F2767" s="4">
        <f>SUMIFS('Dubai Stock'!I:I,'Dubai Stock'!H:H,Final_UAE!B:B)</f>
        <v/>
      </c>
      <c r="H2767" s="8" t="e">
        <v>#N/A</v>
      </c>
      <c r="I2767" s="8" t="n"/>
    </row>
    <row r="2768">
      <c r="A2768" s="4" t="n">
        <v>33834</v>
      </c>
      <c r="B2768" s="4" t="inlineStr">
        <is>
          <t>clstdai-acu-omax-p90-sn0750</t>
        </is>
      </c>
      <c r="C2768" s="4" t="inlineStr">
        <is>
          <t>W00031886A</t>
        </is>
      </c>
      <c r="D2768" s="6">
        <f>IF(F2768&gt;=5, F2768-5, IF(F2768&lt;5, 0, F2768))</f>
        <v/>
      </c>
      <c r="E2768">
        <f>VLOOKUP(B2768,[1]Namshi!$A:$B,2,0)</f>
        <v/>
      </c>
      <c r="F2768" s="4">
        <f>SUMIFS('Dubai Stock'!I:I,'Dubai Stock'!H:H,Final_UAE!B:B)</f>
        <v/>
      </c>
      <c r="H2768" s="8" t="e">
        <v>#N/A</v>
      </c>
      <c r="I2768" s="8" t="n"/>
    </row>
    <row r="2769">
      <c r="A2769" s="4" t="n">
        <v>33834</v>
      </c>
      <c r="B2769" s="4" t="inlineStr">
        <is>
          <t>su50106-rov-8002-13-11-53</t>
        </is>
      </c>
      <c r="C2769" s="4" t="inlineStr">
        <is>
          <t>W00031886A</t>
        </is>
      </c>
      <c r="D2769" s="6">
        <f>IF(F2769&gt;=5, F2769-5, IF(F2769&lt;5, 0, F2769))</f>
        <v/>
      </c>
      <c r="E2769">
        <f>VLOOKUP(B2769,[1]Namshi!$A:$B,2,0)</f>
        <v/>
      </c>
      <c r="F2769" s="4">
        <f>SUMIFS('Dubai Stock'!I:I,'Dubai Stock'!H:H,Final_UAE!B:B)</f>
        <v/>
      </c>
      <c r="H2769" s="8" t="e">
        <v>#N/A</v>
      </c>
      <c r="I2769" s="8" t="n"/>
    </row>
    <row r="2770">
      <c r="A2770" s="4" t="n">
        <v>33834</v>
      </c>
      <c r="B2770" s="4" t="inlineStr">
        <is>
          <t>sc50107-bab-000504-0107-51</t>
        </is>
      </c>
      <c r="C2770" s="4" t="inlineStr">
        <is>
          <t>W00031886A</t>
        </is>
      </c>
      <c r="D2770" s="6">
        <f>IF(F2770&gt;=5, F2770-5, IF(F2770&lt;5, 0, F2770))</f>
        <v/>
      </c>
      <c r="E2770">
        <f>VLOOKUP(B2770,[1]Namshi!$A:$B,2,0)</f>
        <v/>
      </c>
      <c r="F2770" s="4">
        <f>SUMIFS('Dubai Stock'!I:I,'Dubai Stock'!H:H,Final_UAE!B:B)</f>
        <v/>
      </c>
      <c r="H2770" s="8" t="e">
        <v>#N/A</v>
      </c>
    </row>
    <row r="2771">
      <c r="A2771" s="4" t="n">
        <v>33834</v>
      </c>
      <c r="B2771" s="4" t="inlineStr">
        <is>
          <t>fm50218-spc-000746-0218-51</t>
        </is>
      </c>
      <c r="C2771" s="4" t="inlineStr">
        <is>
          <t>W00031886A</t>
        </is>
      </c>
      <c r="D2771" s="6">
        <f>IF(F2771&gt;=5, F2771-5, IF(F2771&lt;5, 0, F2771))</f>
        <v/>
      </c>
      <c r="E2771">
        <f>VLOOKUP(B2771,[1]Namshi!$A:$B,2,0)</f>
        <v/>
      </c>
      <c r="F2771" s="4">
        <f>SUMIFS('Dubai Stock'!I:I,'Dubai Stock'!H:H,Final_UAE!B:B)</f>
        <v/>
      </c>
      <c r="H2771" s="8" t="e">
        <v>#N/A</v>
      </c>
      <c r="I2771" s="8" t="n"/>
    </row>
    <row r="2772">
      <c r="A2772" s="4" t="n">
        <v>33834</v>
      </c>
      <c r="B2772" s="4" t="inlineStr">
        <is>
          <t>clstdai-acu-omax-p30-sn0500</t>
        </is>
      </c>
      <c r="C2772" s="4" t="inlineStr">
        <is>
          <t>W00031886A</t>
        </is>
      </c>
      <c r="D2772" s="6">
        <f>IF(F2772&gt;=5, F2772-5, IF(F2772&lt;5, 0, F2772))</f>
        <v/>
      </c>
      <c r="E2772">
        <f>VLOOKUP(B2772,[1]Namshi!$A:$B,2,0)</f>
        <v/>
      </c>
      <c r="F2772" s="4">
        <f>SUMIFS('Dubai Stock'!I:I,'Dubai Stock'!H:H,Final_UAE!B:B)</f>
        <v/>
      </c>
      <c r="H2772" s="8" t="e">
        <v>#N/A</v>
      </c>
      <c r="I2772" s="8" t="n"/>
    </row>
    <row r="2773">
      <c r="A2773" s="4" t="n">
        <v>33834</v>
      </c>
      <c r="B2773" s="4" t="inlineStr">
        <is>
          <t>clstdai-bme-1day-p30-sn0600</t>
        </is>
      </c>
      <c r="C2773" s="4" t="inlineStr">
        <is>
          <t>W00031886A</t>
        </is>
      </c>
      <c r="D2773" s="6">
        <f>IF(F2773&gt;=5, F2773-5, IF(F2773&lt;5, 0, F2773))</f>
        <v/>
      </c>
      <c r="E2773">
        <f>VLOOKUP(B2773,[1]Namshi!$A:$B,2,0)</f>
        <v/>
      </c>
      <c r="F2773" s="4">
        <f>SUMIFS('Dubai Stock'!I:I,'Dubai Stock'!H:H,Final_UAE!B:B)</f>
        <v/>
      </c>
      <c r="H2773" s="8" t="e">
        <v>#N/A</v>
      </c>
      <c r="I2773" s="8" t="n"/>
    </row>
    <row r="2774">
      <c r="A2774" s="4" t="n">
        <v>33834</v>
      </c>
      <c r="B2774" s="4" t="inlineStr">
        <is>
          <t>cost3mo-lay-2021-p02-polar-gray-sn0600</t>
        </is>
      </c>
      <c r="C2774" s="4" t="inlineStr">
        <is>
          <t>W00031886A</t>
        </is>
      </c>
      <c r="D2774" s="6">
        <f>IF(F2774&gt;=5, F2774-5, IF(F2774&lt;5, 0, F2774))</f>
        <v/>
      </c>
      <c r="E2774">
        <f>VLOOKUP(B2774,[1]Namshi!$A:$B,2,0)</f>
        <v/>
      </c>
      <c r="F2774" s="4">
        <f>SUMIFS('Dubai Stock'!I:I,'Dubai Stock'!H:H,Final_UAE!B:B)</f>
        <v/>
      </c>
      <c r="H2774" s="8" t="e">
        <v>#N/A</v>
      </c>
      <c r="I2774" s="8" t="n"/>
    </row>
    <row r="2775">
      <c r="A2775" s="4" t="n">
        <v>33834</v>
      </c>
      <c r="B2775" s="4" t="inlineStr">
        <is>
          <t>clstdai-acu-mois-p60-sn0200</t>
        </is>
      </c>
      <c r="C2775" s="4" t="inlineStr">
        <is>
          <t>W00031886A</t>
        </is>
      </c>
      <c r="D2775" s="6">
        <f>IF(F2775&gt;=5, F2775-5, IF(F2775&lt;5, 0, F2775))</f>
        <v/>
      </c>
      <c r="E2775">
        <f>VLOOKUP(B2775,[1]Namshi!$A:$B,2,0)</f>
        <v/>
      </c>
      <c r="F2775" s="4">
        <f>SUMIFS('Dubai Stock'!I:I,'Dubai Stock'!H:H,Final_UAE!B:B)</f>
        <v/>
      </c>
      <c r="H2775" s="8" t="e">
        <v>#N/A</v>
      </c>
      <c r="I2775" s="8" t="n"/>
    </row>
    <row r="2776">
      <c r="A2776" s="4" t="n">
        <v>33834</v>
      </c>
      <c r="B2776" s="4" t="inlineStr">
        <is>
          <t>sw30107-bla-000222-0101-57</t>
        </is>
      </c>
      <c r="C2776" s="4" t="inlineStr">
        <is>
          <t>W00031886A</t>
        </is>
      </c>
      <c r="D2776" s="6">
        <f>IF(F2776&gt;=5, F2776-5, IF(F2776&lt;5, 0, F2776))</f>
        <v/>
      </c>
      <c r="E2776">
        <f>VLOOKUP(B2776,[1]Namshi!$A:$B,2,0)</f>
        <v/>
      </c>
      <c r="F2776" s="4">
        <f>SUMIFS('Dubai Stock'!I:I,'Dubai Stock'!H:H,Final_UAE!B:B)</f>
        <v/>
      </c>
      <c r="H2776" s="8" t="e">
        <v>#N/A</v>
      </c>
    </row>
    <row r="2777">
      <c r="A2777" s="4" t="n">
        <v>33834</v>
      </c>
      <c r="B2777" s="4" t="inlineStr">
        <is>
          <t>sw40107-bla-000330-0107-53</t>
        </is>
      </c>
      <c r="C2777" s="4" t="inlineStr">
        <is>
          <t>W00031886A</t>
        </is>
      </c>
      <c r="D2777" s="6">
        <f>IF(F2777&gt;=5, F2777-5, IF(F2777&lt;5, 0, F2777))</f>
        <v/>
      </c>
      <c r="E2777">
        <f>VLOOKUP(B2777,[1]Namshi!$A:$B,2,0)</f>
        <v/>
      </c>
      <c r="F2777" s="4">
        <f>SUMIFS('Dubai Stock'!I:I,'Dubai Stock'!H:H,Final_UAE!B:B)</f>
        <v/>
      </c>
      <c r="H2777" s="8" t="e">
        <v>#N/A</v>
      </c>
    </row>
    <row r="2778">
      <c r="A2778" s="4" t="n">
        <v>33834</v>
      </c>
      <c r="B2778" s="4" t="inlineStr">
        <is>
          <t>cltobiw-acu-oasy-p06-sn0575-cn0125-a010</t>
        </is>
      </c>
      <c r="C2778" s="4" t="inlineStr">
        <is>
          <t>W00031886A</t>
        </is>
      </c>
      <c r="D2778" s="6">
        <f>IF(F2778&gt;=5, F2778-5, IF(F2778&lt;5, 0, F2778))</f>
        <v/>
      </c>
      <c r="E2778">
        <f>VLOOKUP(B2778,[1]Namshi!$A:$B,2,0)</f>
        <v/>
      </c>
      <c r="F2778" s="4">
        <f>SUMIFS('Dubai Stock'!I:I,'Dubai Stock'!H:H,Final_UAE!B:B)</f>
        <v/>
      </c>
      <c r="H2778" s="8" t="e">
        <v>#N/A</v>
      </c>
      <c r="I2778" s="8" t="n"/>
    </row>
    <row r="2779">
      <c r="A2779" s="4" t="n">
        <v>33834</v>
      </c>
      <c r="B2779" s="4" t="inlineStr">
        <is>
          <t>clstdai-acu-oasy-p120-sn0100</t>
        </is>
      </c>
      <c r="C2779" s="4" t="inlineStr">
        <is>
          <t>W00031886A</t>
        </is>
      </c>
      <c r="D2779" s="6">
        <f>IF(F2779&gt;=5, F2779-5, IF(F2779&lt;5, 0, F2779))</f>
        <v/>
      </c>
      <c r="E2779">
        <f>VLOOKUP(B2779,[1]Namshi!$A:$B,2,0)</f>
        <v/>
      </c>
      <c r="F2779" s="4">
        <f>SUMIFS('Dubai Stock'!I:I,'Dubai Stock'!H:H,Final_UAE!B:B)</f>
        <v/>
      </c>
      <c r="H2779" s="8" t="e">
        <v>#N/A</v>
      </c>
      <c r="I2779" s="8" t="n"/>
    </row>
    <row r="2780">
      <c r="A2780" s="4" t="n">
        <v>33834</v>
      </c>
      <c r="B2780" s="4" t="inlineStr">
        <is>
          <t>clstdai-lay-cont-p90-dazzle-black-sn0225</t>
        </is>
      </c>
      <c r="C2780" s="4" t="inlineStr">
        <is>
          <t>W00031886A</t>
        </is>
      </c>
      <c r="D2780" s="6">
        <f>IF(F2780&gt;=5, F2780-5, IF(F2780&lt;5, 0, F2780))</f>
        <v/>
      </c>
      <c r="E2780">
        <f>VLOOKUP(B2780,[1]Namshi!$A:$B,2,0)</f>
        <v/>
      </c>
      <c r="F2780" s="4">
        <f>SUMIFS('Dubai Stock'!I:I,'Dubai Stock'!H:H,Final_UAE!B:B)</f>
        <v/>
      </c>
      <c r="H2780" s="8" t="e">
        <v>#N/A</v>
      </c>
      <c r="I2780" s="8" t="n"/>
    </row>
    <row r="2781">
      <c r="A2781" s="4" t="n">
        <v>33834</v>
      </c>
      <c r="B2781" s="4" t="inlineStr">
        <is>
          <t>sw40107-bla-000202-1707-58</t>
        </is>
      </c>
      <c r="C2781" s="4" t="inlineStr">
        <is>
          <t>W00031886A</t>
        </is>
      </c>
      <c r="D2781" s="6">
        <f>IF(F2781&gt;=5, F2781-5, IF(F2781&lt;5, 0, F2781))</f>
        <v/>
      </c>
      <c r="E2781">
        <f>VLOOKUP(B2781,[1]Namshi!$A:$B,2,0)</f>
        <v/>
      </c>
      <c r="F2781" s="4">
        <f>SUMIFS('Dubai Stock'!I:I,'Dubai Stock'!H:H,Final_UAE!B:B)</f>
        <v/>
      </c>
      <c r="H2781" s="8" t="e">
        <v>#N/A</v>
      </c>
    </row>
    <row r="2782">
      <c r="A2782" s="4" t="n">
        <v>33834</v>
      </c>
      <c r="B2782" s="4" t="inlineStr">
        <is>
          <t>cost3mo-lay-2021-p02-polar-gray-sn0050</t>
        </is>
      </c>
      <c r="C2782" s="4" t="inlineStr">
        <is>
          <t>W00031886A</t>
        </is>
      </c>
      <c r="D2782" s="6">
        <f>IF(F2782&gt;=5, F2782-5, IF(F2782&lt;5, 0, F2782))</f>
        <v/>
      </c>
      <c r="E2782">
        <f>VLOOKUP(B2782,[1]Namshi!$A:$B,2,0)</f>
        <v/>
      </c>
      <c r="F2782" s="4">
        <f>SUMIFS('Dubai Stock'!I:I,'Dubai Stock'!H:H,Final_UAE!B:B)</f>
        <v/>
      </c>
      <c r="H2782" s="8" t="e">
        <v>#N/A</v>
      </c>
      <c r="I2782" s="8" t="n"/>
    </row>
    <row r="2783">
      <c r="A2783" s="4" t="n">
        <v>33834</v>
      </c>
      <c r="B2783" s="4" t="inlineStr">
        <is>
          <t>clstdai-eve-elit-p30-sp0750</t>
        </is>
      </c>
      <c r="C2783" s="4" t="inlineStr">
        <is>
          <t>W00031886A</t>
        </is>
      </c>
      <c r="D2783" s="6">
        <f>IF(F2783&gt;=5, F2783-5, IF(F2783&lt;5, 0, F2783))</f>
        <v/>
      </c>
      <c r="E2783">
        <f>VLOOKUP(B2783,[1]Namshi!$A:$B,2,0)</f>
        <v/>
      </c>
      <c r="F2783" s="4">
        <f>SUMIFS('Dubai Stock'!I:I,'Dubai Stock'!H:H,Final_UAE!B:B)</f>
        <v/>
      </c>
      <c r="H2783" s="8" t="n">
        <v>261</v>
      </c>
      <c r="I2783" s="8" t="n">
        <v>146.3</v>
      </c>
    </row>
    <row r="2784">
      <c r="A2784" s="4" t="n">
        <v>33834</v>
      </c>
      <c r="B2784" s="4" t="inlineStr">
        <is>
          <t>sacchan-30s-chain144-gld-lucile-gold-pearl</t>
        </is>
      </c>
      <c r="C2784" s="4" t="inlineStr">
        <is>
          <t>W00031886A</t>
        </is>
      </c>
      <c r="D2784" s="6">
        <f>IF(F2784&gt;=5, F2784-5, IF(F2784&lt;5, 0, F2784))</f>
        <v/>
      </c>
      <c r="E2784">
        <f>VLOOKUP(B2784,[1]Namshi!$A:$B,2,0)</f>
        <v/>
      </c>
      <c r="F2784" s="4">
        <f>SUMIFS('Dubai Stock'!I:I,'Dubai Stock'!H:H,Final_UAE!B:B)</f>
        <v/>
      </c>
      <c r="H2784" s="8" t="e">
        <v>#N/A</v>
      </c>
      <c r="I2784" s="8" t="n"/>
    </row>
    <row r="2785">
      <c r="A2785" s="4" t="n">
        <v>33834</v>
      </c>
      <c r="B2785" s="4" t="inlineStr">
        <is>
          <t>costdai-acu-dffr-p10-blue-sn0250</t>
        </is>
      </c>
      <c r="C2785" s="4" t="inlineStr">
        <is>
          <t>W00031886A</t>
        </is>
      </c>
      <c r="D2785" s="6">
        <f>IF(F2785&gt;=5, F2785-5, IF(F2785&lt;5, 0, F2785))</f>
        <v/>
      </c>
      <c r="E2785">
        <f>VLOOKUP(B2785,[1]Namshi!$A:$B,2,0)</f>
        <v/>
      </c>
      <c r="F2785" s="4">
        <f>SUMIFS('Dubai Stock'!I:I,'Dubai Stock'!H:H,Final_UAE!B:B)</f>
        <v/>
      </c>
      <c r="H2785" s="8" t="e">
        <v>#N/A</v>
      </c>
      <c r="I2785" s="8" t="n"/>
    </row>
    <row r="2786">
      <c r="A2786" s="4" t="n">
        <v>33834</v>
      </c>
      <c r="B2786" s="4" t="inlineStr">
        <is>
          <t>cost3mo-lay-2021-p02-willow-green-sn0175</t>
        </is>
      </c>
      <c r="C2786" s="4" t="inlineStr">
        <is>
          <t>W00031886A</t>
        </is>
      </c>
      <c r="D2786" s="6">
        <f>IF(F2786&gt;=5, F2786-5, IF(F2786&lt;5, 0, F2786))</f>
        <v/>
      </c>
      <c r="E2786">
        <f>VLOOKUP(B2786,[1]Namshi!$A:$B,2,0)</f>
        <v/>
      </c>
      <c r="F2786" s="4">
        <f>SUMIFS('Dubai Stock'!I:I,'Dubai Stock'!H:H,Final_UAE!B:B)</f>
        <v/>
      </c>
      <c r="H2786" s="8" t="e">
        <v>#N/A</v>
      </c>
      <c r="I2786" s="8" t="n"/>
    </row>
    <row r="2787">
      <c r="A2787" s="4" t="n">
        <v>33834</v>
      </c>
      <c r="B2787" s="4" t="inlineStr">
        <is>
          <t>sw30107-bla-000311-0107-58</t>
        </is>
      </c>
      <c r="C2787" s="4" t="inlineStr">
        <is>
          <t>W00031886A</t>
        </is>
      </c>
      <c r="D2787" s="6">
        <f>IF(F2787&gt;=5, F2787-5, IF(F2787&lt;5, 0, F2787))</f>
        <v/>
      </c>
      <c r="E2787">
        <f>VLOOKUP(B2787,[1]Namshi!$A:$B,2,0)</f>
        <v/>
      </c>
      <c r="F2787" s="4">
        <f>SUMIFS('Dubai Stock'!I:I,'Dubai Stock'!H:H,Final_UAE!B:B)</f>
        <v/>
      </c>
      <c r="H2787" s="8" t="e">
        <v>#N/A</v>
      </c>
    </row>
    <row r="2788">
      <c r="A2788" s="4" t="n">
        <v>33834</v>
      </c>
      <c r="B2788" s="4" t="inlineStr">
        <is>
          <t>clstdai-acu-omax-p30-sn0325</t>
        </is>
      </c>
      <c r="C2788" s="4" t="inlineStr">
        <is>
          <t>W00031886A</t>
        </is>
      </c>
      <c r="D2788" s="6">
        <f>IF(F2788&gt;=5, F2788-5, IF(F2788&lt;5, 0, F2788))</f>
        <v/>
      </c>
      <c r="E2788">
        <f>VLOOKUP(B2788,[1]Namshi!$A:$B,2,0)</f>
        <v/>
      </c>
      <c r="F2788" s="4">
        <f>SUMIFS('Dubai Stock'!I:I,'Dubai Stock'!H:H,Final_UAE!B:B)</f>
        <v/>
      </c>
      <c r="H2788" s="8" t="e">
        <v>#N/A</v>
      </c>
      <c r="I2788" s="8" t="n"/>
    </row>
    <row r="2789">
      <c r="A2789" s="4" t="n">
        <v>33834</v>
      </c>
      <c r="B2789" s="4" t="inlineStr">
        <is>
          <t>clstdai-dai-aqua-p30-sp0500</t>
        </is>
      </c>
      <c r="C2789" s="4" t="inlineStr">
        <is>
          <t>W00031886A</t>
        </is>
      </c>
      <c r="D2789" s="6">
        <f>IF(F2789&gt;=5, F2789-5, IF(F2789&lt;5, 0, F2789))</f>
        <v/>
      </c>
      <c r="E2789">
        <f>VLOOKUP(B2789,[1]Namshi!$A:$B,2,0)</f>
        <v/>
      </c>
      <c r="F2789" s="4">
        <f>SUMIFS('Dubai Stock'!I:I,'Dubai Stock'!H:H,Final_UAE!B:B)</f>
        <v/>
      </c>
      <c r="H2789" s="8" t="e">
        <v>#N/A</v>
      </c>
      <c r="I2789" s="8" t="n"/>
    </row>
    <row r="2790">
      <c r="A2790" s="4" t="n">
        <v>33834</v>
      </c>
      <c r="B2790" s="4" t="inlineStr">
        <is>
          <t>su60704-30s-000437-0704-53</t>
        </is>
      </c>
      <c r="C2790" s="4" t="inlineStr">
        <is>
          <t>W00031886A</t>
        </is>
      </c>
      <c r="D2790" s="6">
        <f>IF(F2790&gt;=5, F2790-5, IF(F2790&lt;5, 0, F2790))</f>
        <v/>
      </c>
      <c r="E2790">
        <f>VLOOKUP(B2790,[1]Namshi!$A:$B,2,0)</f>
        <v/>
      </c>
      <c r="F2790" s="4">
        <f>SUMIFS('Dubai Stock'!I:I,'Dubai Stock'!H:H,Final_UAE!B:B)</f>
        <v/>
      </c>
      <c r="H2790" s="8" t="e">
        <v>#N/A</v>
      </c>
    </row>
    <row r="2791">
      <c r="A2791" s="4" t="n">
        <v>33834</v>
      </c>
      <c r="B2791" s="4" t="inlineStr">
        <is>
          <t>clstdai-eve-elit-p30-sn0125</t>
        </is>
      </c>
      <c r="C2791" s="4" t="inlineStr">
        <is>
          <t>W00031886A</t>
        </is>
      </c>
      <c r="D2791" s="6">
        <f>IF(F2791&gt;=5, F2791-5, IF(F2791&lt;5, 0, F2791))</f>
        <v/>
      </c>
      <c r="E2791">
        <f>VLOOKUP(B2791,[1]Namshi!$A:$B,2,0)</f>
        <v/>
      </c>
      <c r="F2791" s="4">
        <f>SUMIFS('Dubai Stock'!I:I,'Dubai Stock'!H:H,Final_UAE!B:B)</f>
        <v/>
      </c>
      <c r="H2791" s="8" t="n">
        <v>261</v>
      </c>
      <c r="I2791" s="8" t="n">
        <v>146.3</v>
      </c>
    </row>
    <row r="2792">
      <c r="A2792" s="4" t="n">
        <v>33834</v>
      </c>
      <c r="B2792" s="4" t="inlineStr">
        <is>
          <t>cost3mo-lay-2024-p02-moon-gray-sn0150</t>
        </is>
      </c>
      <c r="C2792" s="4" t="inlineStr">
        <is>
          <t>W00031886A</t>
        </is>
      </c>
      <c r="D2792" s="6">
        <f>IF(F2792&gt;=5, F2792-5, IF(F2792&lt;5, 0, F2792))</f>
        <v/>
      </c>
      <c r="E2792">
        <f>VLOOKUP(B2792,[1]Namshi!$A:$B,2,0)</f>
        <v/>
      </c>
      <c r="F2792" s="4">
        <f>SUMIFS('Dubai Stock'!I:I,'Dubai Stock'!H:H,Final_UAE!B:B)</f>
        <v/>
      </c>
      <c r="H2792" s="8" t="e">
        <v>#N/A</v>
      </c>
      <c r="I2792" s="8" t="n"/>
    </row>
    <row r="2793">
      <c r="A2793" s="4" t="n">
        <v>33834</v>
      </c>
      <c r="B2793" s="4" t="inlineStr">
        <is>
          <t>clstdai-bme-1day-p30-sn0075</t>
        </is>
      </c>
      <c r="C2793" s="4" t="inlineStr">
        <is>
          <t>W00031886A</t>
        </is>
      </c>
      <c r="D2793" s="6">
        <f>IF(F2793&gt;=5, F2793-5, IF(F2793&lt;5, 0, F2793))</f>
        <v/>
      </c>
      <c r="E2793">
        <f>VLOOKUP(B2793,[1]Namshi!$A:$B,2,0)</f>
        <v/>
      </c>
      <c r="F2793" s="4">
        <f>SUMIFS('Dubai Stock'!I:I,'Dubai Stock'!H:H,Final_UAE!B:B)</f>
        <v/>
      </c>
      <c r="H2793" s="8" t="e">
        <v>#N/A</v>
      </c>
      <c r="I2793" s="8" t="n"/>
    </row>
    <row r="2794">
      <c r="A2794" s="4" t="n">
        <v>33834</v>
      </c>
      <c r="B2794" s="4" t="inlineStr">
        <is>
          <t>cltodai-acu-mois-p30-sn0300-cn0075-a010</t>
        </is>
      </c>
      <c r="C2794" s="4" t="inlineStr">
        <is>
          <t>W00031886A</t>
        </is>
      </c>
      <c r="D2794" s="6">
        <f>IF(F2794&gt;=5, F2794-5, IF(F2794&lt;5, 0, F2794))</f>
        <v/>
      </c>
      <c r="E2794">
        <f>VLOOKUP(B2794,[1]Namshi!$A:$B,2,0)</f>
        <v/>
      </c>
      <c r="F2794" s="4">
        <f>SUMIFS('Dubai Stock'!I:I,'Dubai Stock'!H:H,Final_UAE!B:B)</f>
        <v/>
      </c>
      <c r="H2794" s="8" t="e">
        <v>#N/A</v>
      </c>
      <c r="I2794" s="8" t="n"/>
    </row>
    <row r="2795">
      <c r="A2795" s="4" t="n">
        <v>33834</v>
      </c>
      <c r="B2795" s="4" t="inlineStr">
        <is>
          <t>costdai-ama-dail-p10-moon-stone-sn0275</t>
        </is>
      </c>
      <c r="C2795" s="4" t="inlineStr">
        <is>
          <t>W00031886A</t>
        </is>
      </c>
      <c r="D2795" s="6">
        <f>IF(F2795&gt;=5, F2795-5, IF(F2795&lt;5, 0, F2795))</f>
        <v/>
      </c>
      <c r="E2795">
        <f>VLOOKUP(B2795,[1]Namshi!$A:$B,2,0)</f>
        <v/>
      </c>
      <c r="F2795" s="4">
        <f>SUMIFS('Dubai Stock'!I:I,'Dubai Stock'!H:H,Final_UAE!B:B)</f>
        <v/>
      </c>
      <c r="H2795" s="8" t="e">
        <v>#N/A</v>
      </c>
      <c r="I2795" s="8" t="n"/>
    </row>
    <row r="2796">
      <c r="A2796" s="4" t="n">
        <v>33834</v>
      </c>
      <c r="B2796" s="4" t="inlineStr">
        <is>
          <t>clstdai-acu-mois-p90-sn0325</t>
        </is>
      </c>
      <c r="C2796" s="4" t="inlineStr">
        <is>
          <t>W00031886A</t>
        </is>
      </c>
      <c r="D2796" s="6">
        <f>IF(F2796&gt;=5, F2796-5, IF(F2796&lt;5, 0, F2796))</f>
        <v/>
      </c>
      <c r="E2796">
        <f>VLOOKUP(B2796,[1]Namshi!$A:$B,2,0)</f>
        <v/>
      </c>
      <c r="F2796" s="4">
        <f>SUMIFS('Dubai Stock'!I:I,'Dubai Stock'!H:H,Final_UAE!B:B)</f>
        <v/>
      </c>
      <c r="H2796" s="8" t="e">
        <v>#N/A</v>
      </c>
      <c r="I2796" s="8" t="n"/>
    </row>
    <row r="2797">
      <c r="A2797" s="4" t="n">
        <v>33834</v>
      </c>
      <c r="B2797" s="4" t="inlineStr">
        <is>
          <t>costdai-acu-dffr-p30-hazel-sn0075</t>
        </is>
      </c>
      <c r="C2797" s="4" t="inlineStr">
        <is>
          <t>W00031886A</t>
        </is>
      </c>
      <c r="D2797" s="6">
        <f>IF(F2797&gt;=5, F2797-5, IF(F2797&lt;5, 0, F2797))</f>
        <v/>
      </c>
      <c r="E2797">
        <f>VLOOKUP(B2797,[1]Namshi!$A:$B,2,0)</f>
        <v/>
      </c>
      <c r="F2797" s="4">
        <f>SUMIFS('Dubai Stock'!I:I,'Dubai Stock'!H:H,Final_UAE!B:B)</f>
        <v/>
      </c>
      <c r="H2797" s="8" t="e">
        <v>#N/A</v>
      </c>
      <c r="I2797" s="8" t="n"/>
    </row>
    <row r="2798">
      <c r="A2798" s="4" t="n">
        <v>33834</v>
      </c>
      <c r="B2798" s="4" t="inlineStr">
        <is>
          <t>costdai-acu-dffr-p10-hazel-sn0650</t>
        </is>
      </c>
      <c r="C2798" s="4" t="inlineStr">
        <is>
          <t>W00031886A</t>
        </is>
      </c>
      <c r="D2798" s="6">
        <f>IF(F2798&gt;=5, F2798-5, IF(F2798&lt;5, 0, F2798))</f>
        <v/>
      </c>
      <c r="E2798">
        <f>VLOOKUP(B2798,[1]Namshi!$A:$B,2,0)</f>
        <v/>
      </c>
      <c r="F2798" s="4">
        <f>SUMIFS('Dubai Stock'!I:I,'Dubai Stock'!H:H,Final_UAE!B:B)</f>
        <v/>
      </c>
      <c r="H2798" s="8" t="e">
        <v>#N/A</v>
      </c>
      <c r="I2798" s="8" t="n"/>
    </row>
    <row r="2799">
      <c r="A2799" s="4" t="n">
        <v>33834</v>
      </c>
      <c r="B2799" s="4" t="inlineStr">
        <is>
          <t>clstdai-lay-cont-p10-dazzle-brown-sn0375</t>
        </is>
      </c>
      <c r="C2799" s="4" t="inlineStr">
        <is>
          <t>W00031886A</t>
        </is>
      </c>
      <c r="D2799" s="6">
        <f>IF(F2799&gt;=5, F2799-5, IF(F2799&lt;5, 0, F2799))</f>
        <v/>
      </c>
      <c r="E2799">
        <f>VLOOKUP(B2799,[1]Namshi!$A:$B,2,0)</f>
        <v/>
      </c>
      <c r="F2799" s="4">
        <f>SUMIFS('Dubai Stock'!I:I,'Dubai Stock'!H:H,Final_UAE!B:B)</f>
        <v/>
      </c>
      <c r="H2799" s="8" t="e">
        <v>#N/A</v>
      </c>
      <c r="I2799" s="8" t="n"/>
    </row>
    <row r="2800">
      <c r="A2800" s="4" t="n">
        <v>33834</v>
      </c>
      <c r="B2800" s="4" t="inlineStr">
        <is>
          <t>costdai-acu-dffr-p30-honey-sn0225</t>
        </is>
      </c>
      <c r="C2800" s="4" t="inlineStr">
        <is>
          <t>W00031886A</t>
        </is>
      </c>
      <c r="D2800" s="6">
        <f>IF(F2800&gt;=5, F2800-5, IF(F2800&lt;5, 0, F2800))</f>
        <v/>
      </c>
      <c r="E2800">
        <f>VLOOKUP(B2800,[1]Namshi!$A:$B,2,0)</f>
        <v/>
      </c>
      <c r="F2800" s="4">
        <f>SUMIFS('Dubai Stock'!I:I,'Dubai Stock'!H:H,Final_UAE!B:B)</f>
        <v/>
      </c>
      <c r="H2800" s="8" t="e">
        <v>#N/A</v>
      </c>
      <c r="I2800" s="8" t="n"/>
    </row>
    <row r="2801">
      <c r="A2801" s="4" t="n">
        <v>33834</v>
      </c>
      <c r="B2801" s="4" t="inlineStr">
        <is>
          <t>cost3mo-lay-2025-p02-desert-topaz-sn0300</t>
        </is>
      </c>
      <c r="C2801" s="4" t="inlineStr">
        <is>
          <t>W00031886A</t>
        </is>
      </c>
      <c r="D2801" s="6">
        <f>IF(F2801&gt;=5, F2801-5, IF(F2801&lt;5, 0, F2801))</f>
        <v/>
      </c>
      <c r="E2801">
        <f>VLOOKUP(B2801,[1]Namshi!$A:$B,2,0)</f>
        <v/>
      </c>
      <c r="F2801" s="4">
        <f>SUMIFS('Dubai Stock'!I:I,'Dubai Stock'!H:H,Final_UAE!B:B)</f>
        <v/>
      </c>
      <c r="H2801" s="8" t="e">
        <v>#N/A</v>
      </c>
      <c r="I2801" s="8" t="n"/>
    </row>
    <row r="2802">
      <c r="A2802" s="4" t="n">
        <v>33834</v>
      </c>
      <c r="B2802" s="4" t="inlineStr">
        <is>
          <t>cost3mo-cel-natu-p01-desert-grey-sp0350</t>
        </is>
      </c>
      <c r="C2802" s="4" t="inlineStr">
        <is>
          <t>W00031886A</t>
        </is>
      </c>
      <c r="D2802" s="6">
        <f>IF(F2802&gt;=5, F2802-5, IF(F2802&lt;5, 0, F2802))</f>
        <v/>
      </c>
      <c r="E2802">
        <f>VLOOKUP(B2802,[1]Namshi!$A:$B,2,0)</f>
        <v/>
      </c>
      <c r="F2802" s="4">
        <f>SUMIFS('Dubai Stock'!I:I,'Dubai Stock'!H:H,Final_UAE!B:B)</f>
        <v/>
      </c>
      <c r="H2802" s="8" t="e">
        <v>#N/A</v>
      </c>
      <c r="I2802" s="8" t="n"/>
    </row>
    <row r="2803">
      <c r="A2803" s="4" t="n">
        <v>33834</v>
      </c>
      <c r="B2803" s="4" t="inlineStr">
        <is>
          <t>sw52910-bla-000221-0507-61</t>
        </is>
      </c>
      <c r="C2803" s="4" t="inlineStr">
        <is>
          <t>W00031886A</t>
        </is>
      </c>
      <c r="D2803" s="6">
        <f>IF(F2803&gt;=5, F2803-5, IF(F2803&lt;5, 0, F2803))</f>
        <v/>
      </c>
      <c r="E2803">
        <f>VLOOKUP(B2803,[1]Namshi!$A:$B,2,0)</f>
        <v/>
      </c>
      <c r="F2803" s="4">
        <f>SUMIFS('Dubai Stock'!I:I,'Dubai Stock'!H:H,Final_UAE!B:B)</f>
        <v/>
      </c>
      <c r="H2803" s="8" t="e">
        <v>#N/A</v>
      </c>
    </row>
    <row r="2804">
      <c r="A2804" s="4" t="n">
        <v>33834</v>
      </c>
      <c r="B2804" s="4" t="inlineStr">
        <is>
          <t>clstbiw-acu-oasy-p06-sp0375</t>
        </is>
      </c>
      <c r="C2804" s="4" t="inlineStr">
        <is>
          <t>W00031886A</t>
        </is>
      </c>
      <c r="D2804" s="6">
        <f>IF(F2804&gt;=5, F2804-5, IF(F2804&lt;5, 0, F2804))</f>
        <v/>
      </c>
      <c r="E2804">
        <f>VLOOKUP(B2804,[1]Namshi!$A:$B,2,0)</f>
        <v/>
      </c>
      <c r="F2804" s="4">
        <f>SUMIFS('Dubai Stock'!I:I,'Dubai Stock'!H:H,Final_UAE!B:B)</f>
        <v/>
      </c>
      <c r="H2804" s="8" t="e">
        <v>#N/A</v>
      </c>
      <c r="I2804" s="8" t="n"/>
    </row>
    <row r="2805">
      <c r="A2805" s="4" t="n">
        <v>33834</v>
      </c>
      <c r="B2805" s="4" t="inlineStr">
        <is>
          <t>clstdai-btr-oned-p90-sn0100</t>
        </is>
      </c>
      <c r="C2805" s="4" t="inlineStr">
        <is>
          <t>W00031886A</t>
        </is>
      </c>
      <c r="D2805" s="6">
        <f>IF(F2805&gt;=5, F2805-5, IF(F2805&lt;5, 0, F2805))</f>
        <v/>
      </c>
      <c r="E2805">
        <f>VLOOKUP(B2805,[1]Namshi!$A:$B,2,0)</f>
        <v/>
      </c>
      <c r="F2805" s="4">
        <f>SUMIFS('Dubai Stock'!I:I,'Dubai Stock'!H:H,Final_UAE!B:B)</f>
        <v/>
      </c>
      <c r="H2805" s="8" t="e">
        <v>#N/A</v>
      </c>
      <c r="I2805" s="8" t="n"/>
    </row>
    <row r="2806">
      <c r="A2806" s="4" t="n">
        <v>33834</v>
      </c>
      <c r="B2806" s="4" t="inlineStr">
        <is>
          <t>clstmon-eve-prom-p06-sp0600</t>
        </is>
      </c>
      <c r="C2806" s="4" t="inlineStr">
        <is>
          <t>W00031886A</t>
        </is>
      </c>
      <c r="D2806" s="6">
        <f>IF(F2806&gt;=5, F2806-5, IF(F2806&lt;5, 0, F2806))</f>
        <v/>
      </c>
      <c r="E2806">
        <f>VLOOKUP(B2806,[1]Namshi!$A:$B,2,0)</f>
        <v/>
      </c>
      <c r="F2806" s="4">
        <f>SUMIFS('Dubai Stock'!I:I,'Dubai Stock'!H:H,Final_UAE!B:B)</f>
        <v/>
      </c>
      <c r="H2806" s="8" t="n">
        <v>212</v>
      </c>
      <c r="I2806" s="8" t="n">
        <v>111.3</v>
      </c>
    </row>
    <row r="2807">
      <c r="A2807" s="4" t="n">
        <v>33834</v>
      </c>
      <c r="B2807" s="4" t="inlineStr">
        <is>
          <t>sm50107-30s-000220-0107-55</t>
        </is>
      </c>
      <c r="C2807" s="4" t="inlineStr">
        <is>
          <t>W00031886A</t>
        </is>
      </c>
      <c r="D2807" s="6">
        <f>IF(F2807&gt;=5, F2807-5, IF(F2807&lt;5, 0, F2807))</f>
        <v/>
      </c>
      <c r="E2807">
        <f>VLOOKUP(B2807,[1]Namshi!$A:$B,2,0)</f>
        <v/>
      </c>
      <c r="F2807" s="4">
        <f>SUMIFS('Dubai Stock'!I:I,'Dubai Stock'!H:H,Final_UAE!B:B)</f>
        <v/>
      </c>
      <c r="H2807" s="8" t="e">
        <v>#N/A</v>
      </c>
    </row>
    <row r="2808">
      <c r="A2808" s="4" t="n">
        <v>33834</v>
      </c>
      <c r="B2808" s="4" t="inlineStr">
        <is>
          <t>su72404-30s-000268-2404-53</t>
        </is>
      </c>
      <c r="C2808" s="4" t="inlineStr">
        <is>
          <t>W00031886A</t>
        </is>
      </c>
      <c r="D2808" s="6">
        <f>IF(F2808&gt;=5, F2808-5, IF(F2808&lt;5, 0, F2808))</f>
        <v/>
      </c>
      <c r="E2808">
        <f>VLOOKUP(B2808,[1]Namshi!$A:$B,2,0)</f>
        <v/>
      </c>
      <c r="F2808" s="4">
        <f>SUMIFS('Dubai Stock'!I:I,'Dubai Stock'!H:H,Final_UAE!B:B)</f>
        <v/>
      </c>
      <c r="H2808" s="8" t="e">
        <v>#N/A</v>
      </c>
    </row>
    <row r="2809">
      <c r="A2809" s="4" t="n">
        <v>33834</v>
      </c>
      <c r="B2809" s="4" t="inlineStr">
        <is>
          <t>costmon-ama-2020-p02-charcoal-gray-sn1000</t>
        </is>
      </c>
      <c r="C2809" s="4" t="inlineStr">
        <is>
          <t>W00031886A</t>
        </is>
      </c>
      <c r="D2809" s="6">
        <f>IF(F2809&gt;=5, F2809-5, IF(F2809&lt;5, 0, F2809))</f>
        <v/>
      </c>
      <c r="E2809">
        <f>VLOOKUP(B2809,[1]Namshi!$A:$B,2,0)</f>
        <v/>
      </c>
      <c r="F2809" s="4">
        <f>SUMIFS('Dubai Stock'!I:I,'Dubai Stock'!H:H,Final_UAE!B:B)</f>
        <v/>
      </c>
      <c r="H2809" s="8" t="e">
        <v>#N/A</v>
      </c>
      <c r="I2809" s="8" t="n"/>
    </row>
    <row r="2810">
      <c r="A2810" s="4" t="n">
        <v>33834</v>
      </c>
      <c r="B2810" s="4" t="inlineStr">
        <is>
          <t>clstdai-acu-oasy-p60-sn0250</t>
        </is>
      </c>
      <c r="C2810" s="4" t="inlineStr">
        <is>
          <t>W00031886A</t>
        </is>
      </c>
      <c r="D2810" s="6">
        <f>IF(F2810&gt;=5, F2810-5, IF(F2810&lt;5, 0, F2810))</f>
        <v/>
      </c>
      <c r="E2810">
        <f>VLOOKUP(B2810,[1]Namshi!$A:$B,2,0)</f>
        <v/>
      </c>
      <c r="F2810" s="4">
        <f>SUMIFS('Dubai Stock'!I:I,'Dubai Stock'!H:H,Final_UAE!B:B)</f>
        <v/>
      </c>
      <c r="H2810" s="8" t="e">
        <v>#N/A</v>
      </c>
      <c r="I2810" s="8" t="n"/>
    </row>
    <row r="2811">
      <c r="A2811" s="4" t="n">
        <v>33834</v>
      </c>
      <c r="B2811" s="4" t="inlineStr">
        <is>
          <t>sm10101-30s-000284-0101-60</t>
        </is>
      </c>
      <c r="C2811" s="4" t="inlineStr">
        <is>
          <t>W00031886A</t>
        </is>
      </c>
      <c r="D2811" s="6">
        <f>IF(F2811&gt;=5, F2811-5, IF(F2811&lt;5, 0, F2811))</f>
        <v/>
      </c>
      <c r="E2811">
        <f>VLOOKUP(B2811,[1]Namshi!$A:$B,2,0)</f>
        <v/>
      </c>
      <c r="F2811" s="4">
        <f>SUMIFS('Dubai Stock'!I:I,'Dubai Stock'!H:H,Final_UAE!B:B)</f>
        <v/>
      </c>
      <c r="H2811" s="8" t="e">
        <v>#N/A</v>
      </c>
    </row>
    <row r="2812">
      <c r="A2812" s="4" t="n">
        <v>33834</v>
      </c>
      <c r="B2812" s="4" t="inlineStr">
        <is>
          <t>clstdai-eve-elit-p30-sn0900</t>
        </is>
      </c>
      <c r="C2812" s="4" t="inlineStr">
        <is>
          <t>W00031886A</t>
        </is>
      </c>
      <c r="D2812" s="6">
        <f>IF(F2812&gt;=5, F2812-5, IF(F2812&lt;5, 0, F2812))</f>
        <v/>
      </c>
      <c r="E2812">
        <f>VLOOKUP(B2812,[1]Namshi!$A:$B,2,0)</f>
        <v/>
      </c>
      <c r="F2812" s="4">
        <f>SUMIFS('Dubai Stock'!I:I,'Dubai Stock'!H:H,Final_UAE!B:B)</f>
        <v/>
      </c>
      <c r="H2812" s="8" t="n">
        <v>261</v>
      </c>
      <c r="I2812" s="8" t="n">
        <v>146.3</v>
      </c>
    </row>
    <row r="2813">
      <c r="A2813" s="4" t="n">
        <v>33834</v>
      </c>
      <c r="B2813" s="4" t="inlineStr">
        <is>
          <t>sacchan-30s-chain140-rsg-elara-rose-gold</t>
        </is>
      </c>
      <c r="C2813" s="4" t="inlineStr">
        <is>
          <t>W00031886A</t>
        </is>
      </c>
      <c r="D2813" s="6">
        <f>IF(F2813&gt;=5, F2813-5, IF(F2813&lt;5, 0, F2813))</f>
        <v/>
      </c>
      <c r="E2813">
        <f>VLOOKUP(B2813,[1]Namshi!$A:$B,2,0)</f>
        <v/>
      </c>
      <c r="F2813" s="4">
        <f>SUMIFS('Dubai Stock'!I:I,'Dubai Stock'!H:H,Final_UAE!B:B)</f>
        <v/>
      </c>
      <c r="H2813" s="8" t="e">
        <v>#N/A</v>
      </c>
      <c r="I2813" s="8" t="n"/>
    </row>
    <row r="2814">
      <c r="A2814" s="4" t="n">
        <v>33834</v>
      </c>
      <c r="B2814" s="4" t="inlineStr">
        <is>
          <t>clstdai-acu-oasy-p90-sp0600</t>
        </is>
      </c>
      <c r="C2814" s="4" t="inlineStr">
        <is>
          <t>W00031886A</t>
        </is>
      </c>
      <c r="D2814" s="6">
        <f>IF(F2814&gt;=5, F2814-5, IF(F2814&lt;5, 0, F2814))</f>
        <v/>
      </c>
      <c r="E2814">
        <f>VLOOKUP(B2814,[1]Namshi!$A:$B,2,0)</f>
        <v/>
      </c>
      <c r="F2814" s="4">
        <f>SUMIFS('Dubai Stock'!I:I,'Dubai Stock'!H:H,Final_UAE!B:B)</f>
        <v/>
      </c>
      <c r="H2814" s="8" t="e">
        <v>#N/A</v>
      </c>
      <c r="I2814" s="8" t="n"/>
    </row>
    <row r="2815">
      <c r="A2815" s="4" t="n">
        <v>33834</v>
      </c>
      <c r="B2815" s="4" t="inlineStr">
        <is>
          <t>clstdai-acu-dfvi-p30-sn0250</t>
        </is>
      </c>
      <c r="C2815" s="4" t="inlineStr">
        <is>
          <t>W00031886A</t>
        </is>
      </c>
      <c r="D2815" s="6">
        <f>IF(F2815&gt;=5, F2815-5, IF(F2815&lt;5, 0, F2815))</f>
        <v/>
      </c>
      <c r="E2815">
        <f>VLOOKUP(B2815,[1]Namshi!$A:$B,2,0)</f>
        <v/>
      </c>
      <c r="F2815" s="4">
        <f>SUMIFS('Dubai Stock'!I:I,'Dubai Stock'!H:H,Final_UAE!B:B)</f>
        <v/>
      </c>
      <c r="H2815" s="8" t="e">
        <v>#N/A</v>
      </c>
      <c r="I2815" s="8" t="n"/>
    </row>
    <row r="2816">
      <c r="A2816" s="4" t="n">
        <v>33834</v>
      </c>
      <c r="B2816" s="4" t="inlineStr">
        <is>
          <t>cost3mo-lay-2021-p02-skye-blue-sn0600</t>
        </is>
      </c>
      <c r="C2816" s="4" t="inlineStr">
        <is>
          <t>W00031886A</t>
        </is>
      </c>
      <c r="D2816" s="6">
        <f>IF(F2816&gt;=5, F2816-5, IF(F2816&lt;5, 0, F2816))</f>
        <v/>
      </c>
      <c r="E2816">
        <f>VLOOKUP(B2816,[1]Namshi!$A:$B,2,0)</f>
        <v/>
      </c>
      <c r="F2816" s="4">
        <f>SUMIFS('Dubai Stock'!I:I,'Dubai Stock'!H:H,Final_UAE!B:B)</f>
        <v/>
      </c>
      <c r="H2816" s="8" t="e">
        <v>#N/A</v>
      </c>
      <c r="I2816" s="8" t="n"/>
    </row>
    <row r="2817">
      <c r="A2817" s="4" t="n">
        <v>33834</v>
      </c>
      <c r="B2817" s="4" t="inlineStr">
        <is>
          <t>costmon-ama-2023-p02-chai-sn0300</t>
        </is>
      </c>
      <c r="C2817" s="4" t="inlineStr">
        <is>
          <t>W00031886A</t>
        </is>
      </c>
      <c r="D2817" s="6">
        <f>IF(F2817&gt;=5, F2817-5, IF(F2817&lt;5, 0, F2817))</f>
        <v/>
      </c>
      <c r="E2817">
        <f>VLOOKUP(B2817,[1]Namshi!$A:$B,2,0)</f>
        <v/>
      </c>
      <c r="F2817" s="4">
        <f>SUMIFS('Dubai Stock'!I:I,'Dubai Stock'!H:H,Final_UAE!B:B)</f>
        <v/>
      </c>
      <c r="H2817" s="8" t="e">
        <v>#N/A</v>
      </c>
      <c r="I2817" s="8" t="n"/>
    </row>
    <row r="2818">
      <c r="A2818" s="4" t="n">
        <v>33834</v>
      </c>
      <c r="B2818" s="4" t="inlineStr">
        <is>
          <t>cost3mo-lay-2022-p02-sweet-hazel-sn0275</t>
        </is>
      </c>
      <c r="C2818" s="4" t="inlineStr">
        <is>
          <t>W00031886A</t>
        </is>
      </c>
      <c r="D2818" s="6">
        <f>IF(F2818&gt;=5, F2818-5, IF(F2818&lt;5, 0, F2818))</f>
        <v/>
      </c>
      <c r="E2818">
        <f>VLOOKUP(B2818,[1]Namshi!$A:$B,2,0)</f>
        <v/>
      </c>
      <c r="F2818" s="4">
        <f>SUMIFS('Dubai Stock'!I:I,'Dubai Stock'!H:H,Final_UAE!B:B)</f>
        <v/>
      </c>
      <c r="H2818" s="8" t="e">
        <v>#N/A</v>
      </c>
      <c r="I2818" s="8" t="n"/>
    </row>
    <row r="2819">
      <c r="A2819" s="4" t="n">
        <v>33834</v>
      </c>
      <c r="B2819" s="4" t="inlineStr">
        <is>
          <t>cost3mo-lay-2022-p02-crescent-gray-sn0375</t>
        </is>
      </c>
      <c r="C2819" s="4" t="inlineStr">
        <is>
          <t>W00031886A</t>
        </is>
      </c>
      <c r="D2819" s="6">
        <f>IF(F2819&gt;=5, F2819-5, IF(F2819&lt;5, 0, F2819))</f>
        <v/>
      </c>
      <c r="E2819">
        <f>VLOOKUP(B2819,[1]Namshi!$A:$B,2,0)</f>
        <v/>
      </c>
      <c r="F2819" s="4">
        <f>SUMIFS('Dubai Stock'!I:I,'Dubai Stock'!H:H,Final_UAE!B:B)</f>
        <v/>
      </c>
      <c r="H2819" s="8" t="e">
        <v>#N/A</v>
      </c>
      <c r="I2819" s="8" t="n"/>
    </row>
    <row r="2820">
      <c r="A2820" s="4" t="n">
        <v>33834</v>
      </c>
      <c r="B2820" s="4" t="inlineStr">
        <is>
          <t>clstmon-bme-bm55-p06-sn0100</t>
        </is>
      </c>
      <c r="C2820" s="4" t="inlineStr">
        <is>
          <t>W00031886A</t>
        </is>
      </c>
      <c r="D2820" s="6">
        <f>IF(F2820&gt;=5, F2820-5, IF(F2820&lt;5, 0, F2820))</f>
        <v/>
      </c>
      <c r="E2820">
        <f>VLOOKUP(B2820,[1]Namshi!$A:$B,2,0)</f>
        <v/>
      </c>
      <c r="F2820" s="4">
        <f>SUMIFS('Dubai Stock'!I:I,'Dubai Stock'!H:H,Final_UAE!B:B)</f>
        <v/>
      </c>
      <c r="H2820" s="8" t="e">
        <v>#N/A</v>
      </c>
      <c r="I2820" s="8" t="n"/>
    </row>
    <row r="2821">
      <c r="A2821" s="4" t="n">
        <v>33834</v>
      </c>
      <c r="B2821" s="4" t="inlineStr">
        <is>
          <t>sw32604-30s-000296-2604-54</t>
        </is>
      </c>
      <c r="C2821" s="4" t="inlineStr">
        <is>
          <t>W00031886A</t>
        </is>
      </c>
      <c r="D2821" s="6">
        <f>IF(F2821&gt;=5, F2821-5, IF(F2821&lt;5, 0, F2821))</f>
        <v/>
      </c>
      <c r="E2821">
        <f>VLOOKUP(B2821,[1]Namshi!$A:$B,2,0)</f>
        <v/>
      </c>
      <c r="F2821" s="4">
        <f>SUMIFS('Dubai Stock'!I:I,'Dubai Stock'!H:H,Final_UAE!B:B)</f>
        <v/>
      </c>
      <c r="H2821" s="8" t="e">
        <v>#N/A</v>
      </c>
    </row>
    <row r="2822">
      <c r="A2822" s="4" t="n">
        <v>33834</v>
      </c>
      <c r="B2822" s="4" t="inlineStr">
        <is>
          <t>clstdai-lay-cont-p30-dazzle-black-sn0125</t>
        </is>
      </c>
      <c r="C2822" s="4" t="inlineStr">
        <is>
          <t>W00031886A</t>
        </is>
      </c>
      <c r="D2822" s="6">
        <f>IF(F2822&gt;=5, F2822-5, IF(F2822&lt;5, 0, F2822))</f>
        <v/>
      </c>
      <c r="E2822">
        <f>VLOOKUP(B2822,[1]Namshi!$A:$B,2,0)</f>
        <v/>
      </c>
      <c r="F2822" s="4">
        <f>SUMIFS('Dubai Stock'!I:I,'Dubai Stock'!H:H,Final_UAE!B:B)</f>
        <v/>
      </c>
      <c r="H2822" s="8" t="e">
        <v>#N/A</v>
      </c>
      <c r="I2822" s="8" t="n"/>
    </row>
    <row r="2823">
      <c r="A2823" s="4" t="n">
        <v>33834</v>
      </c>
      <c r="B2823" s="4" t="inlineStr">
        <is>
          <t>cost3mo-lay-2023-p02-selene-green-sn0125</t>
        </is>
      </c>
      <c r="C2823" s="4" t="inlineStr">
        <is>
          <t>W00031886A</t>
        </is>
      </c>
      <c r="D2823" s="6">
        <f>IF(F2823&gt;=5, F2823-5, IF(F2823&lt;5, 0, F2823))</f>
        <v/>
      </c>
      <c r="E2823">
        <f>VLOOKUP(B2823,[1]Namshi!$A:$B,2,0)</f>
        <v/>
      </c>
      <c r="F2823" s="4">
        <f>SUMIFS('Dubai Stock'!I:I,'Dubai Stock'!H:H,Final_UAE!B:B)</f>
        <v/>
      </c>
      <c r="H2823" s="8" t="e">
        <v>#N/A</v>
      </c>
      <c r="I2823" s="8" t="n"/>
    </row>
    <row r="2824">
      <c r="A2824" s="4" t="n">
        <v>33834</v>
      </c>
      <c r="B2824" s="4" t="inlineStr">
        <is>
          <t>clstdai-lay-cont-p30-dazzle-black-sn0475</t>
        </is>
      </c>
      <c r="C2824" s="4" t="inlineStr">
        <is>
          <t>W00031886A</t>
        </is>
      </c>
      <c r="D2824" s="6">
        <f>IF(F2824&gt;=5, F2824-5, IF(F2824&lt;5, 0, F2824))</f>
        <v/>
      </c>
      <c r="E2824">
        <f>VLOOKUP(B2824,[1]Namshi!$A:$B,2,0)</f>
        <v/>
      </c>
      <c r="F2824" s="4">
        <f>SUMIFS('Dubai Stock'!I:I,'Dubai Stock'!H:H,Final_UAE!B:B)</f>
        <v/>
      </c>
      <c r="H2824" s="8" t="e">
        <v>#N/A</v>
      </c>
      <c r="I2824" s="8" t="n"/>
    </row>
    <row r="2825">
      <c r="A2825" s="4" t="n">
        <v>33834</v>
      </c>
      <c r="B2825" s="4" t="inlineStr">
        <is>
          <t>fc50918-bab-000505-0918-43</t>
        </is>
      </c>
      <c r="C2825" s="4" t="inlineStr">
        <is>
          <t>W00031886A</t>
        </is>
      </c>
      <c r="D2825" s="6">
        <f>IF(F2825&gt;=5, F2825-5, IF(F2825&lt;5, 0, F2825))</f>
        <v/>
      </c>
      <c r="E2825">
        <f>VLOOKUP(B2825,[1]Namshi!$A:$B,2,0)</f>
        <v/>
      </c>
      <c r="F2825" s="4">
        <f>SUMIFS('Dubai Stock'!I:I,'Dubai Stock'!H:H,Final_UAE!B:B)</f>
        <v/>
      </c>
      <c r="H2825" s="8" t="e">
        <v>#N/A</v>
      </c>
      <c r="I2825" s="8" t="n"/>
    </row>
    <row r="2826">
      <c r="A2826" s="4" t="n">
        <v>33834</v>
      </c>
      <c r="B2826" s="4" t="inlineStr">
        <is>
          <t>cost3mo-lay-lens-p02-chocolate-brown-sn0350</t>
        </is>
      </c>
      <c r="C2826" s="4" t="inlineStr">
        <is>
          <t>W00031886A</t>
        </is>
      </c>
      <c r="D2826" s="6">
        <f>IF(F2826&gt;=5, F2826-5, IF(F2826&lt;5, 0, F2826))</f>
        <v/>
      </c>
      <c r="E2826">
        <f>VLOOKUP(B2826,[1]Namshi!$A:$B,2,0)</f>
        <v/>
      </c>
      <c r="F2826" s="4">
        <f>SUMIFS('Dubai Stock'!I:I,'Dubai Stock'!H:H,Final_UAE!B:B)</f>
        <v/>
      </c>
      <c r="H2826" s="8" t="e">
        <v>#N/A</v>
      </c>
      <c r="I2826" s="8" t="n"/>
    </row>
    <row r="2827">
      <c r="A2827" s="4" t="n">
        <v>33834</v>
      </c>
      <c r="B2827" s="4" t="inlineStr">
        <is>
          <t>fw72418-spc-000638-2418-50</t>
        </is>
      </c>
      <c r="C2827" s="4" t="inlineStr">
        <is>
          <t>W00031886A</t>
        </is>
      </c>
      <c r="D2827" s="6">
        <f>IF(F2827&gt;=5, F2827-5, IF(F2827&lt;5, 0, F2827))</f>
        <v/>
      </c>
      <c r="E2827">
        <f>VLOOKUP(B2827,[1]Namshi!$A:$B,2,0)</f>
        <v/>
      </c>
      <c r="F2827" s="4">
        <f>SUMIFS('Dubai Stock'!I:I,'Dubai Stock'!H:H,Final_UAE!B:B)</f>
        <v/>
      </c>
      <c r="H2827" s="8" t="e">
        <v>#N/A</v>
      </c>
      <c r="I2827" s="8" t="n"/>
    </row>
    <row r="2828">
      <c r="A2828" s="4" t="n">
        <v>33834</v>
      </c>
      <c r="B2828" s="4" t="inlineStr">
        <is>
          <t>clstdai-dai-aqua-p30-sp0175</t>
        </is>
      </c>
      <c r="C2828" s="4" t="inlineStr">
        <is>
          <t>W00031886A</t>
        </is>
      </c>
      <c r="D2828" s="6">
        <f>IF(F2828&gt;=5, F2828-5, IF(F2828&lt;5, 0, F2828))</f>
        <v/>
      </c>
      <c r="E2828">
        <f>VLOOKUP(B2828,[1]Namshi!$A:$B,2,0)</f>
        <v/>
      </c>
      <c r="F2828" s="4">
        <f>SUMIFS('Dubai Stock'!I:I,'Dubai Stock'!H:H,Final_UAE!B:B)</f>
        <v/>
      </c>
      <c r="H2828" s="8" t="e">
        <v>#N/A</v>
      </c>
      <c r="I2828" s="8" t="n"/>
    </row>
    <row r="2829">
      <c r="A2829" s="4" t="n">
        <v>33834</v>
      </c>
      <c r="B2829" s="4" t="inlineStr">
        <is>
          <t>clstbiw-acu-0002-p06-sp0425</t>
        </is>
      </c>
      <c r="C2829" s="4" t="inlineStr">
        <is>
          <t>W00031886A</t>
        </is>
      </c>
      <c r="D2829" s="6">
        <f>IF(F2829&gt;=5, F2829-5, IF(F2829&lt;5, 0, F2829))</f>
        <v/>
      </c>
      <c r="E2829">
        <f>VLOOKUP(B2829,[1]Namshi!$A:$B,2,0)</f>
        <v/>
      </c>
      <c r="F2829" s="4">
        <f>SUMIFS('Dubai Stock'!I:I,'Dubai Stock'!H:H,Final_UAE!B:B)</f>
        <v/>
      </c>
      <c r="H2829" s="8" t="e">
        <v>#N/A</v>
      </c>
      <c r="I2829" s="8" t="n"/>
    </row>
    <row r="2830">
      <c r="A2830" s="4" t="n">
        <v>33834</v>
      </c>
      <c r="B2830" s="4" t="inlineStr">
        <is>
          <t>PSKU_33834_00580826468224594800_X</t>
        </is>
      </c>
      <c r="C2830" s="4" t="inlineStr">
        <is>
          <t>W00031886A</t>
        </is>
      </c>
      <c r="D2830" s="6">
        <f>IF(F2830&gt;=5, F2830-5, IF(F2830&lt;5, 0, F2830))</f>
        <v/>
      </c>
      <c r="E2830">
        <f>VLOOKUP(B2830,[1]Namshi!$A:$B,2,0)</f>
        <v/>
      </c>
      <c r="F2830" s="4">
        <f>SUMIFS('Dubai Stock'!I:I,'Dubai Stock'!H:H,Final_UAE!B:B)</f>
        <v/>
      </c>
      <c r="H2830" s="8" t="e">
        <v>#N/A</v>
      </c>
      <c r="I2830" s="8" t="n"/>
    </row>
    <row r="2831">
      <c r="A2831" s="4" t="n">
        <v>33834</v>
      </c>
      <c r="B2831" s="4" t="inlineStr">
        <is>
          <t>costmon-ama-2020-p02-charcoal-gray-sn0350</t>
        </is>
      </c>
      <c r="C2831" s="4" t="inlineStr">
        <is>
          <t>W00031886A</t>
        </is>
      </c>
      <c r="D2831" s="6">
        <f>IF(F2831&gt;=5, F2831-5, IF(F2831&lt;5, 0, F2831))</f>
        <v/>
      </c>
      <c r="E2831">
        <f>VLOOKUP(B2831,[1]Namshi!$A:$B,2,0)</f>
        <v/>
      </c>
      <c r="F2831" s="4">
        <f>SUMIFS('Dubai Stock'!I:I,'Dubai Stock'!H:H,Final_UAE!B:B)</f>
        <v/>
      </c>
      <c r="H2831" s="8" t="e">
        <v>#N/A</v>
      </c>
      <c r="I2831" s="8" t="n"/>
    </row>
    <row r="2832">
      <c r="A2832" s="4" t="n">
        <v>33834</v>
      </c>
      <c r="B2832" s="4" t="inlineStr">
        <is>
          <t>sm20404-30s-000219-0102-50</t>
        </is>
      </c>
      <c r="C2832" s="4" t="inlineStr">
        <is>
          <t>W00031886A</t>
        </is>
      </c>
      <c r="D2832" s="6">
        <f>IF(F2832&gt;=5, F2832-5, IF(F2832&lt;5, 0, F2832))</f>
        <v/>
      </c>
      <c r="E2832">
        <f>VLOOKUP(B2832,[1]Namshi!$A:$B,2,0)</f>
        <v/>
      </c>
      <c r="F2832" s="4">
        <f>SUMIFS('Dubai Stock'!I:I,'Dubai Stock'!H:H,Final_UAE!B:B)</f>
        <v/>
      </c>
      <c r="H2832" s="8" t="e">
        <v>#N/A</v>
      </c>
    </row>
    <row r="2833">
      <c r="A2833" s="4" t="n">
        <v>33834</v>
      </c>
      <c r="B2833" s="4" t="inlineStr">
        <is>
          <t>clstdai-acu-dfrb-p30-sn0125</t>
        </is>
      </c>
      <c r="C2833" s="4" t="inlineStr">
        <is>
          <t>W00031886A</t>
        </is>
      </c>
      <c r="D2833" s="6">
        <f>IF(F2833&gt;=5, F2833-5, IF(F2833&lt;5, 0, F2833))</f>
        <v/>
      </c>
      <c r="E2833">
        <f>VLOOKUP(B2833,[1]Namshi!$A:$B,2,0)</f>
        <v/>
      </c>
      <c r="F2833" s="4">
        <f>SUMIFS('Dubai Stock'!I:I,'Dubai Stock'!H:H,Final_UAE!B:B)</f>
        <v/>
      </c>
      <c r="H2833" s="8" t="e">
        <v>#N/A</v>
      </c>
      <c r="I2833" s="8" t="n"/>
    </row>
    <row r="2834">
      <c r="A2834" s="4" t="n">
        <v>33834</v>
      </c>
      <c r="B2834" s="4" t="inlineStr">
        <is>
          <t>clstdai-dai-tot1-p90-sp0575</t>
        </is>
      </c>
      <c r="C2834" s="4" t="inlineStr">
        <is>
          <t>W00031886A</t>
        </is>
      </c>
      <c r="D2834" s="6">
        <f>IF(F2834&gt;=5, F2834-5, IF(F2834&lt;5, 0, F2834))</f>
        <v/>
      </c>
      <c r="E2834">
        <f>VLOOKUP(B2834,[1]Namshi!$A:$B,2,0)</f>
        <v/>
      </c>
      <c r="F2834" s="4">
        <f>SUMIFS('Dubai Stock'!I:I,'Dubai Stock'!H:H,Final_UAE!B:B)</f>
        <v/>
      </c>
      <c r="H2834" s="8" t="e">
        <v>#N/A</v>
      </c>
      <c r="I2834" s="8" t="n"/>
    </row>
    <row r="2835">
      <c r="A2835" s="4" t="n">
        <v>33834</v>
      </c>
      <c r="B2835" s="4" t="inlineStr">
        <is>
          <t>clstdai-acu-oasy-p90-sn0200</t>
        </is>
      </c>
      <c r="C2835" s="4" t="inlineStr">
        <is>
          <t>W00031886A</t>
        </is>
      </c>
      <c r="D2835" s="6">
        <f>IF(F2835&gt;=5, F2835-5, IF(F2835&lt;5, 0, F2835))</f>
        <v/>
      </c>
      <c r="E2835">
        <f>VLOOKUP(B2835,[1]Namshi!$A:$B,2,0)</f>
        <v/>
      </c>
      <c r="F2835" s="4">
        <f>SUMIFS('Dubai Stock'!I:I,'Dubai Stock'!H:H,Final_UAE!B:B)</f>
        <v/>
      </c>
      <c r="H2835" s="8" t="e">
        <v>#N/A</v>
      </c>
      <c r="I2835" s="8" t="n"/>
    </row>
    <row r="2836">
      <c r="A2836" s="4" t="n">
        <v>33834</v>
      </c>
      <c r="B2836" s="4" t="inlineStr">
        <is>
          <t>clstdai-acu-mois-p30-sp0025</t>
        </is>
      </c>
      <c r="C2836" s="4" t="inlineStr">
        <is>
          <t>W00031886A</t>
        </is>
      </c>
      <c r="D2836" s="6">
        <f>IF(F2836&gt;=5, F2836-5, IF(F2836&lt;5, 0, F2836))</f>
        <v/>
      </c>
      <c r="E2836">
        <f>VLOOKUP(B2836,[1]Namshi!$A:$B,2,0)</f>
        <v/>
      </c>
      <c r="F2836" s="4">
        <f>SUMIFS('Dubai Stock'!I:I,'Dubai Stock'!H:H,Final_UAE!B:B)</f>
        <v/>
      </c>
      <c r="H2836" s="8" t="e">
        <v>#N/A</v>
      </c>
      <c r="I2836" s="8" t="n"/>
    </row>
    <row r="2837">
      <c r="A2837" s="4" t="n">
        <v>33834</v>
      </c>
      <c r="B2837" s="4" t="inlineStr">
        <is>
          <t>costmon-ama-2020-p02-pure-hazel-sn0150</t>
        </is>
      </c>
      <c r="C2837" s="4" t="inlineStr">
        <is>
          <t>W00031886A</t>
        </is>
      </c>
      <c r="D2837" s="6">
        <f>IF(F2837&gt;=5, F2837-5, IF(F2837&lt;5, 0, F2837))</f>
        <v/>
      </c>
      <c r="E2837">
        <f>VLOOKUP(B2837,[1]Namshi!$A:$B,2,0)</f>
        <v/>
      </c>
      <c r="F2837" s="4">
        <f>SUMIFS('Dubai Stock'!I:I,'Dubai Stock'!H:H,Final_UAE!B:B)</f>
        <v/>
      </c>
      <c r="H2837" s="8" t="e">
        <v>#N/A</v>
      </c>
      <c r="I2837" s="8" t="n"/>
    </row>
    <row r="2838">
      <c r="A2838" s="4" t="n">
        <v>33834</v>
      </c>
      <c r="B2838" s="4" t="inlineStr">
        <is>
          <t>sw32309-bla-000104-2310-59</t>
        </is>
      </c>
      <c r="C2838" s="4" t="inlineStr">
        <is>
          <t>W00031886A</t>
        </is>
      </c>
      <c r="D2838" s="6">
        <f>IF(F2838&gt;=5, F2838-5, IF(F2838&lt;5, 0, F2838))</f>
        <v/>
      </c>
      <c r="E2838">
        <f>VLOOKUP(B2838,[1]Namshi!$A:$B,2,0)</f>
        <v/>
      </c>
      <c r="F2838" s="4">
        <f>SUMIFS('Dubai Stock'!I:I,'Dubai Stock'!H:H,Final_UAE!B:B)</f>
        <v/>
      </c>
      <c r="H2838" s="8" t="e">
        <v>#N/A</v>
      </c>
    </row>
    <row r="2839">
      <c r="A2839" s="4" t="n">
        <v>33834</v>
      </c>
      <c r="B2839" s="4" t="inlineStr">
        <is>
          <t>sw60107-bla-000350-0107-51</t>
        </is>
      </c>
      <c r="C2839" s="4" t="inlineStr">
        <is>
          <t>W00031886A</t>
        </is>
      </c>
      <c r="D2839" s="6">
        <f>IF(F2839&gt;=5, F2839-5, IF(F2839&lt;5, 0, F2839))</f>
        <v/>
      </c>
      <c r="E2839">
        <f>VLOOKUP(B2839,[1]Namshi!$A:$B,2,0)</f>
        <v/>
      </c>
      <c r="F2839" s="4">
        <f>SUMIFS('Dubai Stock'!I:I,'Dubai Stock'!H:H,Final_UAE!B:B)</f>
        <v/>
      </c>
      <c r="H2839" s="8" t="e">
        <v>#N/A</v>
      </c>
    </row>
    <row r="2840">
      <c r="A2840" s="4" t="n">
        <v>33834</v>
      </c>
      <c r="B2840" s="4" t="inlineStr">
        <is>
          <t>costdai-acu-dffr-p30-grayzel-sn0425</t>
        </is>
      </c>
      <c r="C2840" s="4" t="inlineStr">
        <is>
          <t>W00031886A</t>
        </is>
      </c>
      <c r="D2840" s="6">
        <f>IF(F2840&gt;=5, F2840-5, IF(F2840&lt;5, 0, F2840))</f>
        <v/>
      </c>
      <c r="E2840">
        <f>VLOOKUP(B2840,[1]Namshi!$A:$B,2,0)</f>
        <v/>
      </c>
      <c r="F2840" s="4">
        <f>SUMIFS('Dubai Stock'!I:I,'Dubai Stock'!H:H,Final_UAE!B:B)</f>
        <v/>
      </c>
      <c r="H2840" s="8" t="e">
        <v>#N/A</v>
      </c>
      <c r="I2840" s="8" t="n"/>
    </row>
    <row r="2841">
      <c r="A2841" s="4" t="n">
        <v>33834</v>
      </c>
      <c r="B2841" s="4" t="inlineStr">
        <is>
          <t>clstdai-acu-oasy-p90-sn0750</t>
        </is>
      </c>
      <c r="C2841" s="4" t="inlineStr">
        <is>
          <t>W00031886A</t>
        </is>
      </c>
      <c r="D2841" s="6">
        <f>IF(F2841&gt;=5, F2841-5, IF(F2841&lt;5, 0, F2841))</f>
        <v/>
      </c>
      <c r="E2841">
        <f>VLOOKUP(B2841,[1]Namshi!$A:$B,2,0)</f>
        <v/>
      </c>
      <c r="F2841" s="4">
        <f>SUMIFS('Dubai Stock'!I:I,'Dubai Stock'!H:H,Final_UAE!B:B)</f>
        <v/>
      </c>
      <c r="H2841" s="8" t="e">
        <v>#N/A</v>
      </c>
      <c r="I2841" s="8" t="n"/>
    </row>
    <row r="2842">
      <c r="A2842" s="4" t="n">
        <v>33834</v>
      </c>
      <c r="B2842" s="4" t="inlineStr">
        <is>
          <t>sw40202-bla-000209-0202-52</t>
        </is>
      </c>
      <c r="C2842" s="4" t="inlineStr">
        <is>
          <t>W00031886A</t>
        </is>
      </c>
      <c r="D2842" s="6">
        <f>IF(F2842&gt;=5, F2842-5, IF(F2842&lt;5, 0, F2842))</f>
        <v/>
      </c>
      <c r="E2842">
        <f>VLOOKUP(B2842,[1]Namshi!$A:$B,2,0)</f>
        <v/>
      </c>
      <c r="F2842" s="4">
        <f>SUMIFS('Dubai Stock'!I:I,'Dubai Stock'!H:H,Final_UAE!B:B)</f>
        <v/>
      </c>
      <c r="H2842" s="8" t="e">
        <v>#N/A</v>
      </c>
    </row>
    <row r="2843">
      <c r="A2843" s="4" t="n">
        <v>33834</v>
      </c>
      <c r="B2843" s="4" t="inlineStr">
        <is>
          <t>sw30107-bla-000323-0107-49</t>
        </is>
      </c>
      <c r="C2843" s="4" t="inlineStr">
        <is>
          <t>W00031886A</t>
        </is>
      </c>
      <c r="D2843" s="6">
        <f>IF(F2843&gt;=5, F2843-5, IF(F2843&lt;5, 0, F2843))</f>
        <v/>
      </c>
      <c r="E2843">
        <f>VLOOKUP(B2843,[1]Namshi!$A:$B,2,0)</f>
        <v/>
      </c>
      <c r="F2843" s="4">
        <f>SUMIFS('Dubai Stock'!I:I,'Dubai Stock'!H:H,Final_UAE!B:B)</f>
        <v/>
      </c>
      <c r="H2843" s="8" t="e">
        <v>#N/A</v>
      </c>
    </row>
    <row r="2844">
      <c r="A2844" s="4" t="n">
        <v>33834</v>
      </c>
      <c r="B2844" s="4" t="inlineStr">
        <is>
          <t>fw30918-spc-000502-0900-54</t>
        </is>
      </c>
      <c r="C2844" s="4" t="inlineStr">
        <is>
          <t>W00031886A</t>
        </is>
      </c>
      <c r="D2844" s="6">
        <f>IF(F2844&gt;=5, F2844-5, IF(F2844&lt;5, 0, F2844))</f>
        <v/>
      </c>
      <c r="E2844">
        <f>VLOOKUP(B2844,[1]Namshi!$A:$B,2,0)</f>
        <v/>
      </c>
      <c r="F2844" s="4">
        <f>SUMIFS('Dubai Stock'!I:I,'Dubai Stock'!H:H,Final_UAE!B:B)</f>
        <v/>
      </c>
      <c r="H2844" s="8" t="e">
        <v>#N/A</v>
      </c>
      <c r="I2844" s="8" t="n"/>
    </row>
    <row r="2845">
      <c r="A2845" s="4" t="n">
        <v>33834</v>
      </c>
      <c r="B2845" s="4" t="inlineStr">
        <is>
          <t>sw100504-30s-000295-2904-53</t>
        </is>
      </c>
      <c r="C2845" s="4" t="inlineStr">
        <is>
          <t>W00031886A</t>
        </is>
      </c>
      <c r="D2845" s="6">
        <f>IF(F2845&gt;=5, F2845-5, IF(F2845&lt;5, 0, F2845))</f>
        <v/>
      </c>
      <c r="E2845">
        <f>VLOOKUP(B2845,[1]Namshi!$A:$B,2,0)</f>
        <v/>
      </c>
      <c r="F2845" s="4">
        <f>SUMIFS('Dubai Stock'!I:I,'Dubai Stock'!H:H,Final_UAE!B:B)</f>
        <v/>
      </c>
      <c r="H2845" s="8" t="e">
        <v>#N/A</v>
      </c>
    </row>
    <row r="2846">
      <c r="A2846" s="4" t="n">
        <v>33834</v>
      </c>
      <c r="B2846" s="4" t="inlineStr">
        <is>
          <t>sm51202-30s-000248-1202-53</t>
        </is>
      </c>
      <c r="C2846" s="4" t="inlineStr">
        <is>
          <t>W00031886A</t>
        </is>
      </c>
      <c r="D2846" s="6">
        <f>IF(F2846&gt;=5, F2846-5, IF(F2846&lt;5, 0, F2846))</f>
        <v/>
      </c>
      <c r="E2846">
        <f>VLOOKUP(B2846,[1]Namshi!$A:$B,2,0)</f>
        <v/>
      </c>
      <c r="F2846" s="4">
        <f>SUMIFS('Dubai Stock'!I:I,'Dubai Stock'!H:H,Final_UAE!B:B)</f>
        <v/>
      </c>
      <c r="H2846" s="8" t="e">
        <v>#N/A</v>
      </c>
    </row>
    <row r="2847">
      <c r="A2847" s="4" t="n">
        <v>33834</v>
      </c>
      <c r="B2847" s="4" t="inlineStr">
        <is>
          <t>fw20918-spc-000526-0900-48</t>
        </is>
      </c>
      <c r="C2847" s="4" t="inlineStr">
        <is>
          <t>W00031886A</t>
        </is>
      </c>
      <c r="D2847" s="6">
        <f>IF(F2847&gt;=5, F2847-5, IF(F2847&lt;5, 0, F2847))</f>
        <v/>
      </c>
      <c r="E2847">
        <f>VLOOKUP(B2847,[1]Namshi!$A:$B,2,0)</f>
        <v/>
      </c>
      <c r="F2847" s="4">
        <f>SUMIFS('Dubai Stock'!I:I,'Dubai Stock'!H:H,Final_UAE!B:B)</f>
        <v/>
      </c>
      <c r="H2847" s="8" t="e">
        <v>#N/A</v>
      </c>
      <c r="I2847" s="8" t="n"/>
    </row>
    <row r="2848">
      <c r="A2848" s="4" t="n">
        <v>33834</v>
      </c>
      <c r="B2848" s="4" t="inlineStr">
        <is>
          <t>cost3mo-lay-lens-p02-platinum-gray-sn0500</t>
        </is>
      </c>
      <c r="C2848" s="4" t="inlineStr">
        <is>
          <t>W00031886A</t>
        </is>
      </c>
      <c r="D2848" s="6">
        <f>IF(F2848&gt;=5, F2848-5, IF(F2848&lt;5, 0, F2848))</f>
        <v/>
      </c>
      <c r="E2848">
        <f>VLOOKUP(B2848,[1]Namshi!$A:$B,2,0)</f>
        <v/>
      </c>
      <c r="F2848" s="4">
        <f>SUMIFS('Dubai Stock'!I:I,'Dubai Stock'!H:H,Final_UAE!B:B)</f>
        <v/>
      </c>
      <c r="H2848" s="8" t="e">
        <v>#N/A</v>
      </c>
      <c r="I2848" s="8" t="n"/>
    </row>
    <row r="2849">
      <c r="A2849" s="4" t="n">
        <v>33834</v>
      </c>
      <c r="B2849" s="4" t="inlineStr">
        <is>
          <t>cost3mo-lay-2020-p02-ash-gray-sn0175</t>
        </is>
      </c>
      <c r="C2849" s="4" t="inlineStr">
        <is>
          <t>W00031886A</t>
        </is>
      </c>
      <c r="D2849" s="6">
        <f>IF(F2849&gt;=5, F2849-5, IF(F2849&lt;5, 0, F2849))</f>
        <v/>
      </c>
      <c r="E2849">
        <f>VLOOKUP(B2849,[1]Namshi!$A:$B,2,0)</f>
        <v/>
      </c>
      <c r="F2849" s="4">
        <f>SUMIFS('Dubai Stock'!I:I,'Dubai Stock'!H:H,Final_UAE!B:B)</f>
        <v/>
      </c>
      <c r="H2849" s="8" t="e">
        <v>#N/A</v>
      </c>
      <c r="I2849" s="8" t="n"/>
    </row>
    <row r="2850">
      <c r="A2850" s="4" t="n">
        <v>33834</v>
      </c>
      <c r="B2850" s="4" t="inlineStr">
        <is>
          <t>cost3mo-lay-lens-p02-platinum-gray-sn0350</t>
        </is>
      </c>
      <c r="C2850" s="4" t="inlineStr">
        <is>
          <t>W00031886A</t>
        </is>
      </c>
      <c r="D2850" s="6">
        <f>IF(F2850&gt;=5, F2850-5, IF(F2850&lt;5, 0, F2850))</f>
        <v/>
      </c>
      <c r="E2850">
        <f>VLOOKUP(B2850,[1]Namshi!$A:$B,2,0)</f>
        <v/>
      </c>
      <c r="F2850" s="4">
        <f>SUMIFS('Dubai Stock'!I:I,'Dubai Stock'!H:H,Final_UAE!B:B)</f>
        <v/>
      </c>
      <c r="H2850" s="8" t="e">
        <v>#N/A</v>
      </c>
      <c r="I2850" s="8" t="n"/>
    </row>
    <row r="2851">
      <c r="A2851" s="4" t="n">
        <v>33834</v>
      </c>
      <c r="B2851" s="4" t="inlineStr">
        <is>
          <t>clstdai-lay-cont-p60-dazzle-brown-sn0800</t>
        </is>
      </c>
      <c r="C2851" s="4" t="inlineStr">
        <is>
          <t>W00031886A</t>
        </is>
      </c>
      <c r="D2851" s="6">
        <f>IF(F2851&gt;=5, F2851-5, IF(F2851&lt;5, 0, F2851))</f>
        <v/>
      </c>
      <c r="E2851">
        <f>VLOOKUP(B2851,[1]Namshi!$A:$B,2,0)</f>
        <v/>
      </c>
      <c r="F2851" s="4">
        <f>SUMIFS('Dubai Stock'!I:I,'Dubai Stock'!H:H,Final_UAE!B:B)</f>
        <v/>
      </c>
      <c r="H2851" s="8" t="e">
        <v>#N/A</v>
      </c>
      <c r="I2851" s="8" t="n"/>
    </row>
    <row r="2852">
      <c r="A2852" s="4" t="n">
        <v>33834</v>
      </c>
      <c r="B2852" s="4" t="inlineStr">
        <is>
          <t>clstdai-eve-elit-p90-sn0800</t>
        </is>
      </c>
      <c r="C2852" s="4" t="inlineStr">
        <is>
          <t>W00031886A</t>
        </is>
      </c>
      <c r="D2852" s="6">
        <f>IF(F2852&gt;=5, F2852-5, IF(F2852&lt;5, 0, F2852))</f>
        <v/>
      </c>
      <c r="E2852">
        <f>VLOOKUP(B2852,[1]Namshi!$A:$B,2,0)</f>
        <v/>
      </c>
      <c r="F2852" s="4">
        <f>SUMIFS('Dubai Stock'!I:I,'Dubai Stock'!H:H,Final_UAE!B:B)</f>
        <v/>
      </c>
      <c r="H2852" s="8" t="n">
        <v>729</v>
      </c>
      <c r="I2852" s="8" t="n">
        <v>357</v>
      </c>
    </row>
    <row r="2853">
      <c r="A2853" s="4" t="n">
        <v>33834</v>
      </c>
      <c r="B2853" s="4" t="inlineStr">
        <is>
          <t>sacchan-30s-chain131-grn-bella-green</t>
        </is>
      </c>
      <c r="C2853" s="4" t="inlineStr">
        <is>
          <t>W00031886A</t>
        </is>
      </c>
      <c r="D2853" s="6">
        <f>IF(F2853&gt;=5, F2853-5, IF(F2853&lt;5, 0, F2853))</f>
        <v/>
      </c>
      <c r="E2853">
        <f>VLOOKUP(B2853,[1]Namshi!$A:$B,2,0)</f>
        <v/>
      </c>
      <c r="F2853" s="4">
        <f>SUMIFS('Dubai Stock'!I:I,'Dubai Stock'!H:H,Final_UAE!B:B)</f>
        <v/>
      </c>
      <c r="H2853" s="8" t="e">
        <v>#N/A</v>
      </c>
      <c r="I2853" s="8" t="n"/>
    </row>
    <row r="2854">
      <c r="A2854" s="4" t="n">
        <v>33834</v>
      </c>
      <c r="B2854" s="4" t="inlineStr">
        <is>
          <t>clstdai-eve-elit-p90-sp0600</t>
        </is>
      </c>
      <c r="C2854" s="4" t="inlineStr">
        <is>
          <t>W00031886A</t>
        </is>
      </c>
      <c r="D2854" s="6">
        <f>IF(F2854&gt;=5, F2854-5, IF(F2854&lt;5, 0, F2854))</f>
        <v/>
      </c>
      <c r="E2854">
        <f>VLOOKUP(B2854,[1]Namshi!$A:$B,2,0)</f>
        <v/>
      </c>
      <c r="F2854" s="4">
        <f>SUMIFS('Dubai Stock'!I:I,'Dubai Stock'!H:H,Final_UAE!B:B)</f>
        <v/>
      </c>
      <c r="H2854" s="8" t="n">
        <v>729</v>
      </c>
      <c r="I2854" s="8" t="n">
        <v>357</v>
      </c>
    </row>
    <row r="2855">
      <c r="A2855" s="4" t="n">
        <v>33834</v>
      </c>
      <c r="B2855" s="4" t="inlineStr">
        <is>
          <t>su62904-bla-000281-2904-54</t>
        </is>
      </c>
      <c r="C2855" s="4" t="inlineStr">
        <is>
          <t>W00031886A</t>
        </is>
      </c>
      <c r="D2855" s="6">
        <f>IF(F2855&gt;=5, F2855-5, IF(F2855&lt;5, 0, F2855))</f>
        <v/>
      </c>
      <c r="E2855">
        <f>VLOOKUP(B2855,[1]Namshi!$A:$B,2,0)</f>
        <v/>
      </c>
      <c r="F2855" s="4">
        <f>SUMIFS('Dubai Stock'!I:I,'Dubai Stock'!H:H,Final_UAE!B:B)</f>
        <v/>
      </c>
      <c r="H2855" s="8" t="e">
        <v>#N/A</v>
      </c>
      <c r="I2855" s="8" t="n"/>
    </row>
    <row r="2856">
      <c r="A2856" s="4" t="n">
        <v>33834</v>
      </c>
      <c r="B2856" s="4" t="inlineStr">
        <is>
          <t>clstdai-dai-tot1-p30-sn0450</t>
        </is>
      </c>
      <c r="C2856" s="4" t="inlineStr">
        <is>
          <t>W00031886A</t>
        </is>
      </c>
      <c r="D2856" s="6">
        <f>IF(F2856&gt;=5, F2856-5, IF(F2856&lt;5, 0, F2856))</f>
        <v/>
      </c>
      <c r="E2856">
        <f>VLOOKUP(B2856,[1]Namshi!$A:$B,2,0)</f>
        <v/>
      </c>
      <c r="F2856" s="4">
        <f>SUMIFS('Dubai Stock'!I:I,'Dubai Stock'!H:H,Final_UAE!B:B)</f>
        <v/>
      </c>
      <c r="H2856" s="8" t="e">
        <v>#N/A</v>
      </c>
      <c r="I2856" s="8" t="n"/>
    </row>
    <row r="2857">
      <c r="A2857" s="4" t="n">
        <v>33834</v>
      </c>
      <c r="B2857" s="4" t="inlineStr">
        <is>
          <t>cltobiw-acu-oasy-p06-sn0175-cn0075-a020</t>
        </is>
      </c>
      <c r="C2857" s="4" t="inlineStr">
        <is>
          <t>W00031886A</t>
        </is>
      </c>
      <c r="D2857" s="6">
        <f>IF(F2857&gt;=5, F2857-5, IF(F2857&lt;5, 0, F2857))</f>
        <v/>
      </c>
      <c r="E2857">
        <f>VLOOKUP(B2857,[1]Namshi!$A:$B,2,0)</f>
        <v/>
      </c>
      <c r="F2857" s="4">
        <f>SUMIFS('Dubai Stock'!I:I,'Dubai Stock'!H:H,Final_UAE!B:B)</f>
        <v/>
      </c>
      <c r="H2857" s="8" t="e">
        <v>#N/A</v>
      </c>
      <c r="I2857" s="8" t="n"/>
    </row>
    <row r="2858">
      <c r="A2858" s="4" t="n">
        <v>33834</v>
      </c>
      <c r="B2858" s="4" t="inlineStr">
        <is>
          <t>costdai-ama-dail-p10-amber-sn0550</t>
        </is>
      </c>
      <c r="C2858" s="4" t="inlineStr">
        <is>
          <t>W00031886A</t>
        </is>
      </c>
      <c r="D2858" s="6">
        <f>IF(F2858&gt;=5, F2858-5, IF(F2858&lt;5, 0, F2858))</f>
        <v/>
      </c>
      <c r="E2858">
        <f>VLOOKUP(B2858,[1]Namshi!$A:$B,2,0)</f>
        <v/>
      </c>
      <c r="F2858" s="4">
        <f>SUMIFS('Dubai Stock'!I:I,'Dubai Stock'!H:H,Final_UAE!B:B)</f>
        <v/>
      </c>
      <c r="H2858" s="8" t="e">
        <v>#N/A</v>
      </c>
      <c r="I2858" s="8" t="n"/>
    </row>
    <row r="2859">
      <c r="A2859" s="4" t="n">
        <v>33834</v>
      </c>
      <c r="B2859" s="4" t="inlineStr">
        <is>
          <t>costmon-ama-2024-p02-matcha-sn0075</t>
        </is>
      </c>
      <c r="C2859" s="4" t="inlineStr">
        <is>
          <t>W00031886A</t>
        </is>
      </c>
      <c r="D2859" s="6">
        <f>IF(F2859&gt;=5, F2859-5, IF(F2859&lt;5, 0, F2859))</f>
        <v/>
      </c>
      <c r="E2859">
        <f>VLOOKUP(B2859,[1]Namshi!$A:$B,2,0)</f>
        <v/>
      </c>
      <c r="F2859" s="4">
        <f>SUMIFS('Dubai Stock'!I:I,'Dubai Stock'!H:H,Final_UAE!B:B)</f>
        <v/>
      </c>
      <c r="H2859" s="8" t="e">
        <v>#N/A</v>
      </c>
      <c r="I2859" s="8" t="n"/>
    </row>
    <row r="2860">
      <c r="A2860" s="4" t="n">
        <v>33834</v>
      </c>
      <c r="B2860" s="4" t="inlineStr">
        <is>
          <t>cost3mo-lay-2022-p02-sweet-hazel-sn0175</t>
        </is>
      </c>
      <c r="C2860" s="4" t="inlineStr">
        <is>
          <t>W00031886A</t>
        </is>
      </c>
      <c r="D2860" s="6">
        <f>IF(F2860&gt;=5, F2860-5, IF(F2860&lt;5, 0, F2860))</f>
        <v/>
      </c>
      <c r="E2860">
        <f>VLOOKUP(B2860,[1]Namshi!$A:$B,2,0)</f>
        <v/>
      </c>
      <c r="F2860" s="4">
        <f>SUMIFS('Dubai Stock'!I:I,'Dubai Stock'!H:H,Final_UAE!B:B)</f>
        <v/>
      </c>
      <c r="H2860" s="8" t="e">
        <v>#N/A</v>
      </c>
      <c r="I2860" s="8" t="n"/>
    </row>
    <row r="2861">
      <c r="A2861" s="4" t="n">
        <v>33834</v>
      </c>
      <c r="B2861" s="4" t="inlineStr">
        <is>
          <t>clstdai-acu-oasy-p30-sn1200</t>
        </is>
      </c>
      <c r="C2861" s="4" t="inlineStr">
        <is>
          <t>W00031886A</t>
        </is>
      </c>
      <c r="D2861" s="6">
        <f>IF(F2861&gt;=5, F2861-5, IF(F2861&lt;5, 0, F2861))</f>
        <v/>
      </c>
      <c r="E2861">
        <f>VLOOKUP(B2861,[1]Namshi!$A:$B,2,0)</f>
        <v/>
      </c>
      <c r="F2861" s="4">
        <f>SUMIFS('Dubai Stock'!I:I,'Dubai Stock'!H:H,Final_UAE!B:B)</f>
        <v/>
      </c>
      <c r="H2861" s="8" t="e">
        <v>#N/A</v>
      </c>
      <c r="I2861" s="8" t="n"/>
    </row>
    <row r="2862">
      <c r="A2862" s="4" t="n">
        <v>33834</v>
      </c>
      <c r="B2862" s="4" t="inlineStr">
        <is>
          <t>clstdai-acu-dfna-p90-sn0225</t>
        </is>
      </c>
      <c r="C2862" s="4" t="inlineStr">
        <is>
          <t>W00031886A</t>
        </is>
      </c>
      <c r="D2862" s="6">
        <f>IF(F2862&gt;=5, F2862-5, IF(F2862&lt;5, 0, F2862))</f>
        <v/>
      </c>
      <c r="E2862">
        <f>VLOOKUP(B2862,[1]Namshi!$A:$B,2,0)</f>
        <v/>
      </c>
      <c r="F2862" s="4">
        <f>SUMIFS('Dubai Stock'!I:I,'Dubai Stock'!H:H,Final_UAE!B:B)</f>
        <v/>
      </c>
      <c r="H2862" s="8" t="e">
        <v>#N/A</v>
      </c>
      <c r="I2862" s="8" t="n"/>
    </row>
    <row r="2863">
      <c r="A2863" s="4" t="n">
        <v>33834</v>
      </c>
      <c r="B2863" s="4" t="inlineStr">
        <is>
          <t>costmon-ama-2022-p02-tan-sn0225</t>
        </is>
      </c>
      <c r="C2863" s="4" t="inlineStr">
        <is>
          <t>W00031886A</t>
        </is>
      </c>
      <c r="D2863" s="6">
        <f>IF(F2863&gt;=5, F2863-5, IF(F2863&lt;5, 0, F2863))</f>
        <v/>
      </c>
      <c r="E2863">
        <f>VLOOKUP(B2863,[1]Namshi!$A:$B,2,0)</f>
        <v/>
      </c>
      <c r="F2863" s="4">
        <f>SUMIFS('Dubai Stock'!I:I,'Dubai Stock'!H:H,Final_UAE!B:B)</f>
        <v/>
      </c>
      <c r="H2863" s="8" t="e">
        <v>#N/A</v>
      </c>
      <c r="I2863" s="8" t="n"/>
    </row>
    <row r="2864">
      <c r="A2864" s="4" t="n">
        <v>33834</v>
      </c>
      <c r="B2864" s="4" t="inlineStr">
        <is>
          <t>cost3mo-lay-lens-p02-chestnut-brown-sn0325</t>
        </is>
      </c>
      <c r="C2864" s="4" t="inlineStr">
        <is>
          <t>W00031886A</t>
        </is>
      </c>
      <c r="D2864" s="6">
        <f>IF(F2864&gt;=5, F2864-5, IF(F2864&lt;5, 0, F2864))</f>
        <v/>
      </c>
      <c r="E2864">
        <f>VLOOKUP(B2864,[1]Namshi!$A:$B,2,0)</f>
        <v/>
      </c>
      <c r="F2864" s="4">
        <f>SUMIFS('Dubai Stock'!I:I,'Dubai Stock'!H:H,Final_UAE!B:B)</f>
        <v/>
      </c>
      <c r="H2864" s="8" t="e">
        <v>#N/A</v>
      </c>
      <c r="I2864" s="8" t="n"/>
    </row>
    <row r="2865">
      <c r="A2865" s="4" t="n">
        <v>33834</v>
      </c>
      <c r="B2865" s="4" t="inlineStr">
        <is>
          <t>sw60104-30s-000433-0104-52</t>
        </is>
      </c>
      <c r="C2865" s="4" t="inlineStr">
        <is>
          <t>W00031886A</t>
        </is>
      </c>
      <c r="D2865" s="6">
        <f>IF(F2865&gt;=5, F2865-5, IF(F2865&lt;5, 0, F2865))</f>
        <v/>
      </c>
      <c r="E2865">
        <f>VLOOKUP(B2865,[1]Namshi!$A:$B,2,0)</f>
        <v/>
      </c>
      <c r="F2865" s="4">
        <f>SUMIFS('Dubai Stock'!I:I,'Dubai Stock'!H:H,Final_UAE!B:B)</f>
        <v/>
      </c>
      <c r="H2865" s="8" t="e">
        <v>#N/A</v>
      </c>
    </row>
    <row r="2866">
      <c r="A2866" s="4" t="n">
        <v>33834</v>
      </c>
      <c r="B2866" s="4" t="inlineStr">
        <is>
          <t>costmon-ama-2024-p02-nmr-sn0350</t>
        </is>
      </c>
      <c r="C2866" s="4" t="inlineStr">
        <is>
          <t>W00031886A</t>
        </is>
      </c>
      <c r="D2866" s="6">
        <f>IF(F2866&gt;=5, F2866-5, IF(F2866&lt;5, 0, F2866))</f>
        <v/>
      </c>
      <c r="E2866">
        <f>VLOOKUP(B2866,[1]Namshi!$A:$B,2,0)</f>
        <v/>
      </c>
      <c r="F2866" s="4">
        <f>SUMIFS('Dubai Stock'!I:I,'Dubai Stock'!H:H,Final_UAE!B:B)</f>
        <v/>
      </c>
      <c r="H2866" s="8" t="e">
        <v>#N/A</v>
      </c>
      <c r="I2866" s="8" t="n"/>
    </row>
    <row r="2867">
      <c r="A2867" s="4" t="n">
        <v>33834</v>
      </c>
      <c r="B2867" s="4" t="inlineStr">
        <is>
          <t>sunglasses-30Sundays-30s-000450-0504</t>
        </is>
      </c>
      <c r="C2867" s="4" t="inlineStr">
        <is>
          <t>W00031886A</t>
        </is>
      </c>
      <c r="D2867" s="6">
        <f>IF(F2867&gt;=5, F2867-5, IF(F2867&lt;5, 0, F2867))</f>
        <v/>
      </c>
      <c r="E2867">
        <f>VLOOKUP(B2867,[1]Namshi!$A:$B,2,0)</f>
        <v/>
      </c>
      <c r="F2867" s="4">
        <f>SUMIFS('Dubai Stock'!I:I,'Dubai Stock'!H:H,Final_UAE!B:B)</f>
        <v/>
      </c>
      <c r="H2867" s="8" t="e">
        <v>#N/A</v>
      </c>
      <c r="I2867" s="8" t="n"/>
    </row>
    <row r="2868">
      <c r="A2868" s="4" t="n">
        <v>33834</v>
      </c>
      <c r="B2868" s="4" t="inlineStr">
        <is>
          <t>sw30404-bla-000244-0404-52</t>
        </is>
      </c>
      <c r="C2868" s="4" t="inlineStr">
        <is>
          <t>W00031886A</t>
        </is>
      </c>
      <c r="D2868" s="6">
        <f>IF(F2868&gt;=5, F2868-5, IF(F2868&lt;5, 0, F2868))</f>
        <v/>
      </c>
      <c r="E2868">
        <f>VLOOKUP(B2868,[1]Namshi!$A:$B,2,0)</f>
        <v/>
      </c>
      <c r="F2868" s="4">
        <f>SUMIFS('Dubai Stock'!I:I,'Dubai Stock'!H:H,Final_UAE!B:B)</f>
        <v/>
      </c>
      <c r="H2868" s="8" t="e">
        <v>#N/A</v>
      </c>
    </row>
    <row r="2869">
      <c r="A2869" s="4" t="n">
        <v>33834</v>
      </c>
      <c r="B2869" s="4" t="inlineStr">
        <is>
          <t>clstdai-lay-cont-p10-dazzle-brown-sn0575</t>
        </is>
      </c>
      <c r="C2869" s="4" t="inlineStr">
        <is>
          <t>W00031886A</t>
        </is>
      </c>
      <c r="D2869" s="6">
        <f>IF(F2869&gt;=5, F2869-5, IF(F2869&lt;5, 0, F2869))</f>
        <v/>
      </c>
      <c r="E2869">
        <f>VLOOKUP(B2869,[1]Namshi!$A:$B,2,0)</f>
        <v/>
      </c>
      <c r="F2869" s="4">
        <f>SUMIFS('Dubai Stock'!I:I,'Dubai Stock'!H:H,Final_UAE!B:B)</f>
        <v/>
      </c>
      <c r="H2869" s="8" t="e">
        <v>#N/A</v>
      </c>
      <c r="I2869" s="8" t="n"/>
    </row>
    <row r="2870">
      <c r="A2870" s="4" t="n">
        <v>33834</v>
      </c>
      <c r="B2870" s="4" t="inlineStr">
        <is>
          <t>su22904-30s-000229-2904-53</t>
        </is>
      </c>
      <c r="C2870" s="4" t="inlineStr">
        <is>
          <t>W00031886A</t>
        </is>
      </c>
      <c r="D2870" s="6">
        <f>IF(F2870&gt;=5, F2870-5, IF(F2870&lt;5, 0, F2870))</f>
        <v/>
      </c>
      <c r="E2870">
        <f>VLOOKUP(B2870,[1]Namshi!$A:$B,2,0)</f>
        <v/>
      </c>
      <c r="F2870" s="4">
        <f>SUMIFS('Dubai Stock'!I:I,'Dubai Stock'!H:H,Final_UAE!B:B)</f>
        <v/>
      </c>
      <c r="H2870" s="8" t="e">
        <v>#N/A</v>
      </c>
    </row>
    <row r="2871">
      <c r="A2871" s="4" t="n">
        <v>33834</v>
      </c>
      <c r="B2871" s="4" t="inlineStr">
        <is>
          <t>sw70107-30s-000267-0107-54</t>
        </is>
      </c>
      <c r="C2871" s="4" t="inlineStr">
        <is>
          <t>W00031886A</t>
        </is>
      </c>
      <c r="D2871" s="6">
        <f>IF(F2871&gt;=5, F2871-5, IF(F2871&lt;5, 0, F2871))</f>
        <v/>
      </c>
      <c r="E2871">
        <f>VLOOKUP(B2871,[1]Namshi!$A:$B,2,0)</f>
        <v/>
      </c>
      <c r="F2871" s="4">
        <f>SUMIFS('Dubai Stock'!I:I,'Dubai Stock'!H:H,Final_UAE!B:B)</f>
        <v/>
      </c>
      <c r="H2871" s="8" t="e">
        <v>#N/A</v>
      </c>
    </row>
    <row r="2872">
      <c r="A2872" s="4" t="n">
        <v>33834</v>
      </c>
      <c r="B2872" s="4" t="inlineStr">
        <is>
          <t>sw40107-30s-000274-0101-54</t>
        </is>
      </c>
      <c r="C2872" s="4" t="inlineStr">
        <is>
          <t>W00031886A</t>
        </is>
      </c>
      <c r="D2872" s="6">
        <f>IF(F2872&gt;=5, F2872-5, IF(F2872&lt;5, 0, F2872))</f>
        <v/>
      </c>
      <c r="E2872">
        <f>VLOOKUP(B2872,[1]Namshi!$A:$B,2,0)</f>
        <v/>
      </c>
      <c r="F2872" s="4">
        <f>SUMIFS('Dubai Stock'!I:I,'Dubai Stock'!H:H,Final_UAE!B:B)</f>
        <v/>
      </c>
      <c r="H2872" s="8" t="e">
        <v>#N/A</v>
      </c>
    </row>
    <row r="2873">
      <c r="A2873" s="4" t="n">
        <v>33834</v>
      </c>
      <c r="B2873" s="4" t="inlineStr">
        <is>
          <t>rm43218-spc-00928-3218-52-sp0200</t>
        </is>
      </c>
      <c r="C2873" s="4" t="inlineStr">
        <is>
          <t>W00031886A</t>
        </is>
      </c>
      <c r="D2873" s="6">
        <f>IF(F2873&gt;=5, F2873-5, IF(F2873&lt;5, 0, F2873))</f>
        <v/>
      </c>
      <c r="E2873">
        <f>VLOOKUP(B2873,[1]Namshi!$A:$B,2,0)</f>
        <v/>
      </c>
      <c r="F2873" s="4">
        <f>SUMIFS('Dubai Stock'!I:I,'Dubai Stock'!H:H,Final_UAE!B:B)</f>
        <v/>
      </c>
      <c r="H2873" s="8" t="e">
        <v>#N/A</v>
      </c>
      <c r="I2873" s="8" t="n"/>
    </row>
    <row r="2874">
      <c r="A2874" s="4" t="n">
        <v>33834</v>
      </c>
      <c r="B2874" s="4" t="inlineStr">
        <is>
          <t>fm41218-spc-000865-1218-52</t>
        </is>
      </c>
      <c r="C2874" s="4" t="inlineStr">
        <is>
          <t>W00031886A</t>
        </is>
      </c>
      <c r="D2874" s="6">
        <f>IF(F2874&gt;=5, F2874-5, IF(F2874&lt;5, 0, F2874))</f>
        <v/>
      </c>
      <c r="E2874">
        <f>VLOOKUP(B2874,[1]Namshi!$A:$B,2,0)</f>
        <v/>
      </c>
      <c r="F2874" s="4">
        <f>SUMIFS('Dubai Stock'!I:I,'Dubai Stock'!H:H,Final_UAE!B:B)</f>
        <v/>
      </c>
      <c r="H2874" s="8" t="e">
        <v>#N/A</v>
      </c>
      <c r="I2874" s="8" t="n"/>
    </row>
    <row r="2875">
      <c r="A2875" s="4" t="n">
        <v>33834</v>
      </c>
      <c r="B2875" s="4" t="inlineStr">
        <is>
          <t>sw50504-30s-000225-0504-61</t>
        </is>
      </c>
      <c r="C2875" s="4" t="inlineStr">
        <is>
          <t>W00031886A</t>
        </is>
      </c>
      <c r="D2875" s="6">
        <f>IF(F2875&gt;=5, F2875-5, IF(F2875&lt;5, 0, F2875))</f>
        <v/>
      </c>
      <c r="E2875">
        <f>VLOOKUP(B2875,[1]Namshi!$A:$B,2,0)</f>
        <v/>
      </c>
      <c r="F2875" s="4">
        <f>SUMIFS('Dubai Stock'!I:I,'Dubai Stock'!H:H,Final_UAE!B:B)</f>
        <v/>
      </c>
      <c r="H2875" s="8" t="e">
        <v>#N/A</v>
      </c>
    </row>
    <row r="2876">
      <c r="A2876" s="4" t="n">
        <v>33834</v>
      </c>
      <c r="B2876" s="4" t="inlineStr">
        <is>
          <t>su100101-30s-000305-0101-50</t>
        </is>
      </c>
      <c r="C2876" s="4" t="inlineStr">
        <is>
          <t>W00031886A</t>
        </is>
      </c>
      <c r="D2876" s="6">
        <f>IF(F2876&gt;=5, F2876-5, IF(F2876&lt;5, 0, F2876))</f>
        <v/>
      </c>
      <c r="E2876">
        <f>VLOOKUP(B2876,[1]Namshi!$A:$B,2,0)</f>
        <v/>
      </c>
      <c r="F2876" s="4">
        <f>SUMIFS('Dubai Stock'!I:I,'Dubai Stock'!H:H,Final_UAE!B:B)</f>
        <v/>
      </c>
      <c r="H2876" s="8" t="e">
        <v>#N/A</v>
      </c>
    </row>
    <row r="2877">
      <c r="A2877" s="4" t="n">
        <v>33834</v>
      </c>
      <c r="B2877" s="4" t="inlineStr">
        <is>
          <t>clstdai-eve-elit-p30-sp0200</t>
        </is>
      </c>
      <c r="C2877" s="4" t="inlineStr">
        <is>
          <t>W00031886A</t>
        </is>
      </c>
      <c r="D2877" s="6">
        <f>IF(F2877&gt;=5, F2877-5, IF(F2877&lt;5, 0, F2877))</f>
        <v/>
      </c>
      <c r="E2877">
        <f>VLOOKUP(B2877,[1]Namshi!$A:$B,2,0)</f>
        <v/>
      </c>
      <c r="F2877" s="4">
        <f>SUMIFS('Dubai Stock'!I:I,'Dubai Stock'!H:H,Final_UAE!B:B)</f>
        <v/>
      </c>
      <c r="H2877" s="8" t="n">
        <v>261</v>
      </c>
      <c r="I2877" s="8" t="n">
        <v>146.3</v>
      </c>
    </row>
    <row r="2878">
      <c r="A2878" s="4" t="n">
        <v>33834</v>
      </c>
      <c r="B2878" s="4" t="inlineStr">
        <is>
          <t>sm40201-30s-000289-0207p-57</t>
        </is>
      </c>
      <c r="C2878" s="4" t="inlineStr">
        <is>
          <t>W00031886A</t>
        </is>
      </c>
      <c r="D2878" s="6">
        <f>IF(F2878&gt;=5, F2878-5, IF(F2878&lt;5, 0, F2878))</f>
        <v/>
      </c>
      <c r="E2878">
        <f>VLOOKUP(B2878,[1]Namshi!$A:$B,2,0)</f>
        <v/>
      </c>
      <c r="F2878" s="4">
        <f>SUMIFS('Dubai Stock'!I:I,'Dubai Stock'!H:H,Final_UAE!B:B)</f>
        <v/>
      </c>
      <c r="H2878" s="8" t="e">
        <v>#N/A</v>
      </c>
    </row>
    <row r="2879">
      <c r="A2879" s="4" t="n">
        <v>33834</v>
      </c>
      <c r="B2879" s="4" t="inlineStr">
        <is>
          <t>cost3mo-lay-2022-p02-sweet-hazel-sn0225</t>
        </is>
      </c>
      <c r="C2879" s="4" t="inlineStr">
        <is>
          <t>W00031886A</t>
        </is>
      </c>
      <c r="D2879" s="6">
        <f>IF(F2879&gt;=5, F2879-5, IF(F2879&lt;5, 0, F2879))</f>
        <v/>
      </c>
      <c r="E2879">
        <f>VLOOKUP(B2879,[1]Namshi!$A:$B,2,0)</f>
        <v/>
      </c>
      <c r="F2879" s="4">
        <f>SUMIFS('Dubai Stock'!I:I,'Dubai Stock'!H:H,Final_UAE!B:B)</f>
        <v/>
      </c>
      <c r="H2879" s="8" t="e">
        <v>#N/A</v>
      </c>
      <c r="I2879" s="8" t="n"/>
    </row>
    <row r="2880">
      <c r="A2880" s="4" t="n">
        <v>33834</v>
      </c>
      <c r="B2880" s="4" t="inlineStr">
        <is>
          <t>sw32404-30s-000291-2404-51</t>
        </is>
      </c>
      <c r="C2880" s="4" t="inlineStr">
        <is>
          <t>W00031886A</t>
        </is>
      </c>
      <c r="D2880" s="6">
        <f>IF(F2880&gt;=5, F2880-5, IF(F2880&lt;5, 0, F2880))</f>
        <v/>
      </c>
      <c r="E2880">
        <f>VLOOKUP(B2880,[1]Namshi!$A:$B,2,0)</f>
        <v/>
      </c>
      <c r="F2880" s="4">
        <f>SUMIFS('Dubai Stock'!I:I,'Dubai Stock'!H:H,Final_UAE!B:B)</f>
        <v/>
      </c>
      <c r="H2880" s="8" t="e">
        <v>#N/A</v>
      </c>
    </row>
    <row r="2881">
      <c r="A2881" s="4" t="n">
        <v>33834</v>
      </c>
      <c r="B2881" s="4" t="inlineStr">
        <is>
          <t>clstdai-acu-oasy-p30-sn0225</t>
        </is>
      </c>
      <c r="C2881" s="4" t="inlineStr">
        <is>
          <t>W00031886A</t>
        </is>
      </c>
      <c r="D2881" s="6">
        <f>IF(F2881&gt;=5, F2881-5, IF(F2881&lt;5, 0, F2881))</f>
        <v/>
      </c>
      <c r="E2881">
        <f>VLOOKUP(B2881,[1]Namshi!$A:$B,2,0)</f>
        <v/>
      </c>
      <c r="F2881" s="4">
        <f>SUMIFS('Dubai Stock'!I:I,'Dubai Stock'!H:H,Final_UAE!B:B)</f>
        <v/>
      </c>
      <c r="H2881" s="8" t="e">
        <v>#N/A</v>
      </c>
      <c r="I2881" s="8" t="n"/>
    </row>
    <row r="2882">
      <c r="A2882" s="4" t="n">
        <v>33834</v>
      </c>
      <c r="B2882" s="4" t="inlineStr">
        <is>
          <t>costmon-ama-2023-p02-chai-sn0150</t>
        </is>
      </c>
      <c r="C2882" s="4" t="inlineStr">
        <is>
          <t>W00031886A</t>
        </is>
      </c>
      <c r="D2882" s="6">
        <f>IF(F2882&gt;=5, F2882-5, IF(F2882&lt;5, 0, F2882))</f>
        <v/>
      </c>
      <c r="E2882">
        <f>VLOOKUP(B2882,[1]Namshi!$A:$B,2,0)</f>
        <v/>
      </c>
      <c r="F2882" s="4">
        <f>SUMIFS('Dubai Stock'!I:I,'Dubai Stock'!H:H,Final_UAE!B:B)</f>
        <v/>
      </c>
      <c r="H2882" s="8" t="e">
        <v>#N/A</v>
      </c>
      <c r="I2882" s="8" t="n"/>
    </row>
    <row r="2883">
      <c r="A2883" s="4" t="n">
        <v>33834</v>
      </c>
      <c r="B2883" s="4" t="inlineStr">
        <is>
          <t>sw51304-bla-000236-1304-56</t>
        </is>
      </c>
      <c r="C2883" s="4" t="inlineStr">
        <is>
          <t>W00031886A</t>
        </is>
      </c>
      <c r="D2883" s="6">
        <f>IF(F2883&gt;=5, F2883-5, IF(F2883&lt;5, 0, F2883))</f>
        <v/>
      </c>
      <c r="E2883">
        <f>VLOOKUP(B2883,[1]Namshi!$A:$B,2,0)</f>
        <v/>
      </c>
      <c r="F2883" s="4">
        <f>SUMIFS('Dubai Stock'!I:I,'Dubai Stock'!H:H,Final_UAE!B:B)</f>
        <v/>
      </c>
      <c r="H2883" s="8" t="e">
        <v>#N/A</v>
      </c>
    </row>
    <row r="2884">
      <c r="A2884" s="4" t="n">
        <v>33834</v>
      </c>
      <c r="B2884" s="4" t="inlineStr">
        <is>
          <t>sw100404-bla-000274-0404-55</t>
        </is>
      </c>
      <c r="C2884" s="4" t="inlineStr">
        <is>
          <t>W00031886A</t>
        </is>
      </c>
      <c r="D2884" s="6">
        <f>IF(F2884&gt;=5, F2884-5, IF(F2884&lt;5, 0, F2884))</f>
        <v/>
      </c>
      <c r="E2884">
        <f>VLOOKUP(B2884,[1]Namshi!$A:$B,2,0)</f>
        <v/>
      </c>
      <c r="F2884" s="4">
        <f>SUMIFS('Dubai Stock'!I:I,'Dubai Stock'!H:H,Final_UAE!B:B)</f>
        <v/>
      </c>
      <c r="H2884" s="8" t="e">
        <v>#N/A</v>
      </c>
      <c r="I2884" s="8" t="n"/>
    </row>
    <row r="2885">
      <c r="A2885" s="4" t="n">
        <v>33834</v>
      </c>
      <c r="B2885" s="4" t="inlineStr">
        <is>
          <t>clstdai-eve-elit-p90-sn0900</t>
        </is>
      </c>
      <c r="C2885" s="4" t="inlineStr">
        <is>
          <t>W00031886A</t>
        </is>
      </c>
      <c r="D2885" s="6">
        <f>IF(F2885&gt;=5, F2885-5, IF(F2885&lt;5, 0, F2885))</f>
        <v/>
      </c>
      <c r="E2885">
        <f>VLOOKUP(B2885,[1]Namshi!$A:$B,2,0)</f>
        <v/>
      </c>
      <c r="F2885" s="4">
        <f>SUMIFS('Dubai Stock'!I:I,'Dubai Stock'!H:H,Final_UAE!B:B)</f>
        <v/>
      </c>
      <c r="H2885" s="8" t="n">
        <v>729</v>
      </c>
      <c r="I2885" s="8" t="n">
        <v>357</v>
      </c>
    </row>
    <row r="2886">
      <c r="A2886" s="4" t="n">
        <v>33834</v>
      </c>
      <c r="B2886" s="4" t="inlineStr">
        <is>
          <t>clstdai-cti-cla1-p90-sn0050</t>
        </is>
      </c>
      <c r="C2886" s="4" t="inlineStr">
        <is>
          <t>W00031886A</t>
        </is>
      </c>
      <c r="D2886" s="6">
        <f>IF(F2886&gt;=5, F2886-5, IF(F2886&lt;5, 0, F2886))</f>
        <v/>
      </c>
      <c r="E2886">
        <f>VLOOKUP(B2886,[1]Namshi!$A:$B,2,0)</f>
        <v/>
      </c>
      <c r="F2886" s="4">
        <f>SUMIFS('Dubai Stock'!I:I,'Dubai Stock'!H:H,Final_UAE!B:B)</f>
        <v/>
      </c>
      <c r="H2886" s="8" t="e">
        <v>#N/A</v>
      </c>
      <c r="I2886" s="8" t="n"/>
    </row>
    <row r="2887">
      <c r="A2887" s="4" t="n">
        <v>33834</v>
      </c>
      <c r="B2887" s="4" t="inlineStr">
        <is>
          <t>clstdai-eve-elit-p90-sp0425</t>
        </is>
      </c>
      <c r="C2887" s="4" t="inlineStr">
        <is>
          <t>W00031886A</t>
        </is>
      </c>
      <c r="D2887" s="6">
        <f>IF(F2887&gt;=5, F2887-5, IF(F2887&lt;5, 0, F2887))</f>
        <v/>
      </c>
      <c r="E2887">
        <f>VLOOKUP(B2887,[1]Namshi!$A:$B,2,0)</f>
        <v/>
      </c>
      <c r="F2887" s="4">
        <f>SUMIFS('Dubai Stock'!I:I,'Dubai Stock'!H:H,Final_UAE!B:B)</f>
        <v/>
      </c>
      <c r="H2887" s="8" t="n">
        <v>729</v>
      </c>
      <c r="I2887" s="8" t="n">
        <v>357</v>
      </c>
    </row>
    <row r="2888">
      <c r="A2888" s="4" t="n">
        <v>33834</v>
      </c>
      <c r="B2888" s="4" t="inlineStr">
        <is>
          <t>clstdai-acu-oasy-p120-sn0250</t>
        </is>
      </c>
      <c r="C2888" s="4" t="inlineStr">
        <is>
          <t>W00031886A</t>
        </is>
      </c>
      <c r="D2888" s="6">
        <f>IF(F2888&gt;=5, F2888-5, IF(F2888&lt;5, 0, F2888))</f>
        <v/>
      </c>
      <c r="E2888">
        <f>VLOOKUP(B2888,[1]Namshi!$A:$B,2,0)</f>
        <v/>
      </c>
      <c r="F2888" s="4">
        <f>SUMIFS('Dubai Stock'!I:I,'Dubai Stock'!H:H,Final_UAE!B:B)</f>
        <v/>
      </c>
      <c r="H2888" s="8" t="e">
        <v>#N/A</v>
      </c>
      <c r="I2888" s="8" t="n"/>
    </row>
    <row r="2889">
      <c r="A2889" s="4" t="n">
        <v>33834</v>
      </c>
      <c r="B2889" s="4" t="inlineStr">
        <is>
          <t>costdai-ama-dail-p10-shadow-sn0650</t>
        </is>
      </c>
      <c r="C2889" s="4" t="inlineStr">
        <is>
          <t>W00031886A</t>
        </is>
      </c>
      <c r="D2889" s="6">
        <f>IF(F2889&gt;=5, F2889-5, IF(F2889&lt;5, 0, F2889))</f>
        <v/>
      </c>
      <c r="E2889">
        <f>VLOOKUP(B2889,[1]Namshi!$A:$B,2,0)</f>
        <v/>
      </c>
      <c r="F2889" s="4">
        <f>SUMIFS('Dubai Stock'!I:I,'Dubai Stock'!H:H,Final_UAE!B:B)</f>
        <v/>
      </c>
      <c r="H2889" s="8" t="e">
        <v>#N/A</v>
      </c>
      <c r="I2889" s="8" t="n"/>
    </row>
    <row r="2890">
      <c r="A2890" s="4" t="n">
        <v>33834</v>
      </c>
      <c r="B2890" s="4" t="inlineStr">
        <is>
          <t>clstbiw-acu-0002-p06-sn0450</t>
        </is>
      </c>
      <c r="C2890" s="4" t="inlineStr">
        <is>
          <t>W00031886A</t>
        </is>
      </c>
      <c r="D2890" s="6">
        <f>IF(F2890&gt;=5, F2890-5, IF(F2890&lt;5, 0, F2890))</f>
        <v/>
      </c>
      <c r="E2890">
        <f>VLOOKUP(B2890,[1]Namshi!$A:$B,2,0)</f>
        <v/>
      </c>
      <c r="F2890" s="4">
        <f>SUMIFS('Dubai Stock'!I:I,'Dubai Stock'!H:H,Final_UAE!B:B)</f>
        <v/>
      </c>
      <c r="H2890" s="8" t="e">
        <v>#N/A</v>
      </c>
      <c r="I2890" s="8" t="n"/>
    </row>
    <row r="2891">
      <c r="A2891" s="4" t="n">
        <v>33834</v>
      </c>
      <c r="B2891" s="4" t="inlineStr">
        <is>
          <t>costmon-ama-2024-p02-barbie-brown-sn0225</t>
        </is>
      </c>
      <c r="C2891" s="4" t="inlineStr">
        <is>
          <t>W00031886A</t>
        </is>
      </c>
      <c r="D2891" s="6">
        <f>IF(F2891&gt;=5, F2891-5, IF(F2891&lt;5, 0, F2891))</f>
        <v/>
      </c>
      <c r="E2891">
        <f>VLOOKUP(B2891,[1]Namshi!$A:$B,2,0)</f>
        <v/>
      </c>
      <c r="F2891" s="4">
        <f>SUMIFS('Dubai Stock'!I:I,'Dubai Stock'!H:H,Final_UAE!B:B)</f>
        <v/>
      </c>
      <c r="H2891" s="8" t="e">
        <v>#N/A</v>
      </c>
      <c r="I2891" s="8" t="n"/>
    </row>
    <row r="2892">
      <c r="A2892" s="4" t="n">
        <v>33834</v>
      </c>
      <c r="B2892" s="4" t="inlineStr">
        <is>
          <t>clstdai-dai-tot1-p30-sn0350</t>
        </is>
      </c>
      <c r="C2892" s="4" t="inlineStr">
        <is>
          <t>W00031886A</t>
        </is>
      </c>
      <c r="D2892" s="6">
        <f>IF(F2892&gt;=5, F2892-5, IF(F2892&lt;5, 0, F2892))</f>
        <v/>
      </c>
      <c r="E2892">
        <f>VLOOKUP(B2892,[1]Namshi!$A:$B,2,0)</f>
        <v/>
      </c>
      <c r="F2892" s="4">
        <f>SUMIFS('Dubai Stock'!I:I,'Dubai Stock'!H:H,Final_UAE!B:B)</f>
        <v/>
      </c>
      <c r="H2892" s="8" t="e">
        <v>#N/A</v>
      </c>
      <c r="I2892" s="8" t="n"/>
    </row>
    <row r="2893">
      <c r="A2893" s="4" t="n">
        <v>33834</v>
      </c>
      <c r="B2893" s="4" t="inlineStr">
        <is>
          <t>sw32904-bla-000228-2904-58</t>
        </is>
      </c>
      <c r="C2893" s="4" t="inlineStr">
        <is>
          <t>W00031886A</t>
        </is>
      </c>
      <c r="D2893" s="6">
        <f>IF(F2893&gt;=5, F2893-5, IF(F2893&lt;5, 0, F2893))</f>
        <v/>
      </c>
      <c r="E2893">
        <f>VLOOKUP(B2893,[1]Namshi!$A:$B,2,0)</f>
        <v/>
      </c>
      <c r="F2893" s="4">
        <f>SUMIFS('Dubai Stock'!I:I,'Dubai Stock'!H:H,Final_UAE!B:B)</f>
        <v/>
      </c>
      <c r="H2893" s="8" t="e">
        <v>#N/A</v>
      </c>
    </row>
    <row r="2894">
      <c r="A2894" s="4" t="n">
        <v>33834</v>
      </c>
      <c r="B2894" s="4" t="inlineStr">
        <is>
          <t>costdai-ama-dail-p10-honey-sn0375</t>
        </is>
      </c>
      <c r="C2894" s="4" t="inlineStr">
        <is>
          <t>W00031886A</t>
        </is>
      </c>
      <c r="D2894" s="6">
        <f>IF(F2894&gt;=5, F2894-5, IF(F2894&lt;5, 0, F2894))</f>
        <v/>
      </c>
      <c r="E2894">
        <f>VLOOKUP(B2894,[1]Namshi!$A:$B,2,0)</f>
        <v/>
      </c>
      <c r="F2894" s="4">
        <f>SUMIFS('Dubai Stock'!I:I,'Dubai Stock'!H:H,Final_UAE!B:B)</f>
        <v/>
      </c>
      <c r="H2894" s="8" t="e">
        <v>#N/A</v>
      </c>
      <c r="I2894" s="8" t="n"/>
    </row>
    <row r="2895">
      <c r="A2895" s="4" t="n">
        <v>33834</v>
      </c>
      <c r="B2895" s="4" t="inlineStr">
        <is>
          <t>clstdai-acu-dfvi-p60-sn0250</t>
        </is>
      </c>
      <c r="C2895" s="4" t="inlineStr">
        <is>
          <t>W00031886A</t>
        </is>
      </c>
      <c r="D2895" s="6">
        <f>IF(F2895&gt;=5, F2895-5, IF(F2895&lt;5, 0, F2895))</f>
        <v/>
      </c>
      <c r="E2895">
        <f>VLOOKUP(B2895,[1]Namshi!$A:$B,2,0)</f>
        <v/>
      </c>
      <c r="F2895" s="4">
        <f>SUMIFS('Dubai Stock'!I:I,'Dubai Stock'!H:H,Final_UAE!B:B)</f>
        <v/>
      </c>
      <c r="H2895" s="8" t="e">
        <v>#N/A</v>
      </c>
      <c r="I2895" s="8" t="n"/>
    </row>
    <row r="2896">
      <c r="A2896" s="4" t="n">
        <v>33834</v>
      </c>
      <c r="B2896" s="4" t="inlineStr">
        <is>
          <t>sm10304-30s-000456-0304-57</t>
        </is>
      </c>
      <c r="C2896" s="4" t="inlineStr">
        <is>
          <t>W00031886A</t>
        </is>
      </c>
      <c r="D2896" s="6">
        <f>IF(F2896&gt;=5, F2896-5, IF(F2896&lt;5, 0, F2896))</f>
        <v/>
      </c>
      <c r="E2896">
        <f>VLOOKUP(B2896,[1]Namshi!$A:$B,2,0)</f>
        <v/>
      </c>
      <c r="F2896" s="4">
        <f>SUMIFS('Dubai Stock'!I:I,'Dubai Stock'!H:H,Final_UAE!B:B)</f>
        <v/>
      </c>
      <c r="H2896" s="8" t="e">
        <v>#N/A</v>
      </c>
    </row>
    <row r="2897">
      <c r="A2897" s="4" t="n">
        <v>33834</v>
      </c>
      <c r="B2897" s="4" t="inlineStr">
        <is>
          <t>clstdai-acu-mois-p60-sn0575</t>
        </is>
      </c>
      <c r="C2897" s="4" t="inlineStr">
        <is>
          <t>W00031886A</t>
        </is>
      </c>
      <c r="D2897" s="6">
        <f>IF(F2897&gt;=5, F2897-5, IF(F2897&lt;5, 0, F2897))</f>
        <v/>
      </c>
      <c r="E2897">
        <f>VLOOKUP(B2897,[1]Namshi!$A:$B,2,0)</f>
        <v/>
      </c>
      <c r="F2897" s="4">
        <f>SUMIFS('Dubai Stock'!I:I,'Dubai Stock'!H:H,Final_UAE!B:B)</f>
        <v/>
      </c>
      <c r="H2897" s="8" t="e">
        <v>#N/A</v>
      </c>
      <c r="I2897" s="8" t="n"/>
    </row>
    <row r="2898">
      <c r="A2898" s="4" t="n">
        <v>33834</v>
      </c>
      <c r="B2898" s="4" t="inlineStr">
        <is>
          <t>clstdai-acu-omax-p90-sp0425</t>
        </is>
      </c>
      <c r="C2898" s="4" t="inlineStr">
        <is>
          <t>W00031886A</t>
        </is>
      </c>
      <c r="D2898" s="6">
        <f>IF(F2898&gt;=5, F2898-5, IF(F2898&lt;5, 0, F2898))</f>
        <v/>
      </c>
      <c r="E2898">
        <f>VLOOKUP(B2898,[1]Namshi!$A:$B,2,0)</f>
        <v/>
      </c>
      <c r="F2898" s="4">
        <f>SUMIFS('Dubai Stock'!I:I,'Dubai Stock'!H:H,Final_UAE!B:B)</f>
        <v/>
      </c>
      <c r="H2898" s="8" t="e">
        <v>#N/A</v>
      </c>
      <c r="I2898" s="8" t="n"/>
    </row>
    <row r="2899">
      <c r="A2899" s="4" t="n">
        <v>33834</v>
      </c>
      <c r="B2899" s="4" t="inlineStr">
        <is>
          <t>cltodai-acu-mois-p30-sn0450-cn0075-a010</t>
        </is>
      </c>
      <c r="C2899" s="4" t="inlineStr">
        <is>
          <t>W00031886A</t>
        </is>
      </c>
      <c r="D2899" s="6">
        <f>IF(F2899&gt;=5, F2899-5, IF(F2899&lt;5, 0, F2899))</f>
        <v/>
      </c>
      <c r="E2899">
        <f>VLOOKUP(B2899,[1]Namshi!$A:$B,2,0)</f>
        <v/>
      </c>
      <c r="F2899" s="4">
        <f>SUMIFS('Dubai Stock'!I:I,'Dubai Stock'!H:H,Final_UAE!B:B)</f>
        <v/>
      </c>
      <c r="H2899" s="8" t="e">
        <v>#N/A</v>
      </c>
      <c r="I2899" s="8" t="n"/>
    </row>
    <row r="2900">
      <c r="A2900" s="4" t="n">
        <v>33834</v>
      </c>
      <c r="B2900" s="4" t="inlineStr">
        <is>
          <t>clstdai-acu-mois-p30-sp0175</t>
        </is>
      </c>
      <c r="C2900" s="4" t="inlineStr">
        <is>
          <t>W00031886A</t>
        </is>
      </c>
      <c r="D2900" s="6">
        <f>IF(F2900&gt;=5, F2900-5, IF(F2900&lt;5, 0, F2900))</f>
        <v/>
      </c>
      <c r="E2900">
        <f>VLOOKUP(B2900,[1]Namshi!$A:$B,2,0)</f>
        <v/>
      </c>
      <c r="F2900" s="4">
        <f>SUMIFS('Dubai Stock'!I:I,'Dubai Stock'!H:H,Final_UAE!B:B)</f>
        <v/>
      </c>
      <c r="H2900" s="8" t="e">
        <v>#N/A</v>
      </c>
      <c r="I2900" s="8" t="n"/>
    </row>
    <row r="2901">
      <c r="A2901" s="4" t="n">
        <v>33834</v>
      </c>
      <c r="B2901" s="4" t="inlineStr">
        <is>
          <t>clstdai-cti-cla1-p30-sn0100</t>
        </is>
      </c>
      <c r="C2901" s="4" t="inlineStr">
        <is>
          <t>W00031886A</t>
        </is>
      </c>
      <c r="D2901" s="6">
        <f>IF(F2901&gt;=5, F2901-5, IF(F2901&lt;5, 0, F2901))</f>
        <v/>
      </c>
      <c r="E2901">
        <f>VLOOKUP(B2901,[1]Namshi!$A:$B,2,0)</f>
        <v/>
      </c>
      <c r="F2901" s="4">
        <f>SUMIFS('Dubai Stock'!I:I,'Dubai Stock'!H:H,Final_UAE!B:B)</f>
        <v/>
      </c>
      <c r="H2901" s="8" t="e">
        <v>#N/A</v>
      </c>
      <c r="I2901" s="8" t="n"/>
    </row>
    <row r="2902">
      <c r="A2902" s="4" t="n">
        <v>33834</v>
      </c>
      <c r="B2902" s="4" t="inlineStr">
        <is>
          <t>clstdai-acu-dfvi-p30-sn0600</t>
        </is>
      </c>
      <c r="C2902" s="4" t="inlineStr">
        <is>
          <t>W00031886A</t>
        </is>
      </c>
      <c r="D2902" s="6">
        <f>IF(F2902&gt;=5, F2902-5, IF(F2902&lt;5, 0, F2902))</f>
        <v/>
      </c>
      <c r="E2902">
        <f>VLOOKUP(B2902,[1]Namshi!$A:$B,2,0)</f>
        <v/>
      </c>
      <c r="F2902" s="4">
        <f>SUMIFS('Dubai Stock'!I:I,'Dubai Stock'!H:H,Final_UAE!B:B)</f>
        <v/>
      </c>
      <c r="H2902" s="8" t="e">
        <v>#N/A</v>
      </c>
      <c r="I2902" s="8" t="n"/>
    </row>
    <row r="2903">
      <c r="A2903" s="4" t="n">
        <v>33834</v>
      </c>
      <c r="B2903" s="4" t="inlineStr">
        <is>
          <t>cost3mo-lay-2025-p02-emerald-glow-sn0600</t>
        </is>
      </c>
      <c r="C2903" s="4" t="inlineStr">
        <is>
          <t>W00031886A</t>
        </is>
      </c>
      <c r="D2903" s="6">
        <f>IF(F2903&gt;=5, F2903-5, IF(F2903&lt;5, 0, F2903))</f>
        <v/>
      </c>
      <c r="E2903">
        <f>VLOOKUP(B2903,[1]Namshi!$A:$B,2,0)</f>
        <v/>
      </c>
      <c r="F2903" s="4">
        <f>SUMIFS('Dubai Stock'!I:I,'Dubai Stock'!H:H,Final_UAE!B:B)</f>
        <v/>
      </c>
      <c r="H2903" s="8" t="e">
        <v>#N/A</v>
      </c>
      <c r="I2903" s="8" t="n"/>
    </row>
    <row r="2904">
      <c r="A2904" s="4" t="n">
        <v>33834</v>
      </c>
      <c r="B2904" s="4" t="inlineStr">
        <is>
          <t>sm100506-bla-000348-0507-50</t>
        </is>
      </c>
      <c r="C2904" s="4" t="inlineStr">
        <is>
          <t>W00031886A</t>
        </is>
      </c>
      <c r="D2904" s="6">
        <f>IF(F2904&gt;=5, F2904-5, IF(F2904&lt;5, 0, F2904))</f>
        <v/>
      </c>
      <c r="E2904">
        <f>VLOOKUP(B2904,[1]Namshi!$A:$B,2,0)</f>
        <v/>
      </c>
      <c r="F2904" s="4">
        <f>SUMIFS('Dubai Stock'!I:I,'Dubai Stock'!H:H,Final_UAE!B:B)</f>
        <v/>
      </c>
      <c r="H2904" s="8" t="e">
        <v>#N/A</v>
      </c>
    </row>
    <row r="2905">
      <c r="A2905" s="4" t="n">
        <v>33834</v>
      </c>
      <c r="B2905" s="4" t="inlineStr">
        <is>
          <t>clstdai-dai-aqua-p90-sn0125</t>
        </is>
      </c>
      <c r="C2905" s="4" t="inlineStr">
        <is>
          <t>W00031886A</t>
        </is>
      </c>
      <c r="D2905" s="6">
        <f>IF(F2905&gt;=5, F2905-5, IF(F2905&lt;5, 0, F2905))</f>
        <v/>
      </c>
      <c r="E2905">
        <f>VLOOKUP(B2905,[1]Namshi!$A:$B,2,0)</f>
        <v/>
      </c>
      <c r="F2905" s="4">
        <f>SUMIFS('Dubai Stock'!I:I,'Dubai Stock'!H:H,Final_UAE!B:B)</f>
        <v/>
      </c>
      <c r="H2905" s="8" t="e">
        <v>#N/A</v>
      </c>
      <c r="I2905" s="8" t="n"/>
    </row>
    <row r="2906">
      <c r="A2906" s="4" t="n">
        <v>33834</v>
      </c>
      <c r="B2906" s="4" t="inlineStr">
        <is>
          <t>clstdai-acu-mois-p90-sp0375</t>
        </is>
      </c>
      <c r="C2906" s="4" t="inlineStr">
        <is>
          <t>W00031886A</t>
        </is>
      </c>
      <c r="D2906" s="6">
        <f>IF(F2906&gt;=5, F2906-5, IF(F2906&lt;5, 0, F2906))</f>
        <v/>
      </c>
      <c r="E2906">
        <f>VLOOKUP(B2906,[1]Namshi!$A:$B,2,0)</f>
        <v/>
      </c>
      <c r="F2906" s="4">
        <f>SUMIFS('Dubai Stock'!I:I,'Dubai Stock'!H:H,Final_UAE!B:B)</f>
        <v/>
      </c>
      <c r="H2906" s="8" t="e">
        <v>#N/A</v>
      </c>
      <c r="I2906" s="8" t="n"/>
    </row>
    <row r="2907">
      <c r="A2907" s="4" t="n">
        <v>33834</v>
      </c>
      <c r="B2907" s="4" t="inlineStr">
        <is>
          <t>clstmon-sof-sl59-p06-sn0050</t>
        </is>
      </c>
      <c r="C2907" s="4" t="inlineStr">
        <is>
          <t>W00031886A</t>
        </is>
      </c>
      <c r="D2907" s="6">
        <f>IF(F2907&gt;=5, F2907-5, IF(F2907&lt;5, 0, F2907))</f>
        <v/>
      </c>
      <c r="E2907">
        <f>VLOOKUP(B2907,[1]Namshi!$A:$B,2,0)</f>
        <v/>
      </c>
      <c r="F2907" s="4">
        <f>SUMIFS('Dubai Stock'!I:I,'Dubai Stock'!H:H,Final_UAE!B:B)</f>
        <v/>
      </c>
      <c r="H2907" s="8" t="e">
        <v>#N/A</v>
      </c>
      <c r="I2907" s="8" t="n"/>
    </row>
    <row r="2908">
      <c r="A2908" s="4" t="n">
        <v>33834</v>
      </c>
      <c r="B2908" s="4" t="inlineStr">
        <is>
          <t>costdai-acu-dffr-p10-rose-sn0250</t>
        </is>
      </c>
      <c r="C2908" s="4" t="inlineStr">
        <is>
          <t>W00031886A</t>
        </is>
      </c>
      <c r="D2908" s="6">
        <f>IF(F2908&gt;=5, F2908-5, IF(F2908&lt;5, 0, F2908))</f>
        <v/>
      </c>
      <c r="E2908">
        <f>VLOOKUP(B2908,[1]Namshi!$A:$B,2,0)</f>
        <v/>
      </c>
      <c r="F2908" s="4">
        <f>SUMIFS('Dubai Stock'!I:I,'Dubai Stock'!H:H,Final_UAE!B:B)</f>
        <v/>
      </c>
      <c r="H2908" s="8" t="e">
        <v>#N/A</v>
      </c>
      <c r="I2908" s="8" t="n"/>
    </row>
    <row r="2909">
      <c r="A2909" s="4" t="n">
        <v>33834</v>
      </c>
      <c r="B2909" s="4" t="inlineStr">
        <is>
          <t>clstbiw-acu-0002-p06-sn1000</t>
        </is>
      </c>
      <c r="C2909" s="4" t="inlineStr">
        <is>
          <t>W00031886A</t>
        </is>
      </c>
      <c r="D2909" s="6">
        <f>IF(F2909&gt;=5, F2909-5, IF(F2909&lt;5, 0, F2909))</f>
        <v/>
      </c>
      <c r="E2909">
        <f>VLOOKUP(B2909,[1]Namshi!$A:$B,2,0)</f>
        <v/>
      </c>
      <c r="F2909" s="4">
        <f>SUMIFS('Dubai Stock'!I:I,'Dubai Stock'!H:H,Final_UAE!B:B)</f>
        <v/>
      </c>
      <c r="H2909" s="8" t="e">
        <v>#N/A</v>
      </c>
      <c r="I2909" s="8" t="n"/>
    </row>
    <row r="2910">
      <c r="A2910" s="4" t="n">
        <v>33834</v>
      </c>
      <c r="B2910" s="4" t="inlineStr">
        <is>
          <t>clstdai-acu-dfna-p90-sn0375</t>
        </is>
      </c>
      <c r="C2910" s="4" t="inlineStr">
        <is>
          <t>W00031886A</t>
        </is>
      </c>
      <c r="D2910" s="6">
        <f>IF(F2910&gt;=5, F2910-5, IF(F2910&lt;5, 0, F2910))</f>
        <v/>
      </c>
      <c r="E2910">
        <f>VLOOKUP(B2910,[1]Namshi!$A:$B,2,0)</f>
        <v/>
      </c>
      <c r="F2910" s="4">
        <f>SUMIFS('Dubai Stock'!I:I,'Dubai Stock'!H:H,Final_UAE!B:B)</f>
        <v/>
      </c>
      <c r="H2910" s="8" t="e">
        <v>#N/A</v>
      </c>
      <c r="I2910" s="8" t="n"/>
    </row>
    <row r="2911">
      <c r="A2911" s="4" t="n">
        <v>33834</v>
      </c>
      <c r="B2911" s="4" t="inlineStr">
        <is>
          <t>costmon-ama-lens-p02-dark-sepia-sn0450</t>
        </is>
      </c>
      <c r="C2911" s="4" t="inlineStr">
        <is>
          <t>W00031886A</t>
        </is>
      </c>
      <c r="D2911" s="6">
        <f>IF(F2911&gt;=5, F2911-5, IF(F2911&lt;5, 0, F2911))</f>
        <v/>
      </c>
      <c r="E2911">
        <f>VLOOKUP(B2911,[1]Namshi!$A:$B,2,0)</f>
        <v/>
      </c>
      <c r="F2911" s="4">
        <f>SUMIFS('Dubai Stock'!I:I,'Dubai Stock'!H:H,Final_UAE!B:B)</f>
        <v/>
      </c>
      <c r="H2911" s="8" t="e">
        <v>#N/A</v>
      </c>
      <c r="I2911" s="8" t="n"/>
    </row>
    <row r="2912">
      <c r="A2912" s="4" t="n">
        <v>33834</v>
      </c>
      <c r="B2912" s="4" t="inlineStr">
        <is>
          <t>costmon-ama-2024-p02-chocolate-sn0400</t>
        </is>
      </c>
      <c r="C2912" s="4" t="inlineStr">
        <is>
          <t>W00031886A</t>
        </is>
      </c>
      <c r="D2912" s="6">
        <f>IF(F2912&gt;=5, F2912-5, IF(F2912&lt;5, 0, F2912))</f>
        <v/>
      </c>
      <c r="E2912">
        <f>VLOOKUP(B2912,[1]Namshi!$A:$B,2,0)</f>
        <v/>
      </c>
      <c r="F2912" s="4">
        <f>SUMIFS('Dubai Stock'!I:I,'Dubai Stock'!H:H,Final_UAE!B:B)</f>
        <v/>
      </c>
      <c r="H2912" s="8" t="e">
        <v>#N/A</v>
      </c>
      <c r="I2912" s="8" t="n"/>
    </row>
    <row r="2913">
      <c r="A2913" s="4" t="n">
        <v>33834</v>
      </c>
      <c r="B2913" s="4" t="inlineStr">
        <is>
          <t>cost3mo-lay-2020-p02-hazel-brown-sn0550</t>
        </is>
      </c>
      <c r="C2913" s="4" t="inlineStr">
        <is>
          <t>W00031886A</t>
        </is>
      </c>
      <c r="D2913" s="6">
        <f>IF(F2913&gt;=5, F2913-5, IF(F2913&lt;5, 0, F2913))</f>
        <v/>
      </c>
      <c r="E2913">
        <f>VLOOKUP(B2913,[1]Namshi!$A:$B,2,0)</f>
        <v/>
      </c>
      <c r="F2913" s="4">
        <f>SUMIFS('Dubai Stock'!I:I,'Dubai Stock'!H:H,Final_UAE!B:B)</f>
        <v/>
      </c>
      <c r="H2913" s="8" t="e">
        <v>#N/A</v>
      </c>
      <c r="I2913" s="8" t="n"/>
    </row>
    <row r="2914">
      <c r="A2914" s="4" t="n">
        <v>33834</v>
      </c>
      <c r="B2914" s="4" t="inlineStr">
        <is>
          <t>clstdai-lay-cont-p30-dazzle-black-sn0300</t>
        </is>
      </c>
      <c r="C2914" s="4" t="inlineStr">
        <is>
          <t>W00031886A</t>
        </is>
      </c>
      <c r="D2914" s="6">
        <f>IF(F2914&gt;=5, F2914-5, IF(F2914&lt;5, 0, F2914))</f>
        <v/>
      </c>
      <c r="E2914">
        <f>VLOOKUP(B2914,[1]Namshi!$A:$B,2,0)</f>
        <v/>
      </c>
      <c r="F2914" s="4">
        <f>SUMIFS('Dubai Stock'!I:I,'Dubai Stock'!H:H,Final_UAE!B:B)</f>
        <v/>
      </c>
      <c r="H2914" s="8" t="e">
        <v>#N/A</v>
      </c>
      <c r="I2914" s="8" t="n"/>
    </row>
    <row r="2915">
      <c r="A2915" s="4" t="n">
        <v>33834</v>
      </c>
      <c r="B2915" s="4" t="inlineStr">
        <is>
          <t>sw70107-bla-000251-0101-62</t>
        </is>
      </c>
      <c r="C2915" s="4" t="inlineStr">
        <is>
          <t>W00031886A</t>
        </is>
      </c>
      <c r="D2915" s="6">
        <f>IF(F2915&gt;=5, F2915-5, IF(F2915&lt;5, 0, F2915))</f>
        <v/>
      </c>
      <c r="E2915">
        <f>VLOOKUP(B2915,[1]Namshi!$A:$B,2,0)</f>
        <v/>
      </c>
      <c r="F2915" s="4">
        <f>SUMIFS('Dubai Stock'!I:I,'Dubai Stock'!H:H,Final_UAE!B:B)</f>
        <v/>
      </c>
      <c r="H2915" s="8" t="e">
        <v>#N/A</v>
      </c>
    </row>
    <row r="2916">
      <c r="A2916" s="4" t="n">
        <v>33834</v>
      </c>
      <c r="B2916" s="4" t="inlineStr">
        <is>
          <t>clstmon-bio-biof-p06-sn0425</t>
        </is>
      </c>
      <c r="C2916" s="4" t="inlineStr">
        <is>
          <t>W00031886A</t>
        </is>
      </c>
      <c r="D2916" s="6">
        <f>IF(F2916&gt;=5, F2916-5, IF(F2916&lt;5, 0, F2916))</f>
        <v/>
      </c>
      <c r="E2916">
        <f>VLOOKUP(B2916,[1]Namshi!$A:$B,2,0)</f>
        <v/>
      </c>
      <c r="F2916" s="4">
        <f>SUMIFS('Dubai Stock'!I:I,'Dubai Stock'!H:H,Final_UAE!B:B)</f>
        <v/>
      </c>
      <c r="H2916" s="8" t="e">
        <v>#N/A</v>
      </c>
      <c r="I2916" s="8" t="n"/>
    </row>
    <row r="2917">
      <c r="A2917" s="4" t="n">
        <v>33834</v>
      </c>
      <c r="B2917" s="4" t="inlineStr">
        <is>
          <t>sm41701-30s-000297-1701-54</t>
        </is>
      </c>
      <c r="C2917" s="4" t="inlineStr">
        <is>
          <t>W00031886A</t>
        </is>
      </c>
      <c r="D2917" s="6">
        <f>IF(F2917&gt;=5, F2917-5, IF(F2917&lt;5, 0, F2917))</f>
        <v/>
      </c>
      <c r="E2917">
        <f>VLOOKUP(B2917,[1]Namshi!$A:$B,2,0)</f>
        <v/>
      </c>
      <c r="F2917" s="4">
        <f>SUMIFS('Dubai Stock'!I:I,'Dubai Stock'!H:H,Final_UAE!B:B)</f>
        <v/>
      </c>
      <c r="H2917" s="8" t="e">
        <v>#N/A</v>
      </c>
    </row>
    <row r="2918">
      <c r="A2918" s="4" t="n">
        <v>33834</v>
      </c>
      <c r="B2918" s="4" t="inlineStr">
        <is>
          <t>cost3mo-lay-lens-p02-platinum-gray-sn0250</t>
        </is>
      </c>
      <c r="C2918" s="4" t="inlineStr">
        <is>
          <t>W00031886A</t>
        </is>
      </c>
      <c r="D2918" s="6">
        <f>IF(F2918&gt;=5, F2918-5, IF(F2918&lt;5, 0, F2918))</f>
        <v/>
      </c>
      <c r="E2918">
        <f>VLOOKUP(B2918,[1]Namshi!$A:$B,2,0)</f>
        <v/>
      </c>
      <c r="F2918" s="4">
        <f>SUMIFS('Dubai Stock'!I:I,'Dubai Stock'!H:H,Final_UAE!B:B)</f>
        <v/>
      </c>
      <c r="H2918" s="8" t="e">
        <v>#N/A</v>
      </c>
      <c r="I2918" s="8" t="n"/>
    </row>
    <row r="2919">
      <c r="A2919" s="4" t="n">
        <v>33834</v>
      </c>
      <c r="B2919" s="4" t="inlineStr">
        <is>
          <t>clstdai-acu-dfrb-p30-sn0175</t>
        </is>
      </c>
      <c r="C2919" s="4" t="inlineStr">
        <is>
          <t>W00031886A</t>
        </is>
      </c>
      <c r="D2919" s="6">
        <f>IF(F2919&gt;=5, F2919-5, IF(F2919&lt;5, 0, F2919))</f>
        <v/>
      </c>
      <c r="E2919">
        <f>VLOOKUP(B2919,[1]Namshi!$A:$B,2,0)</f>
        <v/>
      </c>
      <c r="F2919" s="4">
        <f>SUMIFS('Dubai Stock'!I:I,'Dubai Stock'!H:H,Final_UAE!B:B)</f>
        <v/>
      </c>
      <c r="H2919" s="8" t="e">
        <v>#N/A</v>
      </c>
      <c r="I2919" s="8" t="n"/>
    </row>
    <row r="2920">
      <c r="A2920" s="4" t="n">
        <v>33834</v>
      </c>
      <c r="B2920" s="4" t="inlineStr">
        <is>
          <t>clstdai-eve-pure-p90-Sn1000</t>
        </is>
      </c>
      <c r="C2920" s="4" t="inlineStr">
        <is>
          <t>W00031886A</t>
        </is>
      </c>
      <c r="D2920" s="6">
        <f>IF(F2920&gt;=5, F2920-5, IF(F2920&lt;5, 0, F2920))</f>
        <v/>
      </c>
      <c r="E2920">
        <f>VLOOKUP(B2920,[1]Namshi!$A:$B,2,0)</f>
        <v/>
      </c>
      <c r="F2920" s="4">
        <f>SUMIFS('Dubai Stock'!I:I,'Dubai Stock'!H:H,Final_UAE!B:B)</f>
        <v/>
      </c>
      <c r="H2920" s="8" t="n">
        <v>529</v>
      </c>
      <c r="I2920" s="8" t="n">
        <v>259</v>
      </c>
    </row>
    <row r="2921">
      <c r="A2921" s="4" t="n">
        <v>33834</v>
      </c>
      <c r="B2921" s="4" t="inlineStr">
        <is>
          <t>sw62404-bla-000310-2404-55</t>
        </is>
      </c>
      <c r="C2921" s="4" t="inlineStr">
        <is>
          <t>W00031886A</t>
        </is>
      </c>
      <c r="D2921" s="6">
        <f>IF(F2921&gt;=5, F2921-5, IF(F2921&lt;5, 0, F2921))</f>
        <v/>
      </c>
      <c r="E2921">
        <f>VLOOKUP(B2921,[1]Namshi!$A:$B,2,0)</f>
        <v/>
      </c>
      <c r="F2921" s="4">
        <f>SUMIFS('Dubai Stock'!I:I,'Dubai Stock'!H:H,Final_UAE!B:B)</f>
        <v/>
      </c>
      <c r="H2921" s="8" t="e">
        <v>#N/A</v>
      </c>
    </row>
    <row r="2922">
      <c r="A2922" s="4" t="n">
        <v>33834</v>
      </c>
      <c r="B2922" s="4" t="inlineStr">
        <is>
          <t>clstdai-dai-aqua-p90-sn0175</t>
        </is>
      </c>
      <c r="C2922" s="4" t="inlineStr">
        <is>
          <t>W00031886A</t>
        </is>
      </c>
      <c r="D2922" s="6">
        <f>IF(F2922&gt;=5, F2922-5, IF(F2922&lt;5, 0, F2922))</f>
        <v/>
      </c>
      <c r="E2922">
        <f>VLOOKUP(B2922,[1]Namshi!$A:$B,2,0)</f>
        <v/>
      </c>
      <c r="F2922" s="4">
        <f>SUMIFS('Dubai Stock'!I:I,'Dubai Stock'!H:H,Final_UAE!B:B)</f>
        <v/>
      </c>
      <c r="H2922" s="8" t="e">
        <v>#N/A</v>
      </c>
      <c r="I2922" s="8" t="n"/>
    </row>
    <row r="2923">
      <c r="A2923" s="4" t="n">
        <v>33834</v>
      </c>
      <c r="B2923" s="4" t="inlineStr">
        <is>
          <t>su100404-bla-000282-0404-48</t>
        </is>
      </c>
      <c r="C2923" s="4" t="inlineStr">
        <is>
          <t>W00031886A</t>
        </is>
      </c>
      <c r="D2923" s="6">
        <f>IF(F2923&gt;=5, F2923-5, IF(F2923&lt;5, 0, F2923))</f>
        <v/>
      </c>
      <c r="E2923">
        <f>VLOOKUP(B2923,[1]Namshi!$A:$B,2,0)</f>
        <v/>
      </c>
      <c r="F2923" s="4">
        <f>SUMIFS('Dubai Stock'!I:I,'Dubai Stock'!H:H,Final_UAE!B:B)</f>
        <v/>
      </c>
      <c r="H2923" s="8" t="e">
        <v>#N/A</v>
      </c>
    </row>
    <row r="2924">
      <c r="A2924" s="4" t="n">
        <v>33834</v>
      </c>
      <c r="B2924" s="4" t="inlineStr">
        <is>
          <t>clstbiw-acu-oasy-p06-sp0150</t>
        </is>
      </c>
      <c r="C2924" s="4" t="inlineStr">
        <is>
          <t>W00031886A</t>
        </is>
      </c>
      <c r="D2924" s="6">
        <f>IF(F2924&gt;=5, F2924-5, IF(F2924&lt;5, 0, F2924))</f>
        <v/>
      </c>
      <c r="E2924">
        <f>VLOOKUP(B2924,[1]Namshi!$A:$B,2,0)</f>
        <v/>
      </c>
      <c r="F2924" s="4">
        <f>SUMIFS('Dubai Stock'!I:I,'Dubai Stock'!H:H,Final_UAE!B:B)</f>
        <v/>
      </c>
      <c r="H2924" s="8" t="e">
        <v>#N/A</v>
      </c>
      <c r="I2924" s="8" t="n"/>
    </row>
    <row r="2925">
      <c r="A2925" s="4" t="n">
        <v>33834</v>
      </c>
      <c r="B2925" s="4" t="inlineStr">
        <is>
          <t>su103207-bla-000380-3207-54</t>
        </is>
      </c>
      <c r="C2925" s="4" t="inlineStr">
        <is>
          <t>W00031886A</t>
        </is>
      </c>
      <c r="D2925" s="6">
        <f>IF(F2925&gt;=5, F2925-5, IF(F2925&lt;5, 0, F2925))</f>
        <v/>
      </c>
      <c r="E2925">
        <f>VLOOKUP(B2925,[1]Namshi!$A:$B,2,0)</f>
        <v/>
      </c>
      <c r="F2925" s="4">
        <f>SUMIFS('Dubai Stock'!I:I,'Dubai Stock'!H:H,Final_UAE!B:B)</f>
        <v/>
      </c>
      <c r="H2925" s="8" t="e">
        <v>#N/A</v>
      </c>
    </row>
    <row r="2926">
      <c r="A2926" s="4" t="n">
        <v>33834</v>
      </c>
      <c r="B2926" s="4" t="inlineStr">
        <is>
          <t>clstdai-acu-oasy-p90-sn0125</t>
        </is>
      </c>
      <c r="C2926" s="4" t="inlineStr">
        <is>
          <t>W00031886A</t>
        </is>
      </c>
      <c r="D2926" s="6">
        <f>IF(F2926&gt;=5, F2926-5, IF(F2926&lt;5, 0, F2926))</f>
        <v/>
      </c>
      <c r="E2926">
        <f>VLOOKUP(B2926,[1]Namshi!$A:$B,2,0)</f>
        <v/>
      </c>
      <c r="F2926" s="4">
        <f>SUMIFS('Dubai Stock'!I:I,'Dubai Stock'!H:H,Final_UAE!B:B)</f>
        <v/>
      </c>
      <c r="H2926" s="8" t="e">
        <v>#N/A</v>
      </c>
      <c r="I2926" s="8" t="n"/>
    </row>
    <row r="2927">
      <c r="A2927" s="4" t="n">
        <v>33834</v>
      </c>
      <c r="B2927" s="4" t="inlineStr">
        <is>
          <t>costdai-acu-dffr-p10-blue-sn0375</t>
        </is>
      </c>
      <c r="C2927" s="4" t="inlineStr">
        <is>
          <t>W00031886A</t>
        </is>
      </c>
      <c r="D2927" s="6">
        <f>IF(F2927&gt;=5, F2927-5, IF(F2927&lt;5, 0, F2927))</f>
        <v/>
      </c>
      <c r="E2927">
        <f>VLOOKUP(B2927,[1]Namshi!$A:$B,2,0)</f>
        <v/>
      </c>
      <c r="F2927" s="4">
        <f>SUMIFS('Dubai Stock'!I:I,'Dubai Stock'!H:H,Final_UAE!B:B)</f>
        <v/>
      </c>
      <c r="H2927" s="8" t="e">
        <v>#N/A</v>
      </c>
      <c r="I2927" s="8" t="n"/>
    </row>
    <row r="2928">
      <c r="A2928" s="4" t="n">
        <v>33834</v>
      </c>
      <c r="B2928" s="4" t="inlineStr">
        <is>
          <t>costmon-ama-lens-p02-crocodile-green-sp0000</t>
        </is>
      </c>
      <c r="C2928" s="4" t="inlineStr">
        <is>
          <t>W00031886A</t>
        </is>
      </c>
      <c r="D2928" s="6">
        <f>IF(F2928&gt;=5, F2928-5, IF(F2928&lt;5, 0, F2928))</f>
        <v/>
      </c>
      <c r="E2928">
        <f>VLOOKUP(B2928,[1]Namshi!$A:$B,2,0)</f>
        <v/>
      </c>
      <c r="F2928" s="4">
        <f>SUMIFS('Dubai Stock'!I:I,'Dubai Stock'!H:H,Final_UAE!B:B)</f>
        <v/>
      </c>
      <c r="H2928" s="8" t="e">
        <v>#N/A</v>
      </c>
      <c r="I2928" s="8" t="n"/>
    </row>
    <row r="2929">
      <c r="A2929" s="4" t="n">
        <v>33834</v>
      </c>
      <c r="B2929" s="4" t="inlineStr">
        <is>
          <t>sm41104-30s-000289-1104-57</t>
        </is>
      </c>
      <c r="C2929" s="4" t="inlineStr">
        <is>
          <t>W00031886A</t>
        </is>
      </c>
      <c r="D2929" s="6">
        <f>IF(F2929&gt;=5, F2929-5, IF(F2929&lt;5, 0, F2929))</f>
        <v/>
      </c>
      <c r="E2929">
        <f>VLOOKUP(B2929,[1]Namshi!$A:$B,2,0)</f>
        <v/>
      </c>
      <c r="F2929" s="4">
        <f>SUMIFS('Dubai Stock'!I:I,'Dubai Stock'!H:H,Final_UAE!B:B)</f>
        <v/>
      </c>
      <c r="H2929" s="8" t="e">
        <v>#N/A</v>
      </c>
    </row>
    <row r="2930">
      <c r="A2930" s="4" t="n">
        <v>33834</v>
      </c>
      <c r="B2930" s="4" t="inlineStr">
        <is>
          <t>clstdai-acu-omax-p30-sp0125</t>
        </is>
      </c>
      <c r="C2930" s="4" t="inlineStr">
        <is>
          <t>W00031886A</t>
        </is>
      </c>
      <c r="D2930" s="6">
        <f>IF(F2930&gt;=5, F2930-5, IF(F2930&lt;5, 0, F2930))</f>
        <v/>
      </c>
      <c r="E2930">
        <f>VLOOKUP(B2930,[1]Namshi!$A:$B,2,0)</f>
        <v/>
      </c>
      <c r="F2930" s="4">
        <f>SUMIFS('Dubai Stock'!I:I,'Dubai Stock'!H:H,Final_UAE!B:B)</f>
        <v/>
      </c>
      <c r="H2930" s="8" t="e">
        <v>#N/A</v>
      </c>
      <c r="I2930" s="8" t="n"/>
    </row>
    <row r="2931">
      <c r="A2931" s="4" t="n">
        <v>33834</v>
      </c>
      <c r="B2931" s="4" t="inlineStr">
        <is>
          <t>sw40402-30s-000240-0402-50</t>
        </is>
      </c>
      <c r="C2931" s="4" t="inlineStr">
        <is>
          <t>W00031886A</t>
        </is>
      </c>
      <c r="D2931" s="6">
        <f>IF(F2931&gt;=5, F2931-5, IF(F2931&lt;5, 0, F2931))</f>
        <v/>
      </c>
      <c r="E2931">
        <f>VLOOKUP(B2931,[1]Namshi!$A:$B,2,0)</f>
        <v/>
      </c>
      <c r="F2931" s="4">
        <f>SUMIFS('Dubai Stock'!I:I,'Dubai Stock'!H:H,Final_UAE!B:B)</f>
        <v/>
      </c>
      <c r="H2931" s="8" t="e">
        <v>#N/A</v>
      </c>
    </row>
    <row r="2932">
      <c r="A2932" s="4" t="n">
        <v>33834</v>
      </c>
      <c r="B2932" s="4" t="inlineStr">
        <is>
          <t>costmon-ama-2022-p02-cocoa-sn0250</t>
        </is>
      </c>
      <c r="C2932" s="4" t="inlineStr">
        <is>
          <t>W00031886A</t>
        </is>
      </c>
      <c r="D2932" s="6">
        <f>IF(F2932&gt;=5, F2932-5, IF(F2932&lt;5, 0, F2932))</f>
        <v/>
      </c>
      <c r="E2932">
        <f>VLOOKUP(B2932,[1]Namshi!$A:$B,2,0)</f>
        <v/>
      </c>
      <c r="F2932" s="4">
        <f>SUMIFS('Dubai Stock'!I:I,'Dubai Stock'!H:H,Final_UAE!B:B)</f>
        <v/>
      </c>
      <c r="H2932" s="8" t="e">
        <v>#N/A</v>
      </c>
      <c r="I2932" s="8" t="n"/>
    </row>
    <row r="2933">
      <c r="A2933" s="4" t="n">
        <v>33834</v>
      </c>
      <c r="B2933" s="4" t="inlineStr">
        <is>
          <t>clstdai-acu-dfrb-p30-sn0400</t>
        </is>
      </c>
      <c r="C2933" s="4" t="inlineStr">
        <is>
          <t>W00031886A</t>
        </is>
      </c>
      <c r="D2933" s="6">
        <f>IF(F2933&gt;=5, F2933-5, IF(F2933&lt;5, 0, F2933))</f>
        <v/>
      </c>
      <c r="E2933">
        <f>VLOOKUP(B2933,[1]Namshi!$A:$B,2,0)</f>
        <v/>
      </c>
      <c r="F2933" s="4">
        <f>SUMIFS('Dubai Stock'!I:I,'Dubai Stock'!H:H,Final_UAE!B:B)</f>
        <v/>
      </c>
      <c r="H2933" s="8" t="e">
        <v>#N/A</v>
      </c>
      <c r="I2933" s="8" t="n"/>
    </row>
    <row r="2934">
      <c r="A2934" s="4" t="n">
        <v>33834</v>
      </c>
      <c r="B2934" s="4" t="inlineStr">
        <is>
          <t>cost3mo-cel-natu-p01-hazelwood-sp0200</t>
        </is>
      </c>
      <c r="C2934" s="4" t="inlineStr">
        <is>
          <t>W00031886A</t>
        </is>
      </c>
      <c r="D2934" s="6">
        <f>IF(F2934&gt;=5, F2934-5, IF(F2934&lt;5, 0, F2934))</f>
        <v/>
      </c>
      <c r="E2934">
        <f>VLOOKUP(B2934,[1]Namshi!$A:$B,2,0)</f>
        <v/>
      </c>
      <c r="F2934" s="4">
        <f>SUMIFS('Dubai Stock'!I:I,'Dubai Stock'!H:H,Final_UAE!B:B)</f>
        <v/>
      </c>
      <c r="H2934" s="8" t="e">
        <v>#N/A</v>
      </c>
      <c r="I2934" s="8" t="n"/>
    </row>
    <row r="2935">
      <c r="A2935" s="4" t="n">
        <v>33834</v>
      </c>
      <c r="B2935" s="4" t="inlineStr">
        <is>
          <t>cost3mo-lay-2025-p02-desert-topaz-sn0400</t>
        </is>
      </c>
      <c r="C2935" s="4" t="inlineStr">
        <is>
          <t>W00031886A</t>
        </is>
      </c>
      <c r="D2935" s="6">
        <f>IF(F2935&gt;=5, F2935-5, IF(F2935&lt;5, 0, F2935))</f>
        <v/>
      </c>
      <c r="E2935">
        <f>VLOOKUP(B2935,[1]Namshi!$A:$B,2,0)</f>
        <v/>
      </c>
      <c r="F2935" s="4">
        <f>SUMIFS('Dubai Stock'!I:I,'Dubai Stock'!H:H,Final_UAE!B:B)</f>
        <v/>
      </c>
      <c r="H2935" s="8" t="e">
        <v>#N/A</v>
      </c>
      <c r="I2935" s="8" t="n"/>
    </row>
    <row r="2936">
      <c r="A2936" s="4" t="n">
        <v>33834</v>
      </c>
      <c r="B2936" s="4" t="inlineStr">
        <is>
          <t>clstdai-dai-aqua-p90-sn1200</t>
        </is>
      </c>
      <c r="C2936" s="4" t="inlineStr">
        <is>
          <t>W00031886A</t>
        </is>
      </c>
      <c r="D2936" s="6">
        <f>IF(F2936&gt;=5, F2936-5, IF(F2936&lt;5, 0, F2936))</f>
        <v/>
      </c>
      <c r="E2936">
        <f>VLOOKUP(B2936,[1]Namshi!$A:$B,2,0)</f>
        <v/>
      </c>
      <c r="F2936" s="4">
        <f>SUMIFS('Dubai Stock'!I:I,'Dubai Stock'!H:H,Final_UAE!B:B)</f>
        <v/>
      </c>
      <c r="H2936" s="8" t="e">
        <v>#N/A</v>
      </c>
      <c r="I2936" s="8" t="n"/>
    </row>
    <row r="2937">
      <c r="A2937" s="4" t="n">
        <v>33834</v>
      </c>
      <c r="B2937" s="4" t="inlineStr">
        <is>
          <t>sacchan-30s-chain130-blu-clover-blue</t>
        </is>
      </c>
      <c r="C2937" s="4" t="inlineStr">
        <is>
          <t>W00031886A</t>
        </is>
      </c>
      <c r="D2937" s="6">
        <f>IF(F2937&gt;=5, F2937-5, IF(F2937&lt;5, 0, F2937))</f>
        <v/>
      </c>
      <c r="E2937">
        <f>VLOOKUP(B2937,[1]Namshi!$A:$B,2,0)</f>
        <v/>
      </c>
      <c r="F2937" s="4">
        <f>SUMIFS('Dubai Stock'!I:I,'Dubai Stock'!H:H,Final_UAE!B:B)</f>
        <v/>
      </c>
      <c r="H2937" s="8" t="e">
        <v>#N/A</v>
      </c>
      <c r="I2937" s="8" t="n"/>
    </row>
    <row r="2938">
      <c r="A2938" s="4" t="n">
        <v>33834</v>
      </c>
      <c r="B2938" s="4" t="inlineStr">
        <is>
          <t>clstdai-lay-cont-p30-dazzle-brown-sn0100</t>
        </is>
      </c>
      <c r="C2938" s="4" t="inlineStr">
        <is>
          <t>W00031886A</t>
        </is>
      </c>
      <c r="D2938" s="6">
        <f>IF(F2938&gt;=5, F2938-5, IF(F2938&lt;5, 0, F2938))</f>
        <v/>
      </c>
      <c r="E2938">
        <f>VLOOKUP(B2938,[1]Namshi!$A:$B,2,0)</f>
        <v/>
      </c>
      <c r="F2938" s="4">
        <f>SUMIFS('Dubai Stock'!I:I,'Dubai Stock'!H:H,Final_UAE!B:B)</f>
        <v/>
      </c>
      <c r="H2938" s="8" t="e">
        <v>#N/A</v>
      </c>
      <c r="I2938" s="8" t="n"/>
    </row>
    <row r="2939">
      <c r="A2939" s="4" t="n">
        <v>33834</v>
      </c>
      <c r="B2939" s="4" t="inlineStr">
        <is>
          <t>sc20202-bab-000514-0202d-43</t>
        </is>
      </c>
      <c r="C2939" s="4" t="inlineStr">
        <is>
          <t>W00031886A</t>
        </is>
      </c>
      <c r="D2939" s="6">
        <f>IF(F2939&gt;=5, F2939-5, IF(F2939&lt;5, 0, F2939))</f>
        <v/>
      </c>
      <c r="E2939">
        <f>VLOOKUP(B2939,[1]Namshi!$A:$B,2,0)</f>
        <v/>
      </c>
      <c r="F2939" s="4">
        <f>SUMIFS('Dubai Stock'!I:I,'Dubai Stock'!H:H,Final_UAE!B:B)</f>
        <v/>
      </c>
      <c r="H2939" s="8" t="e">
        <v>#N/A</v>
      </c>
    </row>
    <row r="2940">
      <c r="A2940" s="4" t="n">
        <v>33834</v>
      </c>
      <c r="B2940" s="4" t="inlineStr">
        <is>
          <t>sw60404-bla-000324-0404-52</t>
        </is>
      </c>
      <c r="C2940" s="4" t="inlineStr">
        <is>
          <t>W00031886A</t>
        </is>
      </c>
      <c r="D2940" s="6">
        <f>IF(F2940&gt;=5, F2940-5, IF(F2940&lt;5, 0, F2940))</f>
        <v/>
      </c>
      <c r="E2940">
        <f>VLOOKUP(B2940,[1]Namshi!$A:$B,2,0)</f>
        <v/>
      </c>
      <c r="F2940" s="4">
        <f>SUMIFS('Dubai Stock'!I:I,'Dubai Stock'!H:H,Final_UAE!B:B)</f>
        <v/>
      </c>
      <c r="H2940" s="8" t="e">
        <v>#N/A</v>
      </c>
    </row>
    <row r="2941">
      <c r="A2941" s="4" t="n">
        <v>33834</v>
      </c>
      <c r="B2941" s="4" t="inlineStr">
        <is>
          <t>cost3mo-lay-lens-p02-chocolate-brown-sn0075</t>
        </is>
      </c>
      <c r="C2941" s="4" t="inlineStr">
        <is>
          <t>W00031886A</t>
        </is>
      </c>
      <c r="D2941" s="6">
        <f>IF(F2941&gt;=5, F2941-5, IF(F2941&lt;5, 0, F2941))</f>
        <v/>
      </c>
      <c r="E2941">
        <f>VLOOKUP(B2941,[1]Namshi!$A:$B,2,0)</f>
        <v/>
      </c>
      <c r="F2941" s="4">
        <f>SUMIFS('Dubai Stock'!I:I,'Dubai Stock'!H:H,Final_UAE!B:B)</f>
        <v/>
      </c>
      <c r="H2941" s="8" t="e">
        <v>#N/A</v>
      </c>
      <c r="I2941" s="8" t="n"/>
    </row>
    <row r="2942">
      <c r="A2942" s="4" t="n">
        <v>33834</v>
      </c>
      <c r="B2942" s="4" t="inlineStr">
        <is>
          <t>clstdai-acu-dfrb-p60-sn0850</t>
        </is>
      </c>
      <c r="C2942" s="4" t="inlineStr">
        <is>
          <t>W00031886A</t>
        </is>
      </c>
      <c r="D2942" s="6">
        <f>IF(F2942&gt;=5, F2942-5, IF(F2942&lt;5, 0, F2942))</f>
        <v/>
      </c>
      <c r="E2942">
        <f>VLOOKUP(B2942,[1]Namshi!$A:$B,2,0)</f>
        <v/>
      </c>
      <c r="F2942" s="4">
        <f>SUMIFS('Dubai Stock'!I:I,'Dubai Stock'!H:H,Final_UAE!B:B)</f>
        <v/>
      </c>
      <c r="H2942" s="8" t="e">
        <v>#N/A</v>
      </c>
      <c r="I2942" s="8" t="n"/>
    </row>
    <row r="2943">
      <c r="A2943" s="4" t="n">
        <v>33834</v>
      </c>
      <c r="B2943" s="4" t="inlineStr">
        <is>
          <t>clstdai-acu-mois-p90-sn0250</t>
        </is>
      </c>
      <c r="C2943" s="4" t="inlineStr">
        <is>
          <t>W00031886A</t>
        </is>
      </c>
      <c r="D2943" s="6">
        <f>IF(F2943&gt;=5, F2943-5, IF(F2943&lt;5, 0, F2943))</f>
        <v/>
      </c>
      <c r="E2943">
        <f>VLOOKUP(B2943,[1]Namshi!$A:$B,2,0)</f>
        <v/>
      </c>
      <c r="F2943" s="4">
        <f>SUMIFS('Dubai Stock'!I:I,'Dubai Stock'!H:H,Final_UAE!B:B)</f>
        <v/>
      </c>
      <c r="H2943" s="8" t="e">
        <v>#N/A</v>
      </c>
      <c r="I2943" s="8" t="n"/>
    </row>
    <row r="2944">
      <c r="A2944" s="4" t="n">
        <v>33834</v>
      </c>
      <c r="B2944" s="4" t="inlineStr">
        <is>
          <t>costdai-acu-dffr-p10-grayzel-sn0475</t>
        </is>
      </c>
      <c r="C2944" s="4" t="inlineStr">
        <is>
          <t>W00031886A</t>
        </is>
      </c>
      <c r="D2944" s="6">
        <f>IF(F2944&gt;=5, F2944-5, IF(F2944&lt;5, 0, F2944))</f>
        <v/>
      </c>
      <c r="E2944">
        <f>VLOOKUP(B2944,[1]Namshi!$A:$B,2,0)</f>
        <v/>
      </c>
      <c r="F2944" s="4">
        <f>SUMIFS('Dubai Stock'!I:I,'Dubai Stock'!H:H,Final_UAE!B:B)</f>
        <v/>
      </c>
      <c r="H2944" s="8" t="e">
        <v>#N/A</v>
      </c>
      <c r="I2944" s="8" t="n"/>
    </row>
    <row r="2945">
      <c r="A2945" s="4" t="n">
        <v>33834</v>
      </c>
      <c r="B2945" s="4" t="inlineStr">
        <is>
          <t>clstdai-lay-cont-p10-dazzle-black-sp0000</t>
        </is>
      </c>
      <c r="C2945" s="4" t="inlineStr">
        <is>
          <t>W00031886A</t>
        </is>
      </c>
      <c r="D2945" s="6">
        <f>IF(F2945&gt;=5, F2945-5, IF(F2945&lt;5, 0, F2945))</f>
        <v/>
      </c>
      <c r="E2945">
        <f>VLOOKUP(B2945,[1]Namshi!$A:$B,2,0)</f>
        <v/>
      </c>
      <c r="F2945" s="4">
        <f>SUMIFS('Dubai Stock'!I:I,'Dubai Stock'!H:H,Final_UAE!B:B)</f>
        <v/>
      </c>
      <c r="H2945" s="8" t="e">
        <v>#N/A</v>
      </c>
      <c r="I2945" s="8" t="n"/>
    </row>
    <row r="2946">
      <c r="A2946" s="4" t="n">
        <v>33834</v>
      </c>
      <c r="B2946" s="4" t="inlineStr">
        <is>
          <t>clstdai-acu-dfna-p90-sn0175</t>
        </is>
      </c>
      <c r="C2946" s="4" t="inlineStr">
        <is>
          <t>W00031886A</t>
        </is>
      </c>
      <c r="D2946" s="6">
        <f>IF(F2946&gt;=5, F2946-5, IF(F2946&lt;5, 0, F2946))</f>
        <v/>
      </c>
      <c r="E2946">
        <f>VLOOKUP(B2946,[1]Namshi!$A:$B,2,0)</f>
        <v/>
      </c>
      <c r="F2946" s="4">
        <f>SUMIFS('Dubai Stock'!I:I,'Dubai Stock'!H:H,Final_UAE!B:B)</f>
        <v/>
      </c>
      <c r="H2946" s="8" t="e">
        <v>#N/A</v>
      </c>
      <c r="I2946" s="8" t="n"/>
    </row>
    <row r="2947">
      <c r="A2947" s="4" t="n">
        <v>33834</v>
      </c>
      <c r="B2947" s="4" t="inlineStr">
        <is>
          <t>clstdai-acu-oasy-p90-sn0075</t>
        </is>
      </c>
      <c r="C2947" s="4" t="inlineStr">
        <is>
          <t>W00031886A</t>
        </is>
      </c>
      <c r="D2947" s="6">
        <f>IF(F2947&gt;=5, F2947-5, IF(F2947&lt;5, 0, F2947))</f>
        <v/>
      </c>
      <c r="E2947">
        <f>VLOOKUP(B2947,[1]Namshi!$A:$B,2,0)</f>
        <v/>
      </c>
      <c r="F2947" s="4">
        <f>SUMIFS('Dubai Stock'!I:I,'Dubai Stock'!H:H,Final_UAE!B:B)</f>
        <v/>
      </c>
      <c r="H2947" s="8" t="e">
        <v>#N/A</v>
      </c>
      <c r="I2947" s="8" t="n"/>
    </row>
    <row r="2948">
      <c r="A2948" s="4" t="n">
        <v>33834</v>
      </c>
      <c r="B2948" s="4" t="inlineStr">
        <is>
          <t>clstdai-acu-mois-p60-sn0300</t>
        </is>
      </c>
      <c r="C2948" s="4" t="inlineStr">
        <is>
          <t>W00031886A</t>
        </is>
      </c>
      <c r="D2948" s="6">
        <f>IF(F2948&gt;=5, F2948-5, IF(F2948&lt;5, 0, F2948))</f>
        <v/>
      </c>
      <c r="E2948">
        <f>VLOOKUP(B2948,[1]Namshi!$A:$B,2,0)</f>
        <v/>
      </c>
      <c r="F2948" s="4">
        <f>SUMIFS('Dubai Stock'!I:I,'Dubai Stock'!H:H,Final_UAE!B:B)</f>
        <v/>
      </c>
      <c r="H2948" s="8" t="e">
        <v>#N/A</v>
      </c>
      <c r="I2948" s="8" t="n"/>
    </row>
    <row r="2949">
      <c r="A2949" s="4" t="n">
        <v>33834</v>
      </c>
      <c r="B2949" s="4" t="inlineStr">
        <is>
          <t>clstdai-lay-cont-p90-dazzle-black-sn0400</t>
        </is>
      </c>
      <c r="C2949" s="4" t="inlineStr">
        <is>
          <t>W00031886A</t>
        </is>
      </c>
      <c r="D2949" s="6">
        <f>IF(F2949&gt;=5, F2949-5, IF(F2949&lt;5, 0, F2949))</f>
        <v/>
      </c>
      <c r="E2949">
        <f>VLOOKUP(B2949,[1]Namshi!$A:$B,2,0)</f>
        <v/>
      </c>
      <c r="F2949" s="4">
        <f>SUMIFS('Dubai Stock'!I:I,'Dubai Stock'!H:H,Final_UAE!B:B)</f>
        <v/>
      </c>
      <c r="H2949" s="8" t="e">
        <v>#N/A</v>
      </c>
      <c r="I2949" s="8" t="n"/>
    </row>
    <row r="2950">
      <c r="A2950" s="4" t="n">
        <v>33834</v>
      </c>
      <c r="B2950" s="4" t="inlineStr">
        <is>
          <t>clstdai-acu-dfrb-p90-sp0000</t>
        </is>
      </c>
      <c r="C2950" s="4" t="inlineStr">
        <is>
          <t>W00031886A</t>
        </is>
      </c>
      <c r="D2950" s="6">
        <f>IF(F2950&gt;=5, F2950-5, IF(F2950&lt;5, 0, F2950))</f>
        <v/>
      </c>
      <c r="E2950">
        <f>VLOOKUP(B2950,[1]Namshi!$A:$B,2,0)</f>
        <v/>
      </c>
      <c r="F2950" s="4">
        <f>SUMIFS('Dubai Stock'!I:I,'Dubai Stock'!H:H,Final_UAE!B:B)</f>
        <v/>
      </c>
      <c r="H2950" s="8" t="e">
        <v>#N/A</v>
      </c>
      <c r="I2950" s="8" t="n"/>
    </row>
    <row r="2951">
      <c r="A2951" s="4" t="n">
        <v>33834</v>
      </c>
      <c r="B2951" s="4" t="inlineStr">
        <is>
          <t>clstdai-cla-iris-p30-jazz-black-sn0275</t>
        </is>
      </c>
      <c r="C2951" s="4" t="inlineStr">
        <is>
          <t>W00031886A</t>
        </is>
      </c>
      <c r="D2951" s="6">
        <f>IF(F2951&gt;=5, F2951-5, IF(F2951&lt;5, 0, F2951))</f>
        <v/>
      </c>
      <c r="E2951">
        <f>VLOOKUP(B2951,[1]Namshi!$A:$B,2,0)</f>
        <v/>
      </c>
      <c r="F2951" s="4">
        <f>SUMIFS('Dubai Stock'!I:I,'Dubai Stock'!H:H,Final_UAE!B:B)</f>
        <v/>
      </c>
      <c r="H2951" s="8" t="e">
        <v>#N/A</v>
      </c>
      <c r="I2951" s="8" t="n"/>
    </row>
    <row r="2952">
      <c r="A2952" s="4" t="n">
        <v>33834</v>
      </c>
      <c r="B2952" s="4" t="inlineStr">
        <is>
          <t>costdai-ama-dail-p10-moon-stone-sn0050</t>
        </is>
      </c>
      <c r="C2952" s="4" t="inlineStr">
        <is>
          <t>W00031886A</t>
        </is>
      </c>
      <c r="D2952" s="6">
        <f>IF(F2952&gt;=5, F2952-5, IF(F2952&lt;5, 0, F2952))</f>
        <v/>
      </c>
      <c r="E2952">
        <f>VLOOKUP(B2952,[1]Namshi!$A:$B,2,0)</f>
        <v/>
      </c>
      <c r="F2952" s="4">
        <f>SUMIFS('Dubai Stock'!I:I,'Dubai Stock'!H:H,Final_UAE!B:B)</f>
        <v/>
      </c>
      <c r="H2952" s="8" t="e">
        <v>#N/A</v>
      </c>
      <c r="I2952" s="8" t="n"/>
    </row>
    <row r="2953">
      <c r="A2953" s="4" t="n">
        <v>33834</v>
      </c>
      <c r="B2953" s="4" t="inlineStr">
        <is>
          <t>clstdai-lay-cont-p30-dazzle-black-sn0275</t>
        </is>
      </c>
      <c r="C2953" s="4" t="inlineStr">
        <is>
          <t>W00031886A</t>
        </is>
      </c>
      <c r="D2953" s="6">
        <f>IF(F2953&gt;=5, F2953-5, IF(F2953&lt;5, 0, F2953))</f>
        <v/>
      </c>
      <c r="E2953">
        <f>VLOOKUP(B2953,[1]Namshi!$A:$B,2,0)</f>
        <v/>
      </c>
      <c r="F2953" s="4">
        <f>SUMIFS('Dubai Stock'!I:I,'Dubai Stock'!H:H,Final_UAE!B:B)</f>
        <v/>
      </c>
      <c r="H2953" s="8" t="e">
        <v>#N/A</v>
      </c>
      <c r="I2953" s="8" t="n"/>
    </row>
    <row r="2954">
      <c r="A2954" s="4" t="n">
        <v>33834</v>
      </c>
      <c r="B2954" s="4" t="inlineStr">
        <is>
          <t>clstdai-acu-oasy-p30-sp0425</t>
        </is>
      </c>
      <c r="C2954" s="4" t="inlineStr">
        <is>
          <t>W00031886A</t>
        </is>
      </c>
      <c r="D2954" s="6">
        <f>IF(F2954&gt;=5, F2954-5, IF(F2954&lt;5, 0, F2954))</f>
        <v/>
      </c>
      <c r="E2954">
        <f>VLOOKUP(B2954,[1]Namshi!$A:$B,2,0)</f>
        <v/>
      </c>
      <c r="F2954" s="4">
        <f>SUMIFS('Dubai Stock'!I:I,'Dubai Stock'!H:H,Final_UAE!B:B)</f>
        <v/>
      </c>
      <c r="H2954" s="8" t="e">
        <v>#N/A</v>
      </c>
      <c r="I2954" s="8" t="n"/>
    </row>
    <row r="2955">
      <c r="A2955" s="4" t="n">
        <v>33834</v>
      </c>
      <c r="B2955" s="4" t="inlineStr">
        <is>
          <t>costmon-ama-lens-p02-crocodile-green-sn0600</t>
        </is>
      </c>
      <c r="C2955" s="4" t="inlineStr">
        <is>
          <t>W00031886A</t>
        </is>
      </c>
      <c r="D2955" s="6">
        <f>IF(F2955&gt;=5, F2955-5, IF(F2955&lt;5, 0, F2955))</f>
        <v/>
      </c>
      <c r="E2955">
        <f>VLOOKUP(B2955,[1]Namshi!$A:$B,2,0)</f>
        <v/>
      </c>
      <c r="F2955" s="4">
        <f>SUMIFS('Dubai Stock'!I:I,'Dubai Stock'!H:H,Final_UAE!B:B)</f>
        <v/>
      </c>
      <c r="H2955" s="8" t="e">
        <v>#N/A</v>
      </c>
      <c r="I2955" s="8" t="n"/>
    </row>
    <row r="2956">
      <c r="A2956" s="4" t="n">
        <v>33834</v>
      </c>
      <c r="B2956" s="4" t="inlineStr">
        <is>
          <t>clstdai-lay-cont-p60-dazzle-black-sn0300</t>
        </is>
      </c>
      <c r="C2956" s="4" t="inlineStr">
        <is>
          <t>W00031886A</t>
        </is>
      </c>
      <c r="D2956" s="6">
        <f>IF(F2956&gt;=5, F2956-5, IF(F2956&lt;5, 0, F2956))</f>
        <v/>
      </c>
      <c r="E2956">
        <f>VLOOKUP(B2956,[1]Namshi!$A:$B,2,0)</f>
        <v/>
      </c>
      <c r="F2956" s="4">
        <f>SUMIFS('Dubai Stock'!I:I,'Dubai Stock'!H:H,Final_UAE!B:B)</f>
        <v/>
      </c>
      <c r="H2956" s="8" t="e">
        <v>#N/A</v>
      </c>
      <c r="I2956" s="8" t="n"/>
    </row>
    <row r="2957">
      <c r="A2957" s="4" t="n">
        <v>33834</v>
      </c>
      <c r="B2957" s="4" t="inlineStr">
        <is>
          <t>sm70506-30s-000247-2906-57</t>
        </is>
      </c>
      <c r="C2957" s="4" t="inlineStr">
        <is>
          <t>W00031886A</t>
        </is>
      </c>
      <c r="D2957" s="6">
        <f>IF(F2957&gt;=5, F2957-5, IF(F2957&lt;5, 0, F2957))</f>
        <v/>
      </c>
      <c r="E2957">
        <f>VLOOKUP(B2957,[1]Namshi!$A:$B,2,0)</f>
        <v/>
      </c>
      <c r="F2957" s="4">
        <f>SUMIFS('Dubai Stock'!I:I,'Dubai Stock'!H:H,Final_UAE!B:B)</f>
        <v/>
      </c>
      <c r="H2957" s="8" t="e">
        <v>#N/A</v>
      </c>
    </row>
    <row r="2958">
      <c r="A2958" s="4" t="n">
        <v>33834</v>
      </c>
      <c r="B2958" s="4" t="inlineStr">
        <is>
          <t>cost3mo-lay-2021-p02-golden-gray-sn0400</t>
        </is>
      </c>
      <c r="C2958" s="4" t="inlineStr">
        <is>
          <t>W00031886A</t>
        </is>
      </c>
      <c r="D2958" s="6">
        <f>IF(F2958&gt;=5, F2958-5, IF(F2958&lt;5, 0, F2958))</f>
        <v/>
      </c>
      <c r="E2958">
        <f>VLOOKUP(B2958,[1]Namshi!$A:$B,2,0)</f>
        <v/>
      </c>
      <c r="F2958" s="4">
        <f>SUMIFS('Dubai Stock'!I:I,'Dubai Stock'!H:H,Final_UAE!B:B)</f>
        <v/>
      </c>
      <c r="H2958" s="8" t="e">
        <v>#N/A</v>
      </c>
      <c r="I2958" s="8" t="n"/>
    </row>
    <row r="2959">
      <c r="A2959" s="4" t="n">
        <v>33834</v>
      </c>
      <c r="B2959" s="4" t="inlineStr">
        <is>
          <t>sm100107-30s-00408-0107p-48</t>
        </is>
      </c>
      <c r="C2959" s="4" t="inlineStr">
        <is>
          <t>W00031886A</t>
        </is>
      </c>
      <c r="D2959" s="6">
        <f>IF(F2959&gt;=5, F2959-5, IF(F2959&lt;5, 0, F2959))</f>
        <v/>
      </c>
      <c r="E2959">
        <f>VLOOKUP(B2959,[1]Namshi!$A:$B,2,0)</f>
        <v/>
      </c>
      <c r="F2959" s="4">
        <f>SUMIFS('Dubai Stock'!I:I,'Dubai Stock'!H:H,Final_UAE!B:B)</f>
        <v/>
      </c>
      <c r="H2959" s="8" t="e">
        <v>#N/A</v>
      </c>
    </row>
    <row r="2960">
      <c r="A2960" s="4" t="n">
        <v>33834</v>
      </c>
      <c r="B2960" s="4" t="inlineStr">
        <is>
          <t>su51306-30s-000236-1306-49</t>
        </is>
      </c>
      <c r="C2960" s="4" t="inlineStr">
        <is>
          <t>W00031886A</t>
        </is>
      </c>
      <c r="D2960" s="6">
        <f>IF(F2960&gt;=5, F2960-5, IF(F2960&lt;5, 0, F2960))</f>
        <v/>
      </c>
      <c r="E2960">
        <f>VLOOKUP(B2960,[1]Namshi!$A:$B,2,0)</f>
        <v/>
      </c>
      <c r="F2960" s="4">
        <f>SUMIFS('Dubai Stock'!I:I,'Dubai Stock'!H:H,Final_UAE!B:B)</f>
        <v/>
      </c>
      <c r="H2960" s="8" t="e">
        <v>#N/A</v>
      </c>
    </row>
    <row r="2961">
      <c r="A2961" s="4" t="n">
        <v>33834</v>
      </c>
      <c r="B2961" s="4" t="inlineStr">
        <is>
          <t>sacchan-30s-chain135-blu-bluebell-light-blue</t>
        </is>
      </c>
      <c r="C2961" s="4" t="inlineStr">
        <is>
          <t>W00031886A</t>
        </is>
      </c>
      <c r="D2961" s="6">
        <f>IF(F2961&gt;=5, F2961-5, IF(F2961&lt;5, 0, F2961))</f>
        <v/>
      </c>
      <c r="E2961">
        <f>VLOOKUP(B2961,[1]Namshi!$A:$B,2,0)</f>
        <v/>
      </c>
      <c r="F2961" s="4">
        <f>SUMIFS('Dubai Stock'!I:I,'Dubai Stock'!H:H,Final_UAE!B:B)</f>
        <v/>
      </c>
      <c r="H2961" s="8" t="e">
        <v>#N/A</v>
      </c>
      <c r="I2961" s="8" t="n"/>
    </row>
    <row r="2962">
      <c r="A2962" s="4" t="n">
        <v>33834</v>
      </c>
      <c r="B2962" s="4" t="inlineStr">
        <is>
          <t>sw41304-30s-000123-1304-51</t>
        </is>
      </c>
      <c r="C2962" s="4" t="inlineStr">
        <is>
          <t>W00031886A</t>
        </is>
      </c>
      <c r="D2962" s="6">
        <f>IF(F2962&gt;=5, F2962-5, IF(F2962&lt;5, 0, F2962))</f>
        <v/>
      </c>
      <c r="E2962">
        <f>VLOOKUP(B2962,[1]Namshi!$A:$B,2,0)</f>
        <v/>
      </c>
      <c r="F2962" s="4">
        <f>SUMIFS('Dubai Stock'!I:I,'Dubai Stock'!H:H,Final_UAE!B:B)</f>
        <v/>
      </c>
      <c r="H2962" s="8" t="e">
        <v>#N/A</v>
      </c>
    </row>
    <row r="2963">
      <c r="A2963" s="4" t="n">
        <v>33834</v>
      </c>
      <c r="B2963" s="4" t="inlineStr">
        <is>
          <t>su60701-bla-000281-0701-54</t>
        </is>
      </c>
      <c r="C2963" s="4" t="inlineStr">
        <is>
          <t>W00031886A</t>
        </is>
      </c>
      <c r="D2963" s="6">
        <f>IF(F2963&gt;=5, F2963-5, IF(F2963&lt;5, 0, F2963))</f>
        <v/>
      </c>
      <c r="E2963">
        <f>VLOOKUP(B2963,[1]Namshi!$A:$B,2,0)</f>
        <v/>
      </c>
      <c r="F2963" s="4">
        <f>SUMIFS('Dubai Stock'!I:I,'Dubai Stock'!H:H,Final_UAE!B:B)</f>
        <v/>
      </c>
      <c r="H2963" s="8" t="e">
        <v>#N/A</v>
      </c>
      <c r="I2963" s="8" t="n"/>
    </row>
    <row r="2964">
      <c r="A2964" s="4" t="n">
        <v>33834</v>
      </c>
      <c r="B2964" s="4" t="inlineStr">
        <is>
          <t>clstdai-bme-1day-p30-sn0650</t>
        </is>
      </c>
      <c r="C2964" s="4" t="inlineStr">
        <is>
          <t>W00031886A</t>
        </is>
      </c>
      <c r="D2964" s="6">
        <f>IF(F2964&gt;=5, F2964-5, IF(F2964&lt;5, 0, F2964))</f>
        <v/>
      </c>
      <c r="E2964">
        <f>VLOOKUP(B2964,[1]Namshi!$A:$B,2,0)</f>
        <v/>
      </c>
      <c r="F2964" s="4">
        <f>SUMIFS('Dubai Stock'!I:I,'Dubai Stock'!H:H,Final_UAE!B:B)</f>
        <v/>
      </c>
      <c r="H2964" s="8" t="e">
        <v>#N/A</v>
      </c>
      <c r="I2964" s="8" t="n"/>
    </row>
    <row r="2965">
      <c r="A2965" s="4" t="n">
        <v>33834</v>
      </c>
      <c r="B2965" s="4" t="inlineStr">
        <is>
          <t>clstdai-bme-1day-p30-sn0850</t>
        </is>
      </c>
      <c r="C2965" s="4" t="inlineStr">
        <is>
          <t>W00031886A</t>
        </is>
      </c>
      <c r="D2965" s="6">
        <f>IF(F2965&gt;=5, F2965-5, IF(F2965&lt;5, 0, F2965))</f>
        <v/>
      </c>
      <c r="E2965">
        <f>VLOOKUP(B2965,[1]Namshi!$A:$B,2,0)</f>
        <v/>
      </c>
      <c r="F2965" s="4">
        <f>SUMIFS('Dubai Stock'!I:I,'Dubai Stock'!H:H,Final_UAE!B:B)</f>
        <v/>
      </c>
      <c r="H2965" s="8" t="e">
        <v>#N/A</v>
      </c>
      <c r="I2965" s="8" t="n"/>
    </row>
    <row r="2966">
      <c r="A2966" s="4" t="n">
        <v>33834</v>
      </c>
      <c r="B2966" s="4" t="inlineStr">
        <is>
          <t>clstdai-lay-cont-p30-dazzle-black-sn0800</t>
        </is>
      </c>
      <c r="C2966" s="4" t="inlineStr">
        <is>
          <t>W00031886A</t>
        </is>
      </c>
      <c r="D2966" s="6">
        <f>IF(F2966&gt;=5, F2966-5, IF(F2966&lt;5, 0, F2966))</f>
        <v/>
      </c>
      <c r="E2966">
        <f>VLOOKUP(B2966,[1]Namshi!$A:$B,2,0)</f>
        <v/>
      </c>
      <c r="F2966" s="4">
        <f>SUMIFS('Dubai Stock'!I:I,'Dubai Stock'!H:H,Final_UAE!B:B)</f>
        <v/>
      </c>
      <c r="H2966" s="8" t="e">
        <v>#N/A</v>
      </c>
      <c r="I2966" s="8" t="n"/>
    </row>
    <row r="2967">
      <c r="A2967" s="4" t="n">
        <v>33834</v>
      </c>
      <c r="B2967" s="4" t="inlineStr">
        <is>
          <t>clstdai-dai-aqua-p30-sn0375</t>
        </is>
      </c>
      <c r="C2967" s="4" t="inlineStr">
        <is>
          <t>W00031886A</t>
        </is>
      </c>
      <c r="D2967" s="6">
        <f>IF(F2967&gt;=5, F2967-5, IF(F2967&lt;5, 0, F2967))</f>
        <v/>
      </c>
      <c r="E2967">
        <f>VLOOKUP(B2967,[1]Namshi!$A:$B,2,0)</f>
        <v/>
      </c>
      <c r="F2967" s="4">
        <f>SUMIFS('Dubai Stock'!I:I,'Dubai Stock'!H:H,Final_UAE!B:B)</f>
        <v/>
      </c>
      <c r="H2967" s="8" t="e">
        <v>#N/A</v>
      </c>
      <c r="I2967" s="8" t="n"/>
    </row>
    <row r="2968">
      <c r="A2968" s="4" t="n">
        <v>33834</v>
      </c>
      <c r="B2968" s="4" t="inlineStr">
        <is>
          <t>costdai-acu-dffr-p30-rose-sn0125</t>
        </is>
      </c>
      <c r="C2968" s="4" t="inlineStr">
        <is>
          <t>W00031886A</t>
        </is>
      </c>
      <c r="D2968" s="6">
        <f>IF(F2968&gt;=5, F2968-5, IF(F2968&lt;5, 0, F2968))</f>
        <v/>
      </c>
      <c r="E2968">
        <f>VLOOKUP(B2968,[1]Namshi!$A:$B,2,0)</f>
        <v/>
      </c>
      <c r="F2968" s="4">
        <f>SUMIFS('Dubai Stock'!I:I,'Dubai Stock'!H:H,Final_UAE!B:B)</f>
        <v/>
      </c>
      <c r="H2968" s="8" t="e">
        <v>#N/A</v>
      </c>
      <c r="I2968" s="8" t="n"/>
    </row>
    <row r="2969">
      <c r="A2969" s="4" t="n">
        <v>33834</v>
      </c>
      <c r="B2969" s="4" t="inlineStr">
        <is>
          <t>clstdai-acu-dfvi-p30-sn0300</t>
        </is>
      </c>
      <c r="C2969" s="4" t="inlineStr">
        <is>
          <t>W00031886A</t>
        </is>
      </c>
      <c r="D2969" s="6">
        <f>IF(F2969&gt;=5, F2969-5, IF(F2969&lt;5, 0, F2969))</f>
        <v/>
      </c>
      <c r="E2969">
        <f>VLOOKUP(B2969,[1]Namshi!$A:$B,2,0)</f>
        <v/>
      </c>
      <c r="F2969" s="4">
        <f>SUMIFS('Dubai Stock'!I:I,'Dubai Stock'!H:H,Final_UAE!B:B)</f>
        <v/>
      </c>
      <c r="H2969" s="8" t="e">
        <v>#N/A</v>
      </c>
      <c r="I2969" s="8" t="n"/>
    </row>
    <row r="2970">
      <c r="A2970" s="4" t="n">
        <v>33834</v>
      </c>
      <c r="B2970" s="4" t="inlineStr">
        <is>
          <t>sm40606-30s-000289-0606-57</t>
        </is>
      </c>
      <c r="C2970" s="4" t="inlineStr">
        <is>
          <t>W00031886A</t>
        </is>
      </c>
      <c r="D2970" s="6">
        <f>IF(F2970&gt;=5, F2970-5, IF(F2970&lt;5, 0, F2970))</f>
        <v/>
      </c>
      <c r="E2970">
        <f>VLOOKUP(B2970,[1]Namshi!$A:$B,2,0)</f>
        <v/>
      </c>
      <c r="F2970" s="4">
        <f>SUMIFS('Dubai Stock'!I:I,'Dubai Stock'!H:H,Final_UAE!B:B)</f>
        <v/>
      </c>
      <c r="H2970" s="8" t="e">
        <v>#N/A</v>
      </c>
    </row>
    <row r="2971">
      <c r="A2971" s="4" t="n">
        <v>33834</v>
      </c>
      <c r="B2971" s="4" t="inlineStr">
        <is>
          <t>clstdai-acu-dfvi-p90-sn0425</t>
        </is>
      </c>
      <c r="C2971" s="4" t="inlineStr">
        <is>
          <t>W00031886A</t>
        </is>
      </c>
      <c r="D2971" s="6">
        <f>IF(F2971&gt;=5, F2971-5, IF(F2971&lt;5, 0, F2971))</f>
        <v/>
      </c>
      <c r="E2971">
        <f>VLOOKUP(B2971,[1]Namshi!$A:$B,2,0)</f>
        <v/>
      </c>
      <c r="F2971" s="4">
        <f>SUMIFS('Dubai Stock'!I:I,'Dubai Stock'!H:H,Final_UAE!B:B)</f>
        <v/>
      </c>
      <c r="H2971" s="8" t="e">
        <v>#N/A</v>
      </c>
      <c r="I2971" s="8" t="n"/>
    </row>
    <row r="2972">
      <c r="A2972" s="4" t="n">
        <v>33834</v>
      </c>
      <c r="B2972" s="4" t="inlineStr">
        <is>
          <t>clstdai-dai-aqua-p90-sn1350</t>
        </is>
      </c>
      <c r="C2972" s="4" t="inlineStr">
        <is>
          <t>W00031886A</t>
        </is>
      </c>
      <c r="D2972" s="6">
        <f>IF(F2972&gt;=5, F2972-5, IF(F2972&lt;5, 0, F2972))</f>
        <v/>
      </c>
      <c r="E2972">
        <f>VLOOKUP(B2972,[1]Namshi!$A:$B,2,0)</f>
        <v/>
      </c>
      <c r="F2972" s="4">
        <f>SUMIFS('Dubai Stock'!I:I,'Dubai Stock'!H:H,Final_UAE!B:B)</f>
        <v/>
      </c>
      <c r="H2972" s="8" t="e">
        <v>#N/A</v>
      </c>
      <c r="I2972" s="8" t="n"/>
    </row>
    <row r="2973">
      <c r="A2973" s="4" t="n">
        <v>33834</v>
      </c>
      <c r="B2973" s="4" t="inlineStr">
        <is>
          <t>costdai-ama-dail-p10-amber-sn0050</t>
        </is>
      </c>
      <c r="C2973" s="4" t="inlineStr">
        <is>
          <t>W00031886A</t>
        </is>
      </c>
      <c r="D2973" s="6">
        <f>IF(F2973&gt;=5, F2973-5, IF(F2973&lt;5, 0, F2973))</f>
        <v/>
      </c>
      <c r="E2973">
        <f>VLOOKUP(B2973,[1]Namshi!$A:$B,2,0)</f>
        <v/>
      </c>
      <c r="F2973" s="4">
        <f>SUMIFS('Dubai Stock'!I:I,'Dubai Stock'!H:H,Final_UAE!B:B)</f>
        <v/>
      </c>
      <c r="H2973" s="8" t="e">
        <v>#N/A</v>
      </c>
      <c r="I2973" s="8" t="n"/>
    </row>
    <row r="2974">
      <c r="A2974" s="4" t="n">
        <v>33834</v>
      </c>
      <c r="B2974" s="4" t="inlineStr">
        <is>
          <t>cost3mo-cel-natu-p01-light-grey-sp0400</t>
        </is>
      </c>
      <c r="C2974" s="4" t="inlineStr">
        <is>
          <t>W00031886A</t>
        </is>
      </c>
      <c r="D2974" s="6">
        <f>IF(F2974&gt;=5, F2974-5, IF(F2974&lt;5, 0, F2974))</f>
        <v/>
      </c>
      <c r="E2974">
        <f>VLOOKUP(B2974,[1]Namshi!$A:$B,2,0)</f>
        <v/>
      </c>
      <c r="F2974" s="4">
        <f>SUMIFS('Dubai Stock'!I:I,'Dubai Stock'!H:H,Final_UAE!B:B)</f>
        <v/>
      </c>
      <c r="H2974" s="8" t="e">
        <v>#N/A</v>
      </c>
      <c r="I2974" s="8" t="n"/>
    </row>
    <row r="2975">
      <c r="A2975" s="4" t="n">
        <v>33834</v>
      </c>
      <c r="B2975" s="4" t="inlineStr">
        <is>
          <t>clstdai-eve-elit-p30-sp0600</t>
        </is>
      </c>
      <c r="C2975" s="4" t="inlineStr">
        <is>
          <t>W00031886A</t>
        </is>
      </c>
      <c r="D2975" s="6">
        <f>IF(F2975&gt;=5, F2975-5, IF(F2975&lt;5, 0, F2975))</f>
        <v/>
      </c>
      <c r="E2975">
        <f>VLOOKUP(B2975,[1]Namshi!$A:$B,2,0)</f>
        <v/>
      </c>
      <c r="F2975" s="4">
        <f>SUMIFS('Dubai Stock'!I:I,'Dubai Stock'!H:H,Final_UAE!B:B)</f>
        <v/>
      </c>
      <c r="H2975" s="8" t="n">
        <v>261</v>
      </c>
      <c r="I2975" s="8" t="n">
        <v>146.3</v>
      </c>
    </row>
    <row r="2976">
      <c r="A2976" s="4" t="n">
        <v>33834</v>
      </c>
      <c r="B2976" s="4" t="inlineStr">
        <is>
          <t>clstdai-acu-omax-p30-sn0300</t>
        </is>
      </c>
      <c r="C2976" s="4" t="inlineStr">
        <is>
          <t>W00031886A</t>
        </is>
      </c>
      <c r="D2976" s="6">
        <f>IF(F2976&gt;=5, F2976-5, IF(F2976&lt;5, 0, F2976))</f>
        <v/>
      </c>
      <c r="E2976">
        <f>VLOOKUP(B2976,[1]Namshi!$A:$B,2,0)</f>
        <v/>
      </c>
      <c r="F2976" s="4">
        <f>SUMIFS('Dubai Stock'!I:I,'Dubai Stock'!H:H,Final_UAE!B:B)</f>
        <v/>
      </c>
      <c r="H2976" s="8" t="e">
        <v>#N/A</v>
      </c>
      <c r="I2976" s="8" t="n"/>
    </row>
    <row r="2977">
      <c r="A2977" s="4" t="n">
        <v>33834</v>
      </c>
      <c r="B2977" s="4" t="inlineStr">
        <is>
          <t>clstdai-acu-omax-p30-sn0850</t>
        </is>
      </c>
      <c r="C2977" s="4" t="inlineStr">
        <is>
          <t>W00031886A</t>
        </is>
      </c>
      <c r="D2977" s="6">
        <f>IF(F2977&gt;=5, F2977-5, IF(F2977&lt;5, 0, F2977))</f>
        <v/>
      </c>
      <c r="E2977">
        <f>VLOOKUP(B2977,[1]Namshi!$A:$B,2,0)</f>
        <v/>
      </c>
      <c r="F2977" s="4">
        <f>SUMIFS('Dubai Stock'!I:I,'Dubai Stock'!H:H,Final_UAE!B:B)</f>
        <v/>
      </c>
      <c r="H2977" s="8" t="e">
        <v>#N/A</v>
      </c>
      <c r="I2977" s="8" t="n"/>
    </row>
    <row r="2978">
      <c r="A2978" s="4" t="n">
        <v>33834</v>
      </c>
      <c r="B2978" s="4" t="inlineStr">
        <is>
          <t>fw72318-spc-000514-2300-53</t>
        </is>
      </c>
      <c r="C2978" s="4" t="inlineStr">
        <is>
          <t>W00031886A</t>
        </is>
      </c>
      <c r="D2978" s="6">
        <f>IF(F2978&gt;=5, F2978-5, IF(F2978&lt;5, 0, F2978))</f>
        <v/>
      </c>
      <c r="E2978">
        <f>VLOOKUP(B2978,[1]Namshi!$A:$B,2,0)</f>
        <v/>
      </c>
      <c r="F2978" s="4">
        <f>SUMIFS('Dubai Stock'!I:I,'Dubai Stock'!H:H,Final_UAE!B:B)</f>
        <v/>
      </c>
      <c r="H2978" s="8" t="e">
        <v>#N/A</v>
      </c>
      <c r="I2978" s="8" t="n"/>
    </row>
    <row r="2979">
      <c r="A2979" s="4" t="n">
        <v>33834</v>
      </c>
      <c r="B2979" s="4" t="inlineStr">
        <is>
          <t>clstmon-bme-bm55-p06-sn0475</t>
        </is>
      </c>
      <c r="C2979" s="4" t="inlineStr">
        <is>
          <t>W00031886A</t>
        </is>
      </c>
      <c r="D2979" s="6">
        <f>IF(F2979&gt;=5, F2979-5, IF(F2979&lt;5, 0, F2979))</f>
        <v/>
      </c>
      <c r="E2979">
        <f>VLOOKUP(B2979,[1]Namshi!$A:$B,2,0)</f>
        <v/>
      </c>
      <c r="F2979" s="4">
        <f>SUMIFS('Dubai Stock'!I:I,'Dubai Stock'!H:H,Final_UAE!B:B)</f>
        <v/>
      </c>
      <c r="H2979" s="8" t="e">
        <v>#N/A</v>
      </c>
      <c r="I2979" s="8" t="n"/>
    </row>
    <row r="2980">
      <c r="A2980" s="4" t="n">
        <v>33834</v>
      </c>
      <c r="B2980" s="4" t="inlineStr">
        <is>
          <t>clstdai-acu-mois-p30-sn0225</t>
        </is>
      </c>
      <c r="C2980" s="4" t="inlineStr">
        <is>
          <t>W00031886A</t>
        </is>
      </c>
      <c r="D2980" s="6">
        <f>IF(F2980&gt;=5, F2980-5, IF(F2980&lt;5, 0, F2980))</f>
        <v/>
      </c>
      <c r="E2980">
        <f>VLOOKUP(B2980,[1]Namshi!$A:$B,2,0)</f>
        <v/>
      </c>
      <c r="F2980" s="4">
        <f>SUMIFS('Dubai Stock'!I:I,'Dubai Stock'!H:H,Final_UAE!B:B)</f>
        <v/>
      </c>
      <c r="H2980" s="8" t="e">
        <v>#N/A</v>
      </c>
      <c r="I2980" s="8" t="n"/>
    </row>
    <row r="2981">
      <c r="A2981" s="4" t="n">
        <v>33834</v>
      </c>
      <c r="B2981" s="4" t="inlineStr">
        <is>
          <t>clstdai-dai-tot1-p90-sp0175</t>
        </is>
      </c>
      <c r="C2981" s="4" t="inlineStr">
        <is>
          <t>W00031886A</t>
        </is>
      </c>
      <c r="D2981" s="6">
        <f>IF(F2981&gt;=5, F2981-5, IF(F2981&lt;5, 0, F2981))</f>
        <v/>
      </c>
      <c r="E2981">
        <f>VLOOKUP(B2981,[1]Namshi!$A:$B,2,0)</f>
        <v/>
      </c>
      <c r="F2981" s="4">
        <f>SUMIFS('Dubai Stock'!I:I,'Dubai Stock'!H:H,Final_UAE!B:B)</f>
        <v/>
      </c>
      <c r="H2981" s="8" t="e">
        <v>#N/A</v>
      </c>
      <c r="I2981" s="8" t="n"/>
    </row>
    <row r="2982">
      <c r="A2982" s="4" t="n">
        <v>33834</v>
      </c>
      <c r="B2982" s="4" t="inlineStr">
        <is>
          <t>costmon-ama-2022-p02-cocoa-sn0175</t>
        </is>
      </c>
      <c r="C2982" s="4" t="inlineStr">
        <is>
          <t>W00031886A</t>
        </is>
      </c>
      <c r="D2982" s="6">
        <f>IF(F2982&gt;=5, F2982-5, IF(F2982&lt;5, 0, F2982))</f>
        <v/>
      </c>
      <c r="E2982">
        <f>VLOOKUP(B2982,[1]Namshi!$A:$B,2,0)</f>
        <v/>
      </c>
      <c r="F2982" s="4">
        <f>SUMIFS('Dubai Stock'!I:I,'Dubai Stock'!H:H,Final_UAE!B:B)</f>
        <v/>
      </c>
      <c r="H2982" s="8" t="e">
        <v>#N/A</v>
      </c>
      <c r="I2982" s="8" t="n"/>
    </row>
    <row r="2983">
      <c r="A2983" s="4" t="n">
        <v>33834</v>
      </c>
      <c r="B2983" s="4" t="inlineStr">
        <is>
          <t>fu20718-spc-000813-0718-49</t>
        </is>
      </c>
      <c r="C2983" s="4" t="inlineStr">
        <is>
          <t>W00031886A</t>
        </is>
      </c>
      <c r="D2983" s="6">
        <f>IF(F2983&gt;=5, F2983-5, IF(F2983&lt;5, 0, F2983))</f>
        <v/>
      </c>
      <c r="E2983">
        <f>VLOOKUP(B2983,[1]Namshi!$A:$B,2,0)</f>
        <v/>
      </c>
      <c r="F2983" s="4">
        <f>SUMIFS('Dubai Stock'!I:I,'Dubai Stock'!H:H,Final_UAE!B:B)</f>
        <v/>
      </c>
      <c r="H2983" s="8" t="e">
        <v>#N/A</v>
      </c>
      <c r="I2983" s="8" t="n"/>
    </row>
    <row r="2984">
      <c r="A2984" s="4" t="n">
        <v>33834</v>
      </c>
      <c r="B2984" s="4" t="inlineStr">
        <is>
          <t>sm10404-30s-000208-0404-57</t>
        </is>
      </c>
      <c r="C2984" s="4" t="inlineStr">
        <is>
          <t>W00031886A</t>
        </is>
      </c>
      <c r="D2984" s="6">
        <f>IF(F2984&gt;=5, F2984-5, IF(F2984&lt;5, 0, F2984))</f>
        <v/>
      </c>
      <c r="E2984">
        <f>VLOOKUP(B2984,[1]Namshi!$A:$B,2,0)</f>
        <v/>
      </c>
      <c r="F2984" s="4">
        <f>SUMIFS('Dubai Stock'!I:I,'Dubai Stock'!H:H,Final_UAE!B:B)</f>
        <v/>
      </c>
      <c r="H2984" s="8" t="e">
        <v>#N/A</v>
      </c>
    </row>
    <row r="2985">
      <c r="A2985" s="4" t="n">
        <v>33834</v>
      </c>
      <c r="B2985" s="4" t="inlineStr">
        <is>
          <t>sw32904-bla-000279-2904-54</t>
        </is>
      </c>
      <c r="C2985" s="4" t="inlineStr">
        <is>
          <t>W00031886A</t>
        </is>
      </c>
      <c r="D2985" s="6">
        <f>IF(F2985&gt;=5, F2985-5, IF(F2985&lt;5, 0, F2985))</f>
        <v/>
      </c>
      <c r="E2985">
        <f>VLOOKUP(B2985,[1]Namshi!$A:$B,2,0)</f>
        <v/>
      </c>
      <c r="F2985" s="4">
        <f>SUMIFS('Dubai Stock'!I:I,'Dubai Stock'!H:H,Final_UAE!B:B)</f>
        <v/>
      </c>
      <c r="H2985" s="8" t="e">
        <v>#N/A</v>
      </c>
    </row>
    <row r="2986">
      <c r="A2986" s="4" t="n">
        <v>33834</v>
      </c>
      <c r="B2986" s="4" t="inlineStr">
        <is>
          <t>clstdai-acu-dfrb-p90-sn0100</t>
        </is>
      </c>
      <c r="C2986" s="4" t="inlineStr">
        <is>
          <t>W00031886A</t>
        </is>
      </c>
      <c r="D2986" s="6">
        <f>IF(F2986&gt;=5, F2986-5, IF(F2986&lt;5, 0, F2986))</f>
        <v/>
      </c>
      <c r="E2986">
        <f>VLOOKUP(B2986,[1]Namshi!$A:$B,2,0)</f>
        <v/>
      </c>
      <c r="F2986" s="4">
        <f>SUMIFS('Dubai Stock'!I:I,'Dubai Stock'!H:H,Final_UAE!B:B)</f>
        <v/>
      </c>
      <c r="H2986" s="8" t="e">
        <v>#N/A</v>
      </c>
      <c r="I2986" s="8" t="n"/>
    </row>
    <row r="2987">
      <c r="A2987" s="4" t="n">
        <v>33834</v>
      </c>
      <c r="B2987" s="4" t="inlineStr">
        <is>
          <t>costmon-ama-2020-p02-pure-hazel-sn0125</t>
        </is>
      </c>
      <c r="C2987" s="4" t="inlineStr">
        <is>
          <t>W00031886A</t>
        </is>
      </c>
      <c r="D2987" s="6">
        <f>IF(F2987&gt;=5, F2987-5, IF(F2987&lt;5, 0, F2987))</f>
        <v/>
      </c>
      <c r="E2987">
        <f>VLOOKUP(B2987,[1]Namshi!$A:$B,2,0)</f>
        <v/>
      </c>
      <c r="F2987" s="4">
        <f>SUMIFS('Dubai Stock'!I:I,'Dubai Stock'!H:H,Final_UAE!B:B)</f>
        <v/>
      </c>
      <c r="H2987" s="8" t="e">
        <v>#N/A</v>
      </c>
      <c r="I2987" s="8" t="n"/>
    </row>
    <row r="2988">
      <c r="A2988" s="4" t="n">
        <v>33834</v>
      </c>
      <c r="B2988" s="4" t="inlineStr">
        <is>
          <t>clstdai-dai-aqua-p90-sn0900</t>
        </is>
      </c>
      <c r="C2988" s="4" t="inlineStr">
        <is>
          <t>W00031886A</t>
        </is>
      </c>
      <c r="D2988" s="6">
        <f>IF(F2988&gt;=5, F2988-5, IF(F2988&lt;5, 0, F2988))</f>
        <v/>
      </c>
      <c r="E2988">
        <f>VLOOKUP(B2988,[1]Namshi!$A:$B,2,0)</f>
        <v/>
      </c>
      <c r="F2988" s="4">
        <f>SUMIFS('Dubai Stock'!I:I,'Dubai Stock'!H:H,Final_UAE!B:B)</f>
        <v/>
      </c>
      <c r="H2988" s="8" t="e">
        <v>#N/A</v>
      </c>
      <c r="I2988" s="8" t="n"/>
    </row>
    <row r="2989">
      <c r="A2989" s="4" t="n">
        <v>33834</v>
      </c>
      <c r="B2989" s="4" t="inlineStr">
        <is>
          <t>clstdai-lay-cont-p90-dazzle-black-sn0575</t>
        </is>
      </c>
      <c r="C2989" s="4" t="inlineStr">
        <is>
          <t>W00031886A</t>
        </is>
      </c>
      <c r="D2989" s="6">
        <f>IF(F2989&gt;=5, F2989-5, IF(F2989&lt;5, 0, F2989))</f>
        <v/>
      </c>
      <c r="E2989">
        <f>VLOOKUP(B2989,[1]Namshi!$A:$B,2,0)</f>
        <v/>
      </c>
      <c r="F2989" s="4">
        <f>SUMIFS('Dubai Stock'!I:I,'Dubai Stock'!H:H,Final_UAE!B:B)</f>
        <v/>
      </c>
      <c r="H2989" s="8" t="e">
        <v>#N/A</v>
      </c>
      <c r="I2989" s="8" t="n"/>
    </row>
    <row r="2990">
      <c r="A2990" s="4" t="n">
        <v>33834</v>
      </c>
      <c r="B2990" s="4" t="inlineStr">
        <is>
          <t>cost3mo-lay-2021-p02-polar-gray-sn0450</t>
        </is>
      </c>
      <c r="C2990" s="4" t="inlineStr">
        <is>
          <t>W00031886A</t>
        </is>
      </c>
      <c r="D2990" s="6">
        <f>IF(F2990&gt;=5, F2990-5, IF(F2990&lt;5, 0, F2990))</f>
        <v/>
      </c>
      <c r="E2990">
        <f>VLOOKUP(B2990,[1]Namshi!$A:$B,2,0)</f>
        <v/>
      </c>
      <c r="F2990" s="4">
        <f>SUMIFS('Dubai Stock'!I:I,'Dubai Stock'!H:H,Final_UAE!B:B)</f>
        <v/>
      </c>
      <c r="H2990" s="8" t="e">
        <v>#N/A</v>
      </c>
      <c r="I2990" s="8" t="n"/>
    </row>
    <row r="2991">
      <c r="A2991" s="4" t="n">
        <v>33834</v>
      </c>
      <c r="B2991" s="4" t="inlineStr">
        <is>
          <t>cost3mo-lay-2021-p02-willow-green-sn0075</t>
        </is>
      </c>
      <c r="C2991" s="4" t="inlineStr">
        <is>
          <t>W00031886A</t>
        </is>
      </c>
      <c r="D2991" s="6">
        <f>IF(F2991&gt;=5, F2991-5, IF(F2991&lt;5, 0, F2991))</f>
        <v/>
      </c>
      <c r="E2991">
        <f>VLOOKUP(B2991,[1]Namshi!$A:$B,2,0)</f>
        <v/>
      </c>
      <c r="F2991" s="4">
        <f>SUMIFS('Dubai Stock'!I:I,'Dubai Stock'!H:H,Final_UAE!B:B)</f>
        <v/>
      </c>
      <c r="H2991" s="8" t="e">
        <v>#N/A</v>
      </c>
      <c r="I2991" s="8" t="n"/>
    </row>
    <row r="2992">
      <c r="A2992" s="4" t="n">
        <v>33834</v>
      </c>
      <c r="B2992" s="4" t="inlineStr">
        <is>
          <t>fw21318-spc-000533-1300-50</t>
        </is>
      </c>
      <c r="C2992" s="4" t="inlineStr">
        <is>
          <t>W00031886A</t>
        </is>
      </c>
      <c r="D2992" s="6">
        <f>IF(F2992&gt;=5, F2992-5, IF(F2992&lt;5, 0, F2992))</f>
        <v/>
      </c>
      <c r="E2992">
        <f>VLOOKUP(B2992,[1]Namshi!$A:$B,2,0)</f>
        <v/>
      </c>
      <c r="F2992" s="4">
        <f>SUMIFS('Dubai Stock'!I:I,'Dubai Stock'!H:H,Final_UAE!B:B)</f>
        <v/>
      </c>
      <c r="H2992" s="8" t="e">
        <v>#N/A</v>
      </c>
      <c r="I2992" s="8" t="n"/>
    </row>
    <row r="2993">
      <c r="A2993" s="4" t="n">
        <v>33834</v>
      </c>
      <c r="B2993" s="4" t="inlineStr">
        <is>
          <t>clstdai-lay-cont-p60-dazzle-black-sn0800</t>
        </is>
      </c>
      <c r="C2993" s="4" t="inlineStr">
        <is>
          <t>W00031886A</t>
        </is>
      </c>
      <c r="D2993" s="6">
        <f>IF(F2993&gt;=5, F2993-5, IF(F2993&lt;5, 0, F2993))</f>
        <v/>
      </c>
      <c r="E2993">
        <f>VLOOKUP(B2993,[1]Namshi!$A:$B,2,0)</f>
        <v/>
      </c>
      <c r="F2993" s="4">
        <f>SUMIFS('Dubai Stock'!I:I,'Dubai Stock'!H:H,Final_UAE!B:B)</f>
        <v/>
      </c>
      <c r="H2993" s="8" t="e">
        <v>#N/A</v>
      </c>
      <c r="I2993" s="8" t="n"/>
    </row>
    <row r="2994">
      <c r="A2994" s="4" t="n">
        <v>33834</v>
      </c>
      <c r="B2994" s="4" t="inlineStr">
        <is>
          <t>su20707-rov-1003-12-41-51</t>
        </is>
      </c>
      <c r="C2994" s="4" t="inlineStr">
        <is>
          <t>W00031886A</t>
        </is>
      </c>
      <c r="D2994" s="6">
        <f>IF(F2994&gt;=5, F2994-5, IF(F2994&lt;5, 0, F2994))</f>
        <v/>
      </c>
      <c r="E2994">
        <f>VLOOKUP(B2994,[1]Namshi!$A:$B,2,0)</f>
        <v/>
      </c>
      <c r="F2994" s="4">
        <f>SUMIFS('Dubai Stock'!I:I,'Dubai Stock'!H:H,Final_UAE!B:B)</f>
        <v/>
      </c>
      <c r="H2994" s="8" t="e">
        <v>#N/A</v>
      </c>
      <c r="I2994" s="8" t="n"/>
    </row>
    <row r="2995">
      <c r="A2995" s="4" t="n">
        <v>33834</v>
      </c>
      <c r="B2995" s="4" t="inlineStr">
        <is>
          <t>clstmon-ava-avai-p06-sn0125</t>
        </is>
      </c>
      <c r="C2995" s="4" t="inlineStr">
        <is>
          <t>W00031886A</t>
        </is>
      </c>
      <c r="D2995" s="6">
        <f>IF(F2995&gt;=5, F2995-5, IF(F2995&lt;5, 0, F2995))</f>
        <v/>
      </c>
      <c r="E2995">
        <f>VLOOKUP(B2995,[1]Namshi!$A:$B,2,0)</f>
        <v/>
      </c>
      <c r="F2995" s="4">
        <f>SUMIFS('Dubai Stock'!I:I,'Dubai Stock'!H:H,Final_UAE!B:B)</f>
        <v/>
      </c>
      <c r="H2995" s="8" t="e">
        <v>#N/A</v>
      </c>
      <c r="I2995" s="8" t="n"/>
    </row>
    <row r="2996">
      <c r="A2996" s="4" t="n">
        <v>33834</v>
      </c>
      <c r="B2996" s="4" t="inlineStr">
        <is>
          <t>clstdai-acu-dfvi-p60-sn0275</t>
        </is>
      </c>
      <c r="C2996" s="4" t="inlineStr">
        <is>
          <t>W00031886A</t>
        </is>
      </c>
      <c r="D2996" s="6">
        <f>IF(F2996&gt;=5, F2996-5, IF(F2996&lt;5, 0, F2996))</f>
        <v/>
      </c>
      <c r="E2996">
        <f>VLOOKUP(B2996,[1]Namshi!$A:$B,2,0)</f>
        <v/>
      </c>
      <c r="F2996" s="4">
        <f>SUMIFS('Dubai Stock'!I:I,'Dubai Stock'!H:H,Final_UAE!B:B)</f>
        <v/>
      </c>
      <c r="H2996" s="8" t="e">
        <v>#N/A</v>
      </c>
      <c r="I2996" s="8" t="n"/>
    </row>
    <row r="2997">
      <c r="A2997" s="4" t="n">
        <v>33834</v>
      </c>
      <c r="B2997" s="4" t="inlineStr">
        <is>
          <t>clstdai-acu-dfna-p30-sn0475</t>
        </is>
      </c>
      <c r="C2997" s="4" t="inlineStr">
        <is>
          <t>W00031886A</t>
        </is>
      </c>
      <c r="D2997" s="6">
        <f>IF(F2997&gt;=5, F2997-5, IF(F2997&lt;5, 0, F2997))</f>
        <v/>
      </c>
      <c r="E2997">
        <f>VLOOKUP(B2997,[1]Namshi!$A:$B,2,0)</f>
        <v/>
      </c>
      <c r="F2997" s="4">
        <f>SUMIFS('Dubai Stock'!I:I,'Dubai Stock'!H:H,Final_UAE!B:B)</f>
        <v/>
      </c>
      <c r="H2997" s="8" t="e">
        <v>#N/A</v>
      </c>
      <c r="I2997" s="8" t="n"/>
    </row>
    <row r="2998">
      <c r="A2998" s="4" t="n">
        <v>33834</v>
      </c>
      <c r="B2998" s="4" t="inlineStr">
        <is>
          <t>clstdai-acu-mois-p30-sn0575</t>
        </is>
      </c>
      <c r="C2998" s="4" t="inlineStr">
        <is>
          <t>W00031886A</t>
        </is>
      </c>
      <c r="D2998" s="6">
        <f>IF(F2998&gt;=5, F2998-5, IF(F2998&lt;5, 0, F2998))</f>
        <v/>
      </c>
      <c r="E2998">
        <f>VLOOKUP(B2998,[1]Namshi!$A:$B,2,0)</f>
        <v/>
      </c>
      <c r="F2998" s="4">
        <f>SUMIFS('Dubai Stock'!I:I,'Dubai Stock'!H:H,Final_UAE!B:B)</f>
        <v/>
      </c>
      <c r="H2998" s="8" t="e">
        <v>#N/A</v>
      </c>
      <c r="I2998" s="8" t="n"/>
    </row>
    <row r="2999">
      <c r="A2999" s="4" t="n">
        <v>33834</v>
      </c>
      <c r="B2999" s="4" t="inlineStr">
        <is>
          <t>su40701-bla-000265-0701-59</t>
        </is>
      </c>
      <c r="C2999" s="4" t="inlineStr">
        <is>
          <t>W00031886A</t>
        </is>
      </c>
      <c r="D2999" s="6">
        <f>IF(F2999&gt;=5, F2999-5, IF(F2999&lt;5, 0, F2999))</f>
        <v/>
      </c>
      <c r="E2999">
        <f>VLOOKUP(B2999,[1]Namshi!$A:$B,2,0)</f>
        <v/>
      </c>
      <c r="F2999" s="4">
        <f>SUMIFS('Dubai Stock'!I:I,'Dubai Stock'!H:H,Final_UAE!B:B)</f>
        <v/>
      </c>
      <c r="H2999" s="8" t="e">
        <v>#N/A</v>
      </c>
    </row>
    <row r="3000">
      <c r="A3000" s="4" t="n">
        <v>33834</v>
      </c>
      <c r="B3000" s="4" t="inlineStr">
        <is>
          <t>clstbiw-acu-0002-p06-sn0300</t>
        </is>
      </c>
      <c r="C3000" s="4" t="inlineStr">
        <is>
          <t>W00031886A</t>
        </is>
      </c>
      <c r="D3000" s="6">
        <f>IF(F3000&gt;=5, F3000-5, IF(F3000&lt;5, 0, F3000))</f>
        <v/>
      </c>
      <c r="E3000">
        <f>VLOOKUP(B3000,[1]Namshi!$A:$B,2,0)</f>
        <v/>
      </c>
      <c r="F3000" s="4">
        <f>SUMIFS('Dubai Stock'!I:I,'Dubai Stock'!H:H,Final_UAE!B:B)</f>
        <v/>
      </c>
      <c r="H3000" s="8" t="e">
        <v>#N/A</v>
      </c>
      <c r="I3000" s="8" t="n"/>
    </row>
    <row r="3001">
      <c r="A3001" s="4" t="n">
        <v>33834</v>
      </c>
      <c r="B3001" s="4" t="inlineStr">
        <is>
          <t>costmon-ama-lens-p02-dark-sepia-sn0250</t>
        </is>
      </c>
      <c r="C3001" s="4" t="inlineStr">
        <is>
          <t>W00031886A</t>
        </is>
      </c>
      <c r="D3001" s="6">
        <f>IF(F3001&gt;=5, F3001-5, IF(F3001&lt;5, 0, F3001))</f>
        <v/>
      </c>
      <c r="E3001">
        <f>VLOOKUP(B3001,[1]Namshi!$A:$B,2,0)</f>
        <v/>
      </c>
      <c r="F3001" s="4">
        <f>SUMIFS('Dubai Stock'!I:I,'Dubai Stock'!H:H,Final_UAE!B:B)</f>
        <v/>
      </c>
      <c r="H3001" s="8" t="e">
        <v>#N/A</v>
      </c>
      <c r="I3001" s="8" t="n"/>
    </row>
    <row r="3002">
      <c r="A3002" s="4" t="n">
        <v>33834</v>
      </c>
      <c r="B3002" s="4" t="inlineStr">
        <is>
          <t>cost3mo-lay-2024-p02-moon-gray-sn0600</t>
        </is>
      </c>
      <c r="C3002" s="4" t="inlineStr">
        <is>
          <t>W00031886A</t>
        </is>
      </c>
      <c r="D3002" s="6">
        <f>IF(F3002&gt;=5, F3002-5, IF(F3002&lt;5, 0, F3002))</f>
        <v/>
      </c>
      <c r="E3002">
        <f>VLOOKUP(B3002,[1]Namshi!$A:$B,2,0)</f>
        <v/>
      </c>
      <c r="F3002" s="4">
        <f>SUMIFS('Dubai Stock'!I:I,'Dubai Stock'!H:H,Final_UAE!B:B)</f>
        <v/>
      </c>
      <c r="H3002" s="8" t="e">
        <v>#N/A</v>
      </c>
      <c r="I3002" s="8" t="n"/>
    </row>
    <row r="3003">
      <c r="A3003" s="4" t="n">
        <v>33834</v>
      </c>
      <c r="B3003" s="4" t="inlineStr">
        <is>
          <t>sw60909-bla-000264-0909-50</t>
        </is>
      </c>
      <c r="C3003" s="4" t="inlineStr">
        <is>
          <t>W00031886A</t>
        </is>
      </c>
      <c r="D3003" s="6">
        <f>IF(F3003&gt;=5, F3003-5, IF(F3003&lt;5, 0, F3003))</f>
        <v/>
      </c>
      <c r="E3003">
        <f>VLOOKUP(B3003,[1]Namshi!$A:$B,2,0)</f>
        <v/>
      </c>
      <c r="F3003" s="4">
        <f>SUMIFS('Dubai Stock'!I:I,'Dubai Stock'!H:H,Final_UAE!B:B)</f>
        <v/>
      </c>
      <c r="H3003" s="8" t="e">
        <v>#N/A</v>
      </c>
    </row>
    <row r="3004">
      <c r="A3004" s="4" t="n">
        <v>33834</v>
      </c>
      <c r="B3004" s="4" t="inlineStr">
        <is>
          <t>clstdai-acu-dfvi-p30-sn0075</t>
        </is>
      </c>
      <c r="C3004" s="4" t="inlineStr">
        <is>
          <t>W00031886A</t>
        </is>
      </c>
      <c r="D3004" s="6">
        <f>IF(F3004&gt;=5, F3004-5, IF(F3004&lt;5, 0, F3004))</f>
        <v/>
      </c>
      <c r="E3004">
        <f>VLOOKUP(B3004,[1]Namshi!$A:$B,2,0)</f>
        <v/>
      </c>
      <c r="F3004" s="4">
        <f>SUMIFS('Dubai Stock'!I:I,'Dubai Stock'!H:H,Final_UAE!B:B)</f>
        <v/>
      </c>
      <c r="H3004" s="8" t="e">
        <v>#N/A</v>
      </c>
      <c r="I3004" s="8" t="n"/>
    </row>
    <row r="3005">
      <c r="A3005" s="4" t="n">
        <v>33834</v>
      </c>
      <c r="B3005" s="4" t="inlineStr">
        <is>
          <t>cost3mo-lay-2022-p02-crescent-gray-sn0150</t>
        </is>
      </c>
      <c r="C3005" s="4" t="inlineStr">
        <is>
          <t>W00031886A</t>
        </is>
      </c>
      <c r="D3005" s="6">
        <f>IF(F3005&gt;=5, F3005-5, IF(F3005&lt;5, 0, F3005))</f>
        <v/>
      </c>
      <c r="E3005">
        <f>VLOOKUP(B3005,[1]Namshi!$A:$B,2,0)</f>
        <v/>
      </c>
      <c r="F3005" s="4">
        <f>SUMIFS('Dubai Stock'!I:I,'Dubai Stock'!H:H,Final_UAE!B:B)</f>
        <v/>
      </c>
      <c r="H3005" s="8" t="e">
        <v>#N/A</v>
      </c>
      <c r="I3005" s="8" t="n"/>
    </row>
    <row r="3006">
      <c r="A3006" s="4" t="n">
        <v>33834</v>
      </c>
      <c r="B3006" s="4" t="inlineStr">
        <is>
          <t>clstmon-ava-avai-p06-sn0150</t>
        </is>
      </c>
      <c r="C3006" s="4" t="inlineStr">
        <is>
          <t>W00031886A</t>
        </is>
      </c>
      <c r="D3006" s="6">
        <f>IF(F3006&gt;=5, F3006-5, IF(F3006&lt;5, 0, F3006))</f>
        <v/>
      </c>
      <c r="E3006">
        <f>VLOOKUP(B3006,[1]Namshi!$A:$B,2,0)</f>
        <v/>
      </c>
      <c r="F3006" s="4">
        <f>SUMIFS('Dubai Stock'!I:I,'Dubai Stock'!H:H,Final_UAE!B:B)</f>
        <v/>
      </c>
      <c r="H3006" s="8" t="e">
        <v>#N/A</v>
      </c>
      <c r="I3006" s="8" t="n"/>
    </row>
    <row r="3007">
      <c r="A3007" s="4" t="n">
        <v>33834</v>
      </c>
      <c r="B3007" s="4" t="inlineStr">
        <is>
          <t>clstdai-lay-cont-p30-dazzle-black-sn0100</t>
        </is>
      </c>
      <c r="C3007" s="4" t="inlineStr">
        <is>
          <t>W00031886A</t>
        </is>
      </c>
      <c r="D3007" s="6">
        <f>IF(F3007&gt;=5, F3007-5, IF(F3007&lt;5, 0, F3007))</f>
        <v/>
      </c>
      <c r="E3007">
        <f>VLOOKUP(B3007,[1]Namshi!$A:$B,2,0)</f>
        <v/>
      </c>
      <c r="F3007" s="4">
        <f>SUMIFS('Dubai Stock'!I:I,'Dubai Stock'!H:H,Final_UAE!B:B)</f>
        <v/>
      </c>
      <c r="H3007" s="8" t="e">
        <v>#N/A</v>
      </c>
      <c r="I3007" s="8" t="n"/>
    </row>
    <row r="3008">
      <c r="A3008" s="4" t="n">
        <v>33834</v>
      </c>
      <c r="B3008" s="4" t="inlineStr">
        <is>
          <t>costmon-ama-2020-p02-pure-hazel-sn0400</t>
        </is>
      </c>
      <c r="C3008" s="4" t="inlineStr">
        <is>
          <t>W00031886A</t>
        </is>
      </c>
      <c r="D3008" s="6">
        <f>IF(F3008&gt;=5, F3008-5, IF(F3008&lt;5, 0, F3008))</f>
        <v/>
      </c>
      <c r="E3008">
        <f>VLOOKUP(B3008,[1]Namshi!$A:$B,2,0)</f>
        <v/>
      </c>
      <c r="F3008" s="4">
        <f>SUMIFS('Dubai Stock'!I:I,'Dubai Stock'!H:H,Final_UAE!B:B)</f>
        <v/>
      </c>
      <c r="H3008" s="8" t="e">
        <v>#N/A</v>
      </c>
      <c r="I3008" s="8" t="n"/>
    </row>
    <row r="3009">
      <c r="A3009" s="4" t="n">
        <v>33834</v>
      </c>
      <c r="B3009" s="4" t="inlineStr">
        <is>
          <t>sw30107-30s-000227-0107-53</t>
        </is>
      </c>
      <c r="C3009" s="4" t="inlineStr">
        <is>
          <t>W00031886A</t>
        </is>
      </c>
      <c r="D3009" s="6">
        <f>IF(F3009&gt;=5, F3009-5, IF(F3009&lt;5, 0, F3009))</f>
        <v/>
      </c>
      <c r="E3009">
        <f>VLOOKUP(B3009,[1]Namshi!$A:$B,2,0)</f>
        <v/>
      </c>
      <c r="F3009" s="4">
        <f>SUMIFS('Dubai Stock'!I:I,'Dubai Stock'!H:H,Final_UAE!B:B)</f>
        <v/>
      </c>
      <c r="H3009" s="8" t="e">
        <v>#N/A</v>
      </c>
    </row>
    <row r="3010">
      <c r="A3010" s="4" t="n">
        <v>33834</v>
      </c>
      <c r="B3010" s="4" t="inlineStr">
        <is>
          <t>fw101218-spc-000300-1200-52</t>
        </is>
      </c>
      <c r="C3010" s="4" t="inlineStr">
        <is>
          <t>W00031886A</t>
        </is>
      </c>
      <c r="D3010" s="6">
        <f>IF(F3010&gt;=5, F3010-5, IF(F3010&lt;5, 0, F3010))</f>
        <v/>
      </c>
      <c r="E3010">
        <f>VLOOKUP(B3010,[1]Namshi!$A:$B,2,0)</f>
        <v/>
      </c>
      <c r="F3010" s="4">
        <f>SUMIFS('Dubai Stock'!I:I,'Dubai Stock'!H:H,Final_UAE!B:B)</f>
        <v/>
      </c>
      <c r="H3010" s="8" t="e">
        <v>#N/A</v>
      </c>
      <c r="I3010" s="8" t="n"/>
    </row>
    <row r="3011">
      <c r="A3011" s="4" t="n">
        <v>33834</v>
      </c>
      <c r="B3011" s="4" t="inlineStr">
        <is>
          <t>cost3mo-lay-2024-p02-terra-brown-sn0400</t>
        </is>
      </c>
      <c r="C3011" s="4" t="inlineStr">
        <is>
          <t>W00031886A</t>
        </is>
      </c>
      <c r="D3011" s="6">
        <f>IF(F3011&gt;=5, F3011-5, IF(F3011&lt;5, 0, F3011))</f>
        <v/>
      </c>
      <c r="E3011">
        <f>VLOOKUP(B3011,[1]Namshi!$A:$B,2,0)</f>
        <v/>
      </c>
      <c r="F3011" s="4">
        <f>SUMIFS('Dubai Stock'!I:I,'Dubai Stock'!H:H,Final_UAE!B:B)</f>
        <v/>
      </c>
      <c r="H3011" s="8" t="e">
        <v>#N/A</v>
      </c>
      <c r="I3011" s="8" t="n"/>
    </row>
    <row r="3012">
      <c r="A3012" s="4" t="n">
        <v>33834</v>
      </c>
      <c r="B3012" s="4" t="inlineStr">
        <is>
          <t>clstdai-eve-elit-p30-sn0425</t>
        </is>
      </c>
      <c r="C3012" s="4" t="inlineStr">
        <is>
          <t>W00031886A</t>
        </is>
      </c>
      <c r="D3012" s="6">
        <f>IF(F3012&gt;=5, F3012-5, IF(F3012&lt;5, 0, F3012))</f>
        <v/>
      </c>
      <c r="E3012">
        <f>VLOOKUP(B3012,[1]Namshi!$A:$B,2,0)</f>
        <v/>
      </c>
      <c r="F3012" s="4">
        <f>SUMIFS('Dubai Stock'!I:I,'Dubai Stock'!H:H,Final_UAE!B:B)</f>
        <v/>
      </c>
      <c r="H3012" s="8" t="n">
        <v>261</v>
      </c>
      <c r="I3012" s="8" t="n">
        <v>146.3</v>
      </c>
    </row>
    <row r="3013">
      <c r="A3013" s="4" t="n">
        <v>33834</v>
      </c>
      <c r="B3013" s="4" t="inlineStr">
        <is>
          <t>clstdai-acu-oasy-p120-sn0700</t>
        </is>
      </c>
      <c r="C3013" s="4" t="inlineStr">
        <is>
          <t>W00031886A</t>
        </is>
      </c>
      <c r="D3013" s="6">
        <f>IF(F3013&gt;=5, F3013-5, IF(F3013&lt;5, 0, F3013))</f>
        <v/>
      </c>
      <c r="E3013">
        <f>VLOOKUP(B3013,[1]Namshi!$A:$B,2,0)</f>
        <v/>
      </c>
      <c r="F3013" s="4">
        <f>SUMIFS('Dubai Stock'!I:I,'Dubai Stock'!H:H,Final_UAE!B:B)</f>
        <v/>
      </c>
      <c r="H3013" s="8" t="e">
        <v>#N/A</v>
      </c>
      <c r="I3013" s="8" t="n"/>
    </row>
    <row r="3014">
      <c r="A3014" s="4" t="n">
        <v>33834</v>
      </c>
      <c r="B3014" s="4" t="inlineStr">
        <is>
          <t>clstdai-lay-cont-p10-dazzle-black-sn0750</t>
        </is>
      </c>
      <c r="C3014" s="4" t="inlineStr">
        <is>
          <t>W00031886A</t>
        </is>
      </c>
      <c r="D3014" s="6">
        <f>IF(F3014&gt;=5, F3014-5, IF(F3014&lt;5, 0, F3014))</f>
        <v/>
      </c>
      <c r="E3014">
        <f>VLOOKUP(B3014,[1]Namshi!$A:$B,2,0)</f>
        <v/>
      </c>
      <c r="F3014" s="4">
        <f>SUMIFS('Dubai Stock'!I:I,'Dubai Stock'!H:H,Final_UAE!B:B)</f>
        <v/>
      </c>
      <c r="H3014" s="8" t="e">
        <v>#N/A</v>
      </c>
      <c r="I3014" s="8" t="n"/>
    </row>
    <row r="3015">
      <c r="A3015" s="4" t="n">
        <v>33834</v>
      </c>
      <c r="B3015" s="4" t="inlineStr">
        <is>
          <t>sw40506-bla-000275-2906-54</t>
        </is>
      </c>
      <c r="C3015" s="4" t="inlineStr">
        <is>
          <t>W00031886A</t>
        </is>
      </c>
      <c r="D3015" s="6">
        <f>IF(F3015&gt;=5, F3015-5, IF(F3015&lt;5, 0, F3015))</f>
        <v/>
      </c>
      <c r="E3015">
        <f>VLOOKUP(B3015,[1]Namshi!$A:$B,2,0)</f>
        <v/>
      </c>
      <c r="F3015" s="4">
        <f>SUMIFS('Dubai Stock'!I:I,'Dubai Stock'!H:H,Final_UAE!B:B)</f>
        <v/>
      </c>
      <c r="H3015" s="8" t="e">
        <v>#N/A</v>
      </c>
    </row>
    <row r="3016">
      <c r="A3016" s="4" t="n">
        <v>33834</v>
      </c>
      <c r="B3016" s="4" t="inlineStr">
        <is>
          <t>fw72918-spc-000507-2900-53</t>
        </is>
      </c>
      <c r="C3016" s="4" t="inlineStr">
        <is>
          <t>W00031886A</t>
        </is>
      </c>
      <c r="D3016" s="6">
        <f>IF(F3016&gt;=5, F3016-5, IF(F3016&lt;5, 0, F3016))</f>
        <v/>
      </c>
      <c r="E3016">
        <f>VLOOKUP(B3016,[1]Namshi!$A:$B,2,0)</f>
        <v/>
      </c>
      <c r="F3016" s="4">
        <f>SUMIFS('Dubai Stock'!I:I,'Dubai Stock'!H:H,Final_UAE!B:B)</f>
        <v/>
      </c>
      <c r="H3016" s="8" t="e">
        <v>#N/A</v>
      </c>
      <c r="I3016" s="8" t="n"/>
    </row>
    <row r="3017">
      <c r="A3017" s="4" t="n">
        <v>33834</v>
      </c>
      <c r="B3017" s="4" t="inlineStr">
        <is>
          <t>costmon-ama-2022-p02-dream-sn0325</t>
        </is>
      </c>
      <c r="C3017" s="4" t="inlineStr">
        <is>
          <t>W00031886A</t>
        </is>
      </c>
      <c r="D3017" s="6">
        <f>IF(F3017&gt;=5, F3017-5, IF(F3017&lt;5, 0, F3017))</f>
        <v/>
      </c>
      <c r="E3017">
        <f>VLOOKUP(B3017,[1]Namshi!$A:$B,2,0)</f>
        <v/>
      </c>
      <c r="F3017" s="4">
        <f>SUMIFS('Dubai Stock'!I:I,'Dubai Stock'!H:H,Final_UAE!B:B)</f>
        <v/>
      </c>
      <c r="H3017" s="8" t="e">
        <v>#N/A</v>
      </c>
      <c r="I3017" s="8" t="n"/>
    </row>
    <row r="3018">
      <c r="A3018" s="4" t="n">
        <v>33834</v>
      </c>
      <c r="B3018" s="4" t="inlineStr">
        <is>
          <t>sw32304-30s-000243-2304-57</t>
        </is>
      </c>
      <c r="C3018" s="4" t="inlineStr">
        <is>
          <t>W00031886A</t>
        </is>
      </c>
      <c r="D3018" s="6">
        <f>IF(F3018&gt;=5, F3018-5, IF(F3018&lt;5, 0, F3018))</f>
        <v/>
      </c>
      <c r="E3018">
        <f>VLOOKUP(B3018,[1]Namshi!$A:$B,2,0)</f>
        <v/>
      </c>
      <c r="F3018" s="4">
        <f>SUMIFS('Dubai Stock'!I:I,'Dubai Stock'!H:H,Final_UAE!B:B)</f>
        <v/>
      </c>
      <c r="H3018" s="8" t="e">
        <v>#N/A</v>
      </c>
    </row>
    <row r="3019">
      <c r="A3019" s="4" t="n">
        <v>33834</v>
      </c>
      <c r="B3019" s="4" t="inlineStr">
        <is>
          <t>cost3mo-lay-2025-p02-desert-topaz-sn0500</t>
        </is>
      </c>
      <c r="C3019" s="4" t="inlineStr">
        <is>
          <t>W00031886A</t>
        </is>
      </c>
      <c r="D3019" s="6">
        <f>IF(F3019&gt;=5, F3019-5, IF(F3019&lt;5, 0, F3019))</f>
        <v/>
      </c>
      <c r="E3019">
        <f>VLOOKUP(B3019,[1]Namshi!$A:$B,2,0)</f>
        <v/>
      </c>
      <c r="F3019" s="4">
        <f>SUMIFS('Dubai Stock'!I:I,'Dubai Stock'!H:H,Final_UAE!B:B)</f>
        <v/>
      </c>
      <c r="H3019" s="8" t="e">
        <v>#N/A</v>
      </c>
      <c r="I3019" s="8" t="n"/>
    </row>
    <row r="3020">
      <c r="A3020" s="4" t="n">
        <v>33834</v>
      </c>
      <c r="B3020" s="4" t="inlineStr">
        <is>
          <t>sm43207-30s-000502-3207p-53</t>
        </is>
      </c>
      <c r="C3020" s="4" t="inlineStr">
        <is>
          <t>W00031886A</t>
        </is>
      </c>
      <c r="D3020" s="6">
        <f>IF(F3020&gt;=5, F3020-5, IF(F3020&lt;5, 0, F3020))</f>
        <v/>
      </c>
      <c r="E3020">
        <f>VLOOKUP(B3020,[1]Namshi!$A:$B,2,0)</f>
        <v/>
      </c>
      <c r="F3020" s="4">
        <f>SUMIFS('Dubai Stock'!I:I,'Dubai Stock'!H:H,Final_UAE!B:B)</f>
        <v/>
      </c>
      <c r="H3020" s="8" t="e">
        <v>#N/A</v>
      </c>
      <c r="I3020" s="8" t="n"/>
    </row>
    <row r="3021">
      <c r="A3021" s="4" t="n">
        <v>33834</v>
      </c>
      <c r="B3021" s="4" t="inlineStr">
        <is>
          <t>cost3mo-lay-2022-p02-royal-green-sn0250</t>
        </is>
      </c>
      <c r="C3021" s="4" t="inlineStr">
        <is>
          <t>W00031886A</t>
        </is>
      </c>
      <c r="D3021" s="6">
        <f>IF(F3021&gt;=5, F3021-5, IF(F3021&lt;5, 0, F3021))</f>
        <v/>
      </c>
      <c r="E3021">
        <f>VLOOKUP(B3021,[1]Namshi!$A:$B,2,0)</f>
        <v/>
      </c>
      <c r="F3021" s="4">
        <f>SUMIFS('Dubai Stock'!I:I,'Dubai Stock'!H:H,Final_UAE!B:B)</f>
        <v/>
      </c>
      <c r="H3021" s="8" t="e">
        <v>#N/A</v>
      </c>
      <c r="I3021" s="8" t="n"/>
    </row>
    <row r="3022">
      <c r="A3022" s="4" t="n">
        <v>33834</v>
      </c>
      <c r="B3022" s="4" t="inlineStr">
        <is>
          <t>sm100107-30s-000444-0107-53</t>
        </is>
      </c>
      <c r="C3022" s="4" t="inlineStr">
        <is>
          <t>W00031886A</t>
        </is>
      </c>
      <c r="D3022" s="6">
        <f>IF(F3022&gt;=5, F3022-5, IF(F3022&lt;5, 0, F3022))</f>
        <v/>
      </c>
      <c r="E3022">
        <f>VLOOKUP(B3022,[1]Namshi!$A:$B,2,0)</f>
        <v/>
      </c>
      <c r="F3022" s="4">
        <f>SUMIFS('Dubai Stock'!I:I,'Dubai Stock'!H:H,Final_UAE!B:B)</f>
        <v/>
      </c>
      <c r="H3022" s="8" t="e">
        <v>#N/A</v>
      </c>
    </row>
    <row r="3023">
      <c r="A3023" s="4" t="n">
        <v>33834</v>
      </c>
      <c r="B3023" s="4" t="inlineStr">
        <is>
          <t>su50606-30s-000442-0606-50</t>
        </is>
      </c>
      <c r="C3023" s="4" t="inlineStr">
        <is>
          <t>W00031886A</t>
        </is>
      </c>
      <c r="D3023" s="6">
        <f>IF(F3023&gt;=5, F3023-5, IF(F3023&lt;5, 0, F3023))</f>
        <v/>
      </c>
      <c r="E3023">
        <f>VLOOKUP(B3023,[1]Namshi!$A:$B,2,0)</f>
        <v/>
      </c>
      <c r="F3023" s="4">
        <f>SUMIFS('Dubai Stock'!I:I,'Dubai Stock'!H:H,Final_UAE!B:B)</f>
        <v/>
      </c>
      <c r="H3023" s="8" t="e">
        <v>#N/A</v>
      </c>
    </row>
    <row r="3024">
      <c r="A3024" s="4" t="n">
        <v>33834</v>
      </c>
      <c r="B3024" s="4" t="inlineStr">
        <is>
          <t>sc70107-bab-000513-0107-46</t>
        </is>
      </c>
      <c r="C3024" s="4" t="inlineStr">
        <is>
          <t>W00031886A</t>
        </is>
      </c>
      <c r="D3024" s="6">
        <f>IF(F3024&gt;=5, F3024-5, IF(F3024&lt;5, 0, F3024))</f>
        <v/>
      </c>
      <c r="E3024">
        <f>VLOOKUP(B3024,[1]Namshi!$A:$B,2,0)</f>
        <v/>
      </c>
      <c r="F3024" s="4">
        <f>SUMIFS('Dubai Stock'!I:I,'Dubai Stock'!H:H,Final_UAE!B:B)</f>
        <v/>
      </c>
      <c r="H3024" s="8" t="e">
        <v>#N/A</v>
      </c>
    </row>
    <row r="3025">
      <c r="A3025" s="4" t="n">
        <v>33834</v>
      </c>
      <c r="B3025" s="4" t="inlineStr">
        <is>
          <t>clstdai-dai-tot1-p30-sn0325</t>
        </is>
      </c>
      <c r="C3025" s="4" t="inlineStr">
        <is>
          <t>W00031886A</t>
        </is>
      </c>
      <c r="D3025" s="6">
        <f>IF(F3025&gt;=5, F3025-5, IF(F3025&lt;5, 0, F3025))</f>
        <v/>
      </c>
      <c r="E3025">
        <f>VLOOKUP(B3025,[1]Namshi!$A:$B,2,0)</f>
        <v/>
      </c>
      <c r="F3025" s="4">
        <f>SUMIFS('Dubai Stock'!I:I,'Dubai Stock'!H:H,Final_UAE!B:B)</f>
        <v/>
      </c>
      <c r="H3025" s="8" t="e">
        <v>#N/A</v>
      </c>
      <c r="I3025" s="8" t="n"/>
    </row>
    <row r="3026">
      <c r="A3026" s="4" t="n">
        <v>33834</v>
      </c>
      <c r="B3026" s="4" t="inlineStr">
        <is>
          <t>clstdai-eve-pure-p30-sn0150</t>
        </is>
      </c>
      <c r="C3026" s="4" t="inlineStr">
        <is>
          <t>W00031886A</t>
        </is>
      </c>
      <c r="D3026" s="6">
        <f>IF(F3026&gt;=5, F3026-5, IF(F3026&lt;5, 0, F3026))</f>
        <v/>
      </c>
      <c r="E3026">
        <f>VLOOKUP(B3026,[1]Namshi!$A:$B,2,0)</f>
        <v/>
      </c>
      <c r="F3026" s="4">
        <f>SUMIFS('Dubai Stock'!I:I,'Dubai Stock'!H:H,Final_UAE!B:B)</f>
        <v/>
      </c>
      <c r="H3026" s="8" t="n">
        <v>186</v>
      </c>
      <c r="I3026" s="8" t="n">
        <v>104.3</v>
      </c>
    </row>
    <row r="3027">
      <c r="A3027" s="4" t="n">
        <v>33834</v>
      </c>
      <c r="B3027" s="4" t="inlineStr">
        <is>
          <t>cost3mo-lay-lens-p02-chocolate-brown-sn0500</t>
        </is>
      </c>
      <c r="C3027" s="4" t="inlineStr">
        <is>
          <t>W00031886A</t>
        </is>
      </c>
      <c r="D3027" s="6">
        <f>IF(F3027&gt;=5, F3027-5, IF(F3027&lt;5, 0, F3027))</f>
        <v/>
      </c>
      <c r="E3027">
        <f>VLOOKUP(B3027,[1]Namshi!$A:$B,2,0)</f>
        <v/>
      </c>
      <c r="F3027" s="4">
        <f>SUMIFS('Dubai Stock'!I:I,'Dubai Stock'!H:H,Final_UAE!B:B)</f>
        <v/>
      </c>
      <c r="H3027" s="8" t="e">
        <v>#N/A</v>
      </c>
      <c r="I3027" s="8" t="n"/>
    </row>
    <row r="3028">
      <c r="A3028" s="4" t="n">
        <v>33834</v>
      </c>
      <c r="B3028" s="4" t="inlineStr">
        <is>
          <t>sw63202-30s-000492-3202-53</t>
        </is>
      </c>
      <c r="C3028" s="4" t="inlineStr">
        <is>
          <t>W00031886A</t>
        </is>
      </c>
      <c r="D3028" s="6">
        <f>IF(F3028&gt;=5, F3028-5, IF(F3028&lt;5, 0, F3028))</f>
        <v/>
      </c>
      <c r="E3028">
        <f>VLOOKUP(B3028,[1]Namshi!$A:$B,2,0)</f>
        <v/>
      </c>
      <c r="F3028" s="4">
        <f>SUMIFS('Dubai Stock'!I:I,'Dubai Stock'!H:H,Final_UAE!B:B)</f>
        <v/>
      </c>
      <c r="H3028" s="8" t="e">
        <v>#N/A</v>
      </c>
      <c r="I3028" s="8" t="n"/>
    </row>
    <row r="3029">
      <c r="A3029" s="4" t="n">
        <v>33834</v>
      </c>
      <c r="B3029" s="4" t="inlineStr">
        <is>
          <t>clstmon-sof-sl59-p06-sn0300</t>
        </is>
      </c>
      <c r="C3029" s="4" t="inlineStr">
        <is>
          <t>W00031886A</t>
        </is>
      </c>
      <c r="D3029" s="6">
        <f>IF(F3029&gt;=5, F3029-5, IF(F3029&lt;5, 0, F3029))</f>
        <v/>
      </c>
      <c r="E3029">
        <f>VLOOKUP(B3029,[1]Namshi!$A:$B,2,0)</f>
        <v/>
      </c>
      <c r="F3029" s="4">
        <f>SUMIFS('Dubai Stock'!I:I,'Dubai Stock'!H:H,Final_UAE!B:B)</f>
        <v/>
      </c>
      <c r="H3029" s="8" t="e">
        <v>#N/A</v>
      </c>
      <c r="I3029" s="8" t="n"/>
    </row>
    <row r="3030">
      <c r="A3030" s="4" t="n">
        <v>33834</v>
      </c>
      <c r="B3030" s="4" t="inlineStr">
        <is>
          <t>clstdai-eve-elit-p90-sn0375</t>
        </is>
      </c>
      <c r="C3030" s="4" t="inlineStr">
        <is>
          <t>W00031886A</t>
        </is>
      </c>
      <c r="D3030" s="6">
        <f>IF(F3030&gt;=5, F3030-5, IF(F3030&lt;5, 0, F3030))</f>
        <v/>
      </c>
      <c r="E3030">
        <f>VLOOKUP(B3030,[1]Namshi!$A:$B,2,0)</f>
        <v/>
      </c>
      <c r="F3030" s="4">
        <f>SUMIFS('Dubai Stock'!I:I,'Dubai Stock'!H:H,Final_UAE!B:B)</f>
        <v/>
      </c>
      <c r="H3030" s="8" t="n">
        <v>729</v>
      </c>
      <c r="I3030" s="8" t="n">
        <v>357</v>
      </c>
    </row>
    <row r="3031">
      <c r="A3031" s="4" t="n">
        <v>33834</v>
      </c>
      <c r="B3031" s="4" t="inlineStr">
        <is>
          <t>sw50707-30s-00406-0707p-56</t>
        </is>
      </c>
      <c r="C3031" s="4" t="inlineStr">
        <is>
          <t>W00031886A</t>
        </is>
      </c>
      <c r="D3031" s="6">
        <f>IF(F3031&gt;=5, F3031-5, IF(F3031&lt;5, 0, F3031))</f>
        <v/>
      </c>
      <c r="E3031">
        <f>VLOOKUP(B3031,[1]Namshi!$A:$B,2,0)</f>
        <v/>
      </c>
      <c r="F3031" s="4">
        <f>SUMIFS('Dubai Stock'!I:I,'Dubai Stock'!H:H,Final_UAE!B:B)</f>
        <v/>
      </c>
      <c r="H3031" s="8" t="e">
        <v>#N/A</v>
      </c>
    </row>
    <row r="3032">
      <c r="A3032" s="4" t="n">
        <v>33834</v>
      </c>
      <c r="B3032" s="4" t="inlineStr">
        <is>
          <t>costdai-acu-dffr-p10-hazel-sn0475</t>
        </is>
      </c>
      <c r="C3032" s="4" t="inlineStr">
        <is>
          <t>W00031886A</t>
        </is>
      </c>
      <c r="D3032" s="6">
        <f>IF(F3032&gt;=5, F3032-5, IF(F3032&lt;5, 0, F3032))</f>
        <v/>
      </c>
      <c r="E3032">
        <f>VLOOKUP(B3032,[1]Namshi!$A:$B,2,0)</f>
        <v/>
      </c>
      <c r="F3032" s="4">
        <f>SUMIFS('Dubai Stock'!I:I,'Dubai Stock'!H:H,Final_UAE!B:B)</f>
        <v/>
      </c>
      <c r="H3032" s="8" t="e">
        <v>#N/A</v>
      </c>
      <c r="I3032" s="8" t="n"/>
    </row>
    <row r="3033">
      <c r="A3033" s="4" t="n">
        <v>33834</v>
      </c>
      <c r="B3033" s="4" t="inlineStr">
        <is>
          <t>clstdai-btr-oned-p90-sn0600</t>
        </is>
      </c>
      <c r="C3033" s="4" t="inlineStr">
        <is>
          <t>W00031886A</t>
        </is>
      </c>
      <c r="D3033" s="6">
        <f>IF(F3033&gt;=5, F3033-5, IF(F3033&lt;5, 0, F3033))</f>
        <v/>
      </c>
      <c r="E3033">
        <f>VLOOKUP(B3033,[1]Namshi!$A:$B,2,0)</f>
        <v/>
      </c>
      <c r="F3033" s="4">
        <f>SUMIFS('Dubai Stock'!I:I,'Dubai Stock'!H:H,Final_UAE!B:B)</f>
        <v/>
      </c>
      <c r="H3033" s="8" t="e">
        <v>#N/A</v>
      </c>
      <c r="I3033" s="8" t="n"/>
    </row>
    <row r="3034">
      <c r="A3034" s="4" t="n">
        <v>33834</v>
      </c>
      <c r="B3034" s="4" t="inlineStr">
        <is>
          <t>costmon-ama-2022-p02-tan-sp0000</t>
        </is>
      </c>
      <c r="C3034" s="4" t="inlineStr">
        <is>
          <t>W00031886A</t>
        </is>
      </c>
      <c r="D3034" s="6">
        <f>IF(F3034&gt;=5, F3034-5, IF(F3034&lt;5, 0, F3034))</f>
        <v/>
      </c>
      <c r="E3034">
        <f>VLOOKUP(B3034,[1]Namshi!$A:$B,2,0)</f>
        <v/>
      </c>
      <c r="F3034" s="4">
        <f>SUMIFS('Dubai Stock'!I:I,'Dubai Stock'!H:H,Final_UAE!B:B)</f>
        <v/>
      </c>
      <c r="H3034" s="8" t="e">
        <v>#N/A</v>
      </c>
      <c r="I3034" s="8" t="n"/>
    </row>
    <row r="3035">
      <c r="A3035" s="4" t="n">
        <v>33834</v>
      </c>
      <c r="B3035" s="4" t="inlineStr">
        <is>
          <t>su70107-bla-000258-0107-60</t>
        </is>
      </c>
      <c r="C3035" s="4" t="inlineStr">
        <is>
          <t>W00031886A</t>
        </is>
      </c>
      <c r="D3035" s="6">
        <f>IF(F3035&gt;=5, F3035-5, IF(F3035&lt;5, 0, F3035))</f>
        <v/>
      </c>
      <c r="E3035">
        <f>VLOOKUP(B3035,[1]Namshi!$A:$B,2,0)</f>
        <v/>
      </c>
      <c r="F3035" s="4">
        <f>SUMIFS('Dubai Stock'!I:I,'Dubai Stock'!H:H,Final_UAE!B:B)</f>
        <v/>
      </c>
      <c r="H3035" s="8" t="e">
        <v>#N/A</v>
      </c>
    </row>
    <row r="3036">
      <c r="A3036" s="4" t="n">
        <v>33834</v>
      </c>
      <c r="B3036" s="4" t="inlineStr">
        <is>
          <t>cost3mo-lay-2022-p02-sweet-hazel-sn0550</t>
        </is>
      </c>
      <c r="C3036" s="4" t="inlineStr">
        <is>
          <t>W00031886A</t>
        </is>
      </c>
      <c r="D3036" s="6">
        <f>IF(F3036&gt;=5, F3036-5, IF(F3036&lt;5, 0, F3036))</f>
        <v/>
      </c>
      <c r="E3036">
        <f>VLOOKUP(B3036,[1]Namshi!$A:$B,2,0)</f>
        <v/>
      </c>
      <c r="F3036" s="4">
        <f>SUMIFS('Dubai Stock'!I:I,'Dubai Stock'!H:H,Final_UAE!B:B)</f>
        <v/>
      </c>
      <c r="H3036" s="8" t="e">
        <v>#N/A</v>
      </c>
      <c r="I3036" s="8" t="n"/>
    </row>
    <row r="3037">
      <c r="A3037" s="4" t="n">
        <v>33834</v>
      </c>
      <c r="B3037" s="4" t="inlineStr">
        <is>
          <t>costdai-acu-dffr-p10-hazel-sn0600</t>
        </is>
      </c>
      <c r="C3037" s="4" t="inlineStr">
        <is>
          <t>W00031886A</t>
        </is>
      </c>
      <c r="D3037" s="6">
        <f>IF(F3037&gt;=5, F3037-5, IF(F3037&lt;5, 0, F3037))</f>
        <v/>
      </c>
      <c r="E3037">
        <f>VLOOKUP(B3037,[1]Namshi!$A:$B,2,0)</f>
        <v/>
      </c>
      <c r="F3037" s="4">
        <f>SUMIFS('Dubai Stock'!I:I,'Dubai Stock'!H:H,Final_UAE!B:B)</f>
        <v/>
      </c>
      <c r="H3037" s="8" t="e">
        <v>#N/A</v>
      </c>
      <c r="I3037" s="8" t="n"/>
    </row>
    <row r="3038">
      <c r="A3038" s="4" t="n">
        <v>33834</v>
      </c>
      <c r="B3038" s="4" t="inlineStr">
        <is>
          <t>clstdai-acu-dfvi-p60-sn0200</t>
        </is>
      </c>
      <c r="C3038" s="4" t="inlineStr">
        <is>
          <t>W00031886A</t>
        </is>
      </c>
      <c r="D3038" s="6">
        <f>IF(F3038&gt;=5, F3038-5, IF(F3038&lt;5, 0, F3038))</f>
        <v/>
      </c>
      <c r="E3038">
        <f>VLOOKUP(B3038,[1]Namshi!$A:$B,2,0)</f>
        <v/>
      </c>
      <c r="F3038" s="4">
        <f>SUMIFS('Dubai Stock'!I:I,'Dubai Stock'!H:H,Final_UAE!B:B)</f>
        <v/>
      </c>
      <c r="H3038" s="8" t="e">
        <v>#N/A</v>
      </c>
      <c r="I3038" s="8" t="n"/>
    </row>
    <row r="3039">
      <c r="A3039" s="4" t="n">
        <v>33834</v>
      </c>
      <c r="B3039" s="4" t="inlineStr">
        <is>
          <t>cost3mo-lay-2022-p02-sweet-hazel-sn0400</t>
        </is>
      </c>
      <c r="C3039" s="4" t="inlineStr">
        <is>
          <t>W00031886A</t>
        </is>
      </c>
      <c r="D3039" s="6">
        <f>IF(F3039&gt;=5, F3039-5, IF(F3039&lt;5, 0, F3039))</f>
        <v/>
      </c>
      <c r="E3039">
        <f>VLOOKUP(B3039,[1]Namshi!$A:$B,2,0)</f>
        <v/>
      </c>
      <c r="F3039" s="4">
        <f>SUMIFS('Dubai Stock'!I:I,'Dubai Stock'!H:H,Final_UAE!B:B)</f>
        <v/>
      </c>
      <c r="H3039" s="8" t="e">
        <v>#N/A</v>
      </c>
      <c r="I3039" s="8" t="n"/>
    </row>
    <row r="3040">
      <c r="A3040" s="4" t="n">
        <v>33834</v>
      </c>
      <c r="B3040" s="4" t="inlineStr">
        <is>
          <t>su12904-bla-000213-2904-61</t>
        </is>
      </c>
      <c r="C3040" s="4" t="inlineStr">
        <is>
          <t>W00031886A</t>
        </is>
      </c>
      <c r="D3040" s="6">
        <f>IF(F3040&gt;=5, F3040-5, IF(F3040&lt;5, 0, F3040))</f>
        <v/>
      </c>
      <c r="E3040">
        <f>VLOOKUP(B3040,[1]Namshi!$A:$B,2,0)</f>
        <v/>
      </c>
      <c r="F3040" s="4">
        <f>SUMIFS('Dubai Stock'!I:I,'Dubai Stock'!H:H,Final_UAE!B:B)</f>
        <v/>
      </c>
      <c r="H3040" s="8" t="e">
        <v>#N/A</v>
      </c>
    </row>
    <row r="3041">
      <c r="A3041" s="4" t="n">
        <v>33834</v>
      </c>
      <c r="B3041" s="4" t="inlineStr">
        <is>
          <t>clstdai-btr-oned-p30-sn0275</t>
        </is>
      </c>
      <c r="C3041" s="4" t="inlineStr">
        <is>
          <t>W00031886A</t>
        </is>
      </c>
      <c r="D3041" s="6">
        <f>IF(F3041&gt;=5, F3041-5, IF(F3041&lt;5, 0, F3041))</f>
        <v/>
      </c>
      <c r="E3041">
        <f>VLOOKUP(B3041,[1]Namshi!$A:$B,2,0)</f>
        <v/>
      </c>
      <c r="F3041" s="4">
        <f>SUMIFS('Dubai Stock'!I:I,'Dubai Stock'!H:H,Final_UAE!B:B)</f>
        <v/>
      </c>
      <c r="H3041" s="8" t="e">
        <v>#N/A</v>
      </c>
      <c r="I3041" s="8" t="n"/>
    </row>
    <row r="3042">
      <c r="A3042" s="4" t="n">
        <v>33834</v>
      </c>
      <c r="B3042" s="4" t="inlineStr">
        <is>
          <t>cost3mo-lay-2021-p02-stardust-gray-sn0225</t>
        </is>
      </c>
      <c r="C3042" s="4" t="inlineStr">
        <is>
          <t>W00031886A</t>
        </is>
      </c>
      <c r="D3042" s="6">
        <f>IF(F3042&gt;=5, F3042-5, IF(F3042&lt;5, 0, F3042))</f>
        <v/>
      </c>
      <c r="E3042">
        <f>VLOOKUP(B3042,[1]Namshi!$A:$B,2,0)</f>
        <v/>
      </c>
      <c r="F3042" s="4">
        <f>SUMIFS('Dubai Stock'!I:I,'Dubai Stock'!H:H,Final_UAE!B:B)</f>
        <v/>
      </c>
      <c r="H3042" s="8" t="e">
        <v>#N/A</v>
      </c>
      <c r="I3042" s="8" t="n"/>
    </row>
    <row r="3043">
      <c r="A3043" s="4" t="n">
        <v>33834</v>
      </c>
      <c r="B3043" s="4" t="inlineStr">
        <is>
          <t>cost3mo-cel-natu-p01-real-shade-sp0300</t>
        </is>
      </c>
      <c r="C3043" s="4" t="inlineStr">
        <is>
          <t>W00031886A</t>
        </is>
      </c>
      <c r="D3043" s="6">
        <f>IF(F3043&gt;=5, F3043-5, IF(F3043&lt;5, 0, F3043))</f>
        <v/>
      </c>
      <c r="E3043">
        <f>VLOOKUP(B3043,[1]Namshi!$A:$B,2,0)</f>
        <v/>
      </c>
      <c r="F3043" s="4">
        <f>SUMIFS('Dubai Stock'!I:I,'Dubai Stock'!H:H,Final_UAE!B:B)</f>
        <v/>
      </c>
      <c r="H3043" s="8" t="e">
        <v>#N/A</v>
      </c>
      <c r="I3043" s="8" t="n"/>
    </row>
    <row r="3044">
      <c r="A3044" s="4" t="n">
        <v>33834</v>
      </c>
      <c r="B3044" s="4" t="inlineStr">
        <is>
          <t>su20406-30s-000213-0406-50</t>
        </is>
      </c>
      <c r="C3044" s="4" t="inlineStr">
        <is>
          <t>W00031886A</t>
        </is>
      </c>
      <c r="D3044" s="6">
        <f>IF(F3044&gt;=5, F3044-5, IF(F3044&lt;5, 0, F3044))</f>
        <v/>
      </c>
      <c r="E3044">
        <f>VLOOKUP(B3044,[1]Namshi!$A:$B,2,0)</f>
        <v/>
      </c>
      <c r="F3044" s="4">
        <f>SUMIFS('Dubai Stock'!I:I,'Dubai Stock'!H:H,Final_UAE!B:B)</f>
        <v/>
      </c>
      <c r="H3044" s="8" t="e">
        <v>#N/A</v>
      </c>
    </row>
    <row r="3045">
      <c r="A3045" s="4" t="n">
        <v>33834</v>
      </c>
      <c r="B3045" s="4" t="inlineStr">
        <is>
          <t>clstdai-acu-mois-p60-sn0425</t>
        </is>
      </c>
      <c r="C3045" s="4" t="inlineStr">
        <is>
          <t>W00031886A</t>
        </is>
      </c>
      <c r="D3045" s="6">
        <f>IF(F3045&gt;=5, F3045-5, IF(F3045&lt;5, 0, F3045))</f>
        <v/>
      </c>
      <c r="E3045">
        <f>VLOOKUP(B3045,[1]Namshi!$A:$B,2,0)</f>
        <v/>
      </c>
      <c r="F3045" s="4">
        <f>SUMIFS('Dubai Stock'!I:I,'Dubai Stock'!H:H,Final_UAE!B:B)</f>
        <v/>
      </c>
      <c r="H3045" s="8" t="e">
        <v>#N/A</v>
      </c>
      <c r="I3045" s="8" t="n"/>
    </row>
    <row r="3046">
      <c r="A3046" s="4" t="n">
        <v>33834</v>
      </c>
      <c r="B3046" s="4" t="inlineStr">
        <is>
          <t>cost3mo-lay-2022-p02-crescent-gray-sn0350</t>
        </is>
      </c>
      <c r="C3046" s="4" t="inlineStr">
        <is>
          <t>W00031886A</t>
        </is>
      </c>
      <c r="D3046" s="6">
        <f>IF(F3046&gt;=5, F3046-5, IF(F3046&lt;5, 0, F3046))</f>
        <v/>
      </c>
      <c r="E3046">
        <f>VLOOKUP(B3046,[1]Namshi!$A:$B,2,0)</f>
        <v/>
      </c>
      <c r="F3046" s="4">
        <f>SUMIFS('Dubai Stock'!I:I,'Dubai Stock'!H:H,Final_UAE!B:B)</f>
        <v/>
      </c>
      <c r="H3046" s="8" t="e">
        <v>#N/A</v>
      </c>
      <c r="I3046" s="8" t="n"/>
    </row>
    <row r="3047">
      <c r="A3047" s="4" t="n">
        <v>33834</v>
      </c>
      <c r="B3047" s="4" t="inlineStr">
        <is>
          <t>sm50107-30s-000452-0107-48</t>
        </is>
      </c>
      <c r="C3047" s="4" t="inlineStr">
        <is>
          <t>W00031886A</t>
        </is>
      </c>
      <c r="D3047" s="6">
        <f>IF(F3047&gt;=5, F3047-5, IF(F3047&lt;5, 0, F3047))</f>
        <v/>
      </c>
      <c r="E3047">
        <f>VLOOKUP(B3047,[1]Namshi!$A:$B,2,0)</f>
        <v/>
      </c>
      <c r="F3047" s="4">
        <f>SUMIFS('Dubai Stock'!I:I,'Dubai Stock'!H:H,Final_UAE!B:B)</f>
        <v/>
      </c>
      <c r="H3047" s="8" t="e">
        <v>#N/A</v>
      </c>
    </row>
    <row r="3048">
      <c r="A3048" s="4" t="n">
        <v>33834</v>
      </c>
      <c r="B3048" s="4" t="inlineStr">
        <is>
          <t>clstbiw-acu-oasy-p18-sn0375</t>
        </is>
      </c>
      <c r="C3048" s="4" t="inlineStr">
        <is>
          <t>W00031886A</t>
        </is>
      </c>
      <c r="D3048" s="6">
        <f>IF(F3048&gt;=5, F3048-5, IF(F3048&lt;5, 0, F3048))</f>
        <v/>
      </c>
      <c r="E3048">
        <f>VLOOKUP(B3048,[1]Namshi!$A:$B,2,0)</f>
        <v/>
      </c>
      <c r="F3048" s="4">
        <f>SUMIFS('Dubai Stock'!I:I,'Dubai Stock'!H:H,Final_UAE!B:B)</f>
        <v/>
      </c>
      <c r="H3048" s="8" t="e">
        <v>#N/A</v>
      </c>
      <c r="I3048" s="8" t="n"/>
    </row>
    <row r="3049">
      <c r="A3049" s="4" t="n">
        <v>33834</v>
      </c>
      <c r="B3049" s="4" t="inlineStr">
        <is>
          <t>fm40218-spc-000702-0218-54</t>
        </is>
      </c>
      <c r="C3049" s="4" t="inlineStr">
        <is>
          <t>W00031886A</t>
        </is>
      </c>
      <c r="D3049" s="6">
        <f>IF(F3049&gt;=5, F3049-5, IF(F3049&lt;5, 0, F3049))</f>
        <v/>
      </c>
      <c r="E3049">
        <f>VLOOKUP(B3049,[1]Namshi!$A:$B,2,0)</f>
        <v/>
      </c>
      <c r="F3049" s="4">
        <f>SUMIFS('Dubai Stock'!I:I,'Dubai Stock'!H:H,Final_UAE!B:B)</f>
        <v/>
      </c>
      <c r="H3049" s="8" t="e">
        <v>#N/A</v>
      </c>
      <c r="I3049" s="8" t="n"/>
    </row>
    <row r="3050">
      <c r="A3050" s="4" t="n">
        <v>33834</v>
      </c>
      <c r="B3050" s="4" t="inlineStr">
        <is>
          <t>fu20218-spc-000812-0218-50</t>
        </is>
      </c>
      <c r="C3050" s="4" t="inlineStr">
        <is>
          <t>W00031886A</t>
        </is>
      </c>
      <c r="D3050" s="6">
        <f>IF(F3050&gt;=5, F3050-5, IF(F3050&lt;5, 0, F3050))</f>
        <v/>
      </c>
      <c r="E3050">
        <f>VLOOKUP(B3050,[1]Namshi!$A:$B,2,0)</f>
        <v/>
      </c>
      <c r="F3050" s="4">
        <f>SUMIFS('Dubai Stock'!I:I,'Dubai Stock'!H:H,Final_UAE!B:B)</f>
        <v/>
      </c>
      <c r="H3050" s="8" t="e">
        <v>#N/A</v>
      </c>
      <c r="I3050" s="8" t="n"/>
    </row>
    <row r="3051">
      <c r="A3051" s="4" t="n">
        <v>33834</v>
      </c>
      <c r="B3051" s="4" t="inlineStr">
        <is>
          <t>sm50107-30s-000211-0107-51</t>
        </is>
      </c>
      <c r="C3051" s="4" t="inlineStr">
        <is>
          <t>W00031886A</t>
        </is>
      </c>
      <c r="D3051" s="6">
        <f>IF(F3051&gt;=5, F3051-5, IF(F3051&lt;5, 0, F3051))</f>
        <v/>
      </c>
      <c r="E3051">
        <f>VLOOKUP(B3051,[1]Namshi!$A:$B,2,0)</f>
        <v/>
      </c>
      <c r="F3051" s="4">
        <f>SUMIFS('Dubai Stock'!I:I,'Dubai Stock'!H:H,Final_UAE!B:B)</f>
        <v/>
      </c>
      <c r="H3051" s="8" t="e">
        <v>#N/A</v>
      </c>
    </row>
    <row r="3052">
      <c r="A3052" s="4" t="n">
        <v>33834</v>
      </c>
      <c r="B3052" s="4" t="inlineStr">
        <is>
          <t>costdai-acu-dffr-p30-honey-sn0375</t>
        </is>
      </c>
      <c r="C3052" s="4" t="inlineStr">
        <is>
          <t>W00031886A</t>
        </is>
      </c>
      <c r="D3052" s="6">
        <f>IF(F3052&gt;=5, F3052-5, IF(F3052&lt;5, 0, F3052))</f>
        <v/>
      </c>
      <c r="E3052">
        <f>VLOOKUP(B3052,[1]Namshi!$A:$B,2,0)</f>
        <v/>
      </c>
      <c r="F3052" s="4">
        <f>SUMIFS('Dubai Stock'!I:I,'Dubai Stock'!H:H,Final_UAE!B:B)</f>
        <v/>
      </c>
      <c r="H3052" s="8" t="e">
        <v>#N/A</v>
      </c>
      <c r="I3052" s="8" t="n"/>
    </row>
    <row r="3053">
      <c r="A3053" s="4" t="n">
        <v>33834</v>
      </c>
      <c r="B3053" s="4" t="inlineStr">
        <is>
          <t>costmon-ama-lens-p02-crocodile-green-sn0100</t>
        </is>
      </c>
      <c r="C3053" s="4" t="inlineStr">
        <is>
          <t>W00031886A</t>
        </is>
      </c>
      <c r="D3053" s="6">
        <f>IF(F3053&gt;=5, F3053-5, IF(F3053&lt;5, 0, F3053))</f>
        <v/>
      </c>
      <c r="E3053">
        <f>VLOOKUP(B3053,[1]Namshi!$A:$B,2,0)</f>
        <v/>
      </c>
      <c r="F3053" s="4">
        <f>SUMIFS('Dubai Stock'!I:I,'Dubai Stock'!H:H,Final_UAE!B:B)</f>
        <v/>
      </c>
      <c r="H3053" s="8" t="e">
        <v>#N/A</v>
      </c>
      <c r="I3053" s="8" t="n"/>
    </row>
    <row r="3054">
      <c r="A3054" s="4" t="n">
        <v>33834</v>
      </c>
      <c r="B3054" s="4" t="inlineStr">
        <is>
          <t>clstdai-acu-oasy-p60-sn0500</t>
        </is>
      </c>
      <c r="C3054" s="4" t="inlineStr">
        <is>
          <t>W00031886A</t>
        </is>
      </c>
      <c r="D3054" s="6">
        <f>IF(F3054&gt;=5, F3054-5, IF(F3054&lt;5, 0, F3054))</f>
        <v/>
      </c>
      <c r="E3054">
        <f>VLOOKUP(B3054,[1]Namshi!$A:$B,2,0)</f>
        <v/>
      </c>
      <c r="F3054" s="4">
        <f>SUMIFS('Dubai Stock'!I:I,'Dubai Stock'!H:H,Final_UAE!B:B)</f>
        <v/>
      </c>
      <c r="H3054" s="8" t="e">
        <v>#N/A</v>
      </c>
      <c r="I3054" s="8" t="n"/>
    </row>
    <row r="3055">
      <c r="A3055" s="4" t="n">
        <v>33834</v>
      </c>
      <c r="B3055" s="4" t="inlineStr">
        <is>
          <t>sm51306-30s-000216-1306-51</t>
        </is>
      </c>
      <c r="C3055" s="4" t="inlineStr">
        <is>
          <t>W00031886A</t>
        </is>
      </c>
      <c r="D3055" s="6">
        <f>IF(F3055&gt;=5, F3055-5, IF(F3055&lt;5, 0, F3055))</f>
        <v/>
      </c>
      <c r="E3055">
        <f>VLOOKUP(B3055,[1]Namshi!$A:$B,2,0)</f>
        <v/>
      </c>
      <c r="F3055" s="4">
        <f>SUMIFS('Dubai Stock'!I:I,'Dubai Stock'!H:H,Final_UAE!B:B)</f>
        <v/>
      </c>
      <c r="H3055" s="8" t="e">
        <v>#N/A</v>
      </c>
    </row>
    <row r="3056">
      <c r="A3056" s="4" t="n">
        <v>33834</v>
      </c>
      <c r="B3056" s="4" t="inlineStr">
        <is>
          <t>clstdai-acu-mois-p30-sp0350</t>
        </is>
      </c>
      <c r="C3056" s="4" t="inlineStr">
        <is>
          <t>W00031886A</t>
        </is>
      </c>
      <c r="D3056" s="6">
        <f>IF(F3056&gt;=5, F3056-5, IF(F3056&lt;5, 0, F3056))</f>
        <v/>
      </c>
      <c r="E3056">
        <f>VLOOKUP(B3056,[1]Namshi!$A:$B,2,0)</f>
        <v/>
      </c>
      <c r="F3056" s="4">
        <f>SUMIFS('Dubai Stock'!I:I,'Dubai Stock'!H:H,Final_UAE!B:B)</f>
        <v/>
      </c>
      <c r="H3056" s="8" t="e">
        <v>#N/A</v>
      </c>
      <c r="I3056" s="8" t="n"/>
    </row>
    <row r="3057">
      <c r="A3057" s="4" t="n">
        <v>33834</v>
      </c>
      <c r="B3057" s="4" t="inlineStr">
        <is>
          <t>clstdai-eve-elit-p30-sp0050</t>
        </is>
      </c>
      <c r="C3057" s="4" t="inlineStr">
        <is>
          <t>W00031886A</t>
        </is>
      </c>
      <c r="D3057" s="6">
        <f>IF(F3057&gt;=5, F3057-5, IF(F3057&lt;5, 0, F3057))</f>
        <v/>
      </c>
      <c r="E3057">
        <f>VLOOKUP(B3057,[1]Namshi!$A:$B,2,0)</f>
        <v/>
      </c>
      <c r="F3057" s="4">
        <f>SUMIFS('Dubai Stock'!I:I,'Dubai Stock'!H:H,Final_UAE!B:B)</f>
        <v/>
      </c>
      <c r="H3057" s="8" t="n">
        <v>261</v>
      </c>
      <c r="I3057" s="8" t="n">
        <v>146.3</v>
      </c>
    </row>
    <row r="3058">
      <c r="A3058" s="4" t="n">
        <v>33834</v>
      </c>
      <c r="B3058" s="4" t="inlineStr">
        <is>
          <t>sw60404-bla-000350-0404-51</t>
        </is>
      </c>
      <c r="C3058" s="4" t="inlineStr">
        <is>
          <t>W00031886A</t>
        </is>
      </c>
      <c r="D3058" s="6">
        <f>IF(F3058&gt;=5, F3058-5, IF(F3058&lt;5, 0, F3058))</f>
        <v/>
      </c>
      <c r="E3058">
        <f>VLOOKUP(B3058,[1]Namshi!$A:$B,2,0)</f>
        <v/>
      </c>
      <c r="F3058" s="4">
        <f>SUMIFS('Dubai Stock'!I:I,'Dubai Stock'!H:H,Final_UAE!B:B)</f>
        <v/>
      </c>
      <c r="H3058" s="8" t="e">
        <v>#N/A</v>
      </c>
    </row>
    <row r="3059">
      <c r="A3059" s="4" t="n">
        <v>33834</v>
      </c>
      <c r="B3059" s="4" t="inlineStr">
        <is>
          <t>clstdai-acu-oasy-p90-sn1100</t>
        </is>
      </c>
      <c r="C3059" s="4" t="inlineStr">
        <is>
          <t>W00031886A</t>
        </is>
      </c>
      <c r="D3059" s="6">
        <f>IF(F3059&gt;=5, F3059-5, IF(F3059&lt;5, 0, F3059))</f>
        <v/>
      </c>
      <c r="E3059">
        <f>VLOOKUP(B3059,[1]Namshi!$A:$B,2,0)</f>
        <v/>
      </c>
      <c r="F3059" s="4">
        <f>SUMIFS('Dubai Stock'!I:I,'Dubai Stock'!H:H,Final_UAE!B:B)</f>
        <v/>
      </c>
      <c r="H3059" s="8" t="e">
        <v>#N/A</v>
      </c>
      <c r="I3059" s="8" t="n"/>
    </row>
    <row r="3060">
      <c r="A3060" s="4" t="n">
        <v>33834</v>
      </c>
      <c r="B3060" s="4" t="inlineStr">
        <is>
          <t>costdai-acu-dffr-p10-green-sn0450</t>
        </is>
      </c>
      <c r="C3060" s="4" t="inlineStr">
        <is>
          <t>W00031886A</t>
        </is>
      </c>
      <c r="D3060" s="6">
        <f>IF(F3060&gt;=5, F3060-5, IF(F3060&lt;5, 0, F3060))</f>
        <v/>
      </c>
      <c r="E3060">
        <f>VLOOKUP(B3060,[1]Namshi!$A:$B,2,0)</f>
        <v/>
      </c>
      <c r="F3060" s="4">
        <f>SUMIFS('Dubai Stock'!I:I,'Dubai Stock'!H:H,Final_UAE!B:B)</f>
        <v/>
      </c>
      <c r="H3060" s="8" t="e">
        <v>#N/A</v>
      </c>
      <c r="I3060" s="8" t="n"/>
    </row>
    <row r="3061">
      <c r="A3061" s="4" t="n">
        <v>33834</v>
      </c>
      <c r="B3061" s="4" t="inlineStr">
        <is>
          <t>sw60310-bla-000378-0310-59</t>
        </is>
      </c>
      <c r="C3061" s="4" t="inlineStr">
        <is>
          <t>W00031886A</t>
        </is>
      </c>
      <c r="D3061" s="6">
        <f>IF(F3061&gt;=5, F3061-5, IF(F3061&lt;5, 0, F3061))</f>
        <v/>
      </c>
      <c r="E3061">
        <f>VLOOKUP(B3061,[1]Namshi!$A:$B,2,0)</f>
        <v/>
      </c>
      <c r="F3061" s="4">
        <f>SUMIFS('Dubai Stock'!I:I,'Dubai Stock'!H:H,Final_UAE!B:B)</f>
        <v/>
      </c>
      <c r="H3061" s="8" t="e">
        <v>#N/A</v>
      </c>
    </row>
    <row r="3062">
      <c r="A3062" s="4" t="n">
        <v>33834</v>
      </c>
      <c r="B3062" s="4" t="inlineStr">
        <is>
          <t>bc20118-bab-000501-0118-46</t>
        </is>
      </c>
      <c r="C3062" s="4" t="inlineStr">
        <is>
          <t>W00031886A</t>
        </is>
      </c>
      <c r="D3062" s="6">
        <f>IF(F3062&gt;=5, F3062-5, IF(F3062&lt;5, 0, F3062))</f>
        <v/>
      </c>
      <c r="E3062">
        <f>VLOOKUP(B3062,[1]Namshi!$A:$B,2,0)</f>
        <v/>
      </c>
      <c r="F3062" s="4">
        <f>SUMIFS('Dubai Stock'!I:I,'Dubai Stock'!H:H,Final_UAE!B:B)</f>
        <v/>
      </c>
      <c r="H3062" s="8" t="e">
        <v>#N/A</v>
      </c>
    </row>
    <row r="3063">
      <c r="A3063" s="4" t="n">
        <v>33834</v>
      </c>
      <c r="B3063" s="4" t="inlineStr">
        <is>
          <t>sw32304-bla-000276-2304-54</t>
        </is>
      </c>
      <c r="C3063" s="4" t="inlineStr">
        <is>
          <t>W00031886A</t>
        </is>
      </c>
      <c r="D3063" s="6">
        <f>IF(F3063&gt;=5, F3063-5, IF(F3063&lt;5, 0, F3063))</f>
        <v/>
      </c>
      <c r="E3063">
        <f>VLOOKUP(B3063,[1]Namshi!$A:$B,2,0)</f>
        <v/>
      </c>
      <c r="F3063" s="4">
        <f>SUMIFS('Dubai Stock'!I:I,'Dubai Stock'!H:H,Final_UAE!B:B)</f>
        <v/>
      </c>
      <c r="H3063" s="8" t="e">
        <v>#N/A</v>
      </c>
    </row>
    <row r="3064">
      <c r="A3064" s="4" t="n">
        <v>33834</v>
      </c>
      <c r="B3064" s="4" t="inlineStr">
        <is>
          <t>clstdai-acu-mois-p90-sp0500</t>
        </is>
      </c>
      <c r="C3064" s="4" t="inlineStr">
        <is>
          <t>W00031886A</t>
        </is>
      </c>
      <c r="D3064" s="6">
        <f>IF(F3064&gt;=5, F3064-5, IF(F3064&lt;5, 0, F3064))</f>
        <v/>
      </c>
      <c r="E3064">
        <f>VLOOKUP(B3064,[1]Namshi!$A:$B,2,0)</f>
        <v/>
      </c>
      <c r="F3064" s="4">
        <f>SUMIFS('Dubai Stock'!I:I,'Dubai Stock'!H:H,Final_UAE!B:B)</f>
        <v/>
      </c>
      <c r="H3064" s="8" t="e">
        <v>#N/A</v>
      </c>
      <c r="I3064" s="8" t="n"/>
    </row>
    <row r="3065">
      <c r="A3065" s="4" t="n">
        <v>33834</v>
      </c>
      <c r="B3065" s="4" t="inlineStr">
        <is>
          <t>costdai-acu-dffr-p30-grayzel-sn0400</t>
        </is>
      </c>
      <c r="C3065" s="4" t="inlineStr">
        <is>
          <t>W00031886A</t>
        </is>
      </c>
      <c r="D3065" s="6">
        <f>IF(F3065&gt;=5, F3065-5, IF(F3065&lt;5, 0, F3065))</f>
        <v/>
      </c>
      <c r="E3065">
        <f>VLOOKUP(B3065,[1]Namshi!$A:$B,2,0)</f>
        <v/>
      </c>
      <c r="F3065" s="4">
        <f>SUMIFS('Dubai Stock'!I:I,'Dubai Stock'!H:H,Final_UAE!B:B)</f>
        <v/>
      </c>
      <c r="H3065" s="8" t="e">
        <v>#N/A</v>
      </c>
      <c r="I3065" s="8" t="n"/>
    </row>
    <row r="3066">
      <c r="A3066" s="4" t="n">
        <v>33834</v>
      </c>
      <c r="B3066" s="4" t="inlineStr">
        <is>
          <t>sc50607-bab-000505-0607-43</t>
        </is>
      </c>
      <c r="C3066" s="4" t="inlineStr">
        <is>
          <t>W00031886A</t>
        </is>
      </c>
      <c r="D3066" s="6">
        <f>IF(F3066&gt;=5, F3066-5, IF(F3066&lt;5, 0, F3066))</f>
        <v/>
      </c>
      <c r="E3066">
        <f>VLOOKUP(B3066,[1]Namshi!$A:$B,2,0)</f>
        <v/>
      </c>
      <c r="F3066" s="4">
        <f>SUMIFS('Dubai Stock'!I:I,'Dubai Stock'!H:H,Final_UAE!B:B)</f>
        <v/>
      </c>
      <c r="H3066" s="8" t="e">
        <v>#N/A</v>
      </c>
    </row>
    <row r="3067">
      <c r="A3067" s="4" t="n">
        <v>33834</v>
      </c>
      <c r="B3067" s="4" t="inlineStr">
        <is>
          <t>clstdai-lay-cont-p90-dazzle-black-sn0375</t>
        </is>
      </c>
      <c r="C3067" s="4" t="inlineStr">
        <is>
          <t>W00031886A</t>
        </is>
      </c>
      <c r="D3067" s="6">
        <f>IF(F3067&gt;=5, F3067-5, IF(F3067&lt;5, 0, F3067))</f>
        <v/>
      </c>
      <c r="E3067">
        <f>VLOOKUP(B3067,[1]Namshi!$A:$B,2,0)</f>
        <v/>
      </c>
      <c r="F3067" s="4">
        <f>SUMIFS('Dubai Stock'!I:I,'Dubai Stock'!H:H,Final_UAE!B:B)</f>
        <v/>
      </c>
      <c r="H3067" s="8" t="e">
        <v>#N/A</v>
      </c>
      <c r="I3067" s="8" t="n"/>
    </row>
    <row r="3068">
      <c r="A3068" s="4" t="n">
        <v>33834</v>
      </c>
      <c r="B3068" s="4" t="inlineStr">
        <is>
          <t>cost3mo-lay-2021-p02-polar-gray-sn0500</t>
        </is>
      </c>
      <c r="C3068" s="4" t="inlineStr">
        <is>
          <t>W00031886A</t>
        </is>
      </c>
      <c r="D3068" s="6">
        <f>IF(F3068&gt;=5, F3068-5, IF(F3068&lt;5, 0, F3068))</f>
        <v/>
      </c>
      <c r="E3068">
        <f>VLOOKUP(B3068,[1]Namshi!$A:$B,2,0)</f>
        <v/>
      </c>
      <c r="F3068" s="4">
        <f>SUMIFS('Dubai Stock'!I:I,'Dubai Stock'!H:H,Final_UAE!B:B)</f>
        <v/>
      </c>
      <c r="H3068" s="8" t="e">
        <v>#N/A</v>
      </c>
      <c r="I3068" s="8" t="n"/>
    </row>
    <row r="3069">
      <c r="A3069" s="4" t="n">
        <v>33834</v>
      </c>
      <c r="B3069" s="4" t="inlineStr">
        <is>
          <t>clstbiw-acu-oasy-p06-sp0475</t>
        </is>
      </c>
      <c r="C3069" s="4" t="inlineStr">
        <is>
          <t>W00031886A</t>
        </is>
      </c>
      <c r="D3069" s="6">
        <f>IF(F3069&gt;=5, F3069-5, IF(F3069&lt;5, 0, F3069))</f>
        <v/>
      </c>
      <c r="E3069">
        <f>VLOOKUP(B3069,[1]Namshi!$A:$B,2,0)</f>
        <v/>
      </c>
      <c r="F3069" s="4">
        <f>SUMIFS('Dubai Stock'!I:I,'Dubai Stock'!H:H,Final_UAE!B:B)</f>
        <v/>
      </c>
      <c r="H3069" s="8" t="e">
        <v>#N/A</v>
      </c>
      <c r="I3069" s="8" t="n"/>
    </row>
    <row r="3070">
      <c r="A3070" s="4" t="n">
        <v>33834</v>
      </c>
      <c r="B3070" s="4" t="inlineStr">
        <is>
          <t>clstdai-acu-mois-p120-sn1000</t>
        </is>
      </c>
      <c r="C3070" s="4" t="inlineStr">
        <is>
          <t>W00031886A</t>
        </is>
      </c>
      <c r="D3070" s="6">
        <f>IF(F3070&gt;=5, F3070-5, IF(F3070&lt;5, 0, F3070))</f>
        <v/>
      </c>
      <c r="E3070">
        <f>VLOOKUP(B3070,[1]Namshi!$A:$B,2,0)</f>
        <v/>
      </c>
      <c r="F3070" s="4">
        <f>SUMIFS('Dubai Stock'!I:I,'Dubai Stock'!H:H,Final_UAE!B:B)</f>
        <v/>
      </c>
      <c r="H3070" s="8" t="e">
        <v>#N/A</v>
      </c>
      <c r="I3070" s="8" t="n"/>
    </row>
    <row r="3071">
      <c r="A3071" s="4" t="n">
        <v>33834</v>
      </c>
      <c r="B3071" s="4" t="inlineStr">
        <is>
          <t>cost3mo-lay-2021-p02-stardust-gray-sn0275</t>
        </is>
      </c>
      <c r="C3071" s="4" t="inlineStr">
        <is>
          <t>W00031886A</t>
        </is>
      </c>
      <c r="D3071" s="6">
        <f>IF(F3071&gt;=5, F3071-5, IF(F3071&lt;5, 0, F3071))</f>
        <v/>
      </c>
      <c r="E3071">
        <f>VLOOKUP(B3071,[1]Namshi!$A:$B,2,0)</f>
        <v/>
      </c>
      <c r="F3071" s="4">
        <f>SUMIFS('Dubai Stock'!I:I,'Dubai Stock'!H:H,Final_UAE!B:B)</f>
        <v/>
      </c>
      <c r="H3071" s="8" t="e">
        <v>#N/A</v>
      </c>
      <c r="I3071" s="8" t="n"/>
    </row>
    <row r="3072">
      <c r="A3072" s="4" t="n">
        <v>33834</v>
      </c>
      <c r="B3072" s="4" t="inlineStr">
        <is>
          <t>cost3mo-lay-lens-p02-chestnut-brown-sn0075</t>
        </is>
      </c>
      <c r="C3072" s="4" t="inlineStr">
        <is>
          <t>W00031886A</t>
        </is>
      </c>
      <c r="D3072" s="6">
        <f>IF(F3072&gt;=5, F3072-5, IF(F3072&lt;5, 0, F3072))</f>
        <v/>
      </c>
      <c r="E3072">
        <f>VLOOKUP(B3072,[1]Namshi!$A:$B,2,0)</f>
        <v/>
      </c>
      <c r="F3072" s="4">
        <f>SUMIFS('Dubai Stock'!I:I,'Dubai Stock'!H:H,Final_UAE!B:B)</f>
        <v/>
      </c>
      <c r="H3072" s="8" t="e">
        <v>#N/A</v>
      </c>
      <c r="I3072" s="8" t="n"/>
    </row>
    <row r="3073">
      <c r="A3073" s="4" t="n">
        <v>33834</v>
      </c>
      <c r="B3073" s="4" t="inlineStr">
        <is>
          <t>cost3mo-lay-lens-p02-chestnut-brown-sn0600</t>
        </is>
      </c>
      <c r="C3073" s="4" t="inlineStr">
        <is>
          <t>W00031886A</t>
        </is>
      </c>
      <c r="D3073" s="6">
        <f>IF(F3073&gt;=5, F3073-5, IF(F3073&lt;5, 0, F3073))</f>
        <v/>
      </c>
      <c r="E3073">
        <f>VLOOKUP(B3073,[1]Namshi!$A:$B,2,0)</f>
        <v/>
      </c>
      <c r="F3073" s="4">
        <f>SUMIFS('Dubai Stock'!I:I,'Dubai Stock'!H:H,Final_UAE!B:B)</f>
        <v/>
      </c>
      <c r="H3073" s="8" t="e">
        <v>#N/A</v>
      </c>
      <c r="I3073" s="8" t="n"/>
    </row>
    <row r="3074">
      <c r="A3074" s="4" t="n">
        <v>33834</v>
      </c>
      <c r="B3074" s="4" t="inlineStr">
        <is>
          <t>sw100107-bla-000303-0107-56</t>
        </is>
      </c>
      <c r="C3074" s="4" t="inlineStr">
        <is>
          <t>W00031886A</t>
        </is>
      </c>
      <c r="D3074" s="6">
        <f>IF(F3074&gt;=5, F3074-5, IF(F3074&lt;5, 0, F3074))</f>
        <v/>
      </c>
      <c r="E3074">
        <f>VLOOKUP(B3074,[1]Namshi!$A:$B,2,0)</f>
        <v/>
      </c>
      <c r="F3074" s="4">
        <f>SUMIFS('Dubai Stock'!I:I,'Dubai Stock'!H:H,Final_UAE!B:B)</f>
        <v/>
      </c>
      <c r="H3074" s="8" t="e">
        <v>#N/A</v>
      </c>
      <c r="I3074" s="8" t="n"/>
    </row>
    <row r="3075">
      <c r="A3075" s="4" t="n">
        <v>33834</v>
      </c>
      <c r="B3075" s="4" t="inlineStr">
        <is>
          <t>su50101-30s-000281-0101-55</t>
        </is>
      </c>
      <c r="C3075" s="4" t="inlineStr">
        <is>
          <t>W00031886A</t>
        </is>
      </c>
      <c r="D3075" s="6">
        <f>IF(F3075&gt;=5, F3075-5, IF(F3075&lt;5, 0, F3075))</f>
        <v/>
      </c>
      <c r="E3075">
        <f>VLOOKUP(B3075,[1]Namshi!$A:$B,2,0)</f>
        <v/>
      </c>
      <c r="F3075" s="4">
        <f>SUMIFS('Dubai Stock'!I:I,'Dubai Stock'!H:H,Final_UAE!B:B)</f>
        <v/>
      </c>
      <c r="H3075" s="8" t="e">
        <v>#N/A</v>
      </c>
    </row>
    <row r="3076">
      <c r="A3076" s="4" t="n">
        <v>33834</v>
      </c>
      <c r="B3076" s="4" t="inlineStr">
        <is>
          <t>cost3mo-lay-2022-p02-sage-gray-sn0325</t>
        </is>
      </c>
      <c r="C3076" s="4" t="inlineStr">
        <is>
          <t>W00031886A</t>
        </is>
      </c>
      <c r="D3076" s="6">
        <f>IF(F3076&gt;=5, F3076-5, IF(F3076&lt;5, 0, F3076))</f>
        <v/>
      </c>
      <c r="E3076">
        <f>VLOOKUP(B3076,[1]Namshi!$A:$B,2,0)</f>
        <v/>
      </c>
      <c r="F3076" s="4">
        <f>SUMIFS('Dubai Stock'!I:I,'Dubai Stock'!H:H,Final_UAE!B:B)</f>
        <v/>
      </c>
      <c r="H3076" s="8" t="e">
        <v>#N/A</v>
      </c>
      <c r="I3076" s="8" t="n"/>
    </row>
    <row r="3077">
      <c r="A3077" s="4" t="n">
        <v>33834</v>
      </c>
      <c r="B3077" s="4" t="inlineStr">
        <is>
          <t>clstbiw-acu-oasy-p18-sn0100</t>
        </is>
      </c>
      <c r="C3077" s="4" t="inlineStr">
        <is>
          <t>W00031886A</t>
        </is>
      </c>
      <c r="D3077" s="6">
        <f>IF(F3077&gt;=5, F3077-5, IF(F3077&lt;5, 0, F3077))</f>
        <v/>
      </c>
      <c r="E3077">
        <f>VLOOKUP(B3077,[1]Namshi!$A:$B,2,0)</f>
        <v/>
      </c>
      <c r="F3077" s="4">
        <f>SUMIFS('Dubai Stock'!I:I,'Dubai Stock'!H:H,Final_UAE!B:B)</f>
        <v/>
      </c>
      <c r="H3077" s="8" t="e">
        <v>#N/A</v>
      </c>
      <c r="I3077" s="8" t="n"/>
    </row>
    <row r="3078">
      <c r="A3078" s="4" t="n">
        <v>33834</v>
      </c>
      <c r="B3078" s="4" t="inlineStr">
        <is>
          <t>cost3mo-lay-2022-p02-royal-green-sp0000</t>
        </is>
      </c>
      <c r="C3078" s="4" t="inlineStr">
        <is>
          <t>W00031886A</t>
        </is>
      </c>
      <c r="D3078" s="6">
        <f>IF(F3078&gt;=5, F3078-5, IF(F3078&lt;5, 0, F3078))</f>
        <v/>
      </c>
      <c r="E3078">
        <f>VLOOKUP(B3078,[1]Namshi!$A:$B,2,0)</f>
        <v/>
      </c>
      <c r="F3078" s="4">
        <f>SUMIFS('Dubai Stock'!I:I,'Dubai Stock'!H:H,Final_UAE!B:B)</f>
        <v/>
      </c>
      <c r="H3078" s="8" t="e">
        <v>#N/A</v>
      </c>
      <c r="I3078" s="8" t="n"/>
    </row>
    <row r="3079">
      <c r="A3079" s="4" t="n">
        <v>33834</v>
      </c>
      <c r="B3079" s="4" t="inlineStr">
        <is>
          <t>cost3mo-lay-2021-p02-stardust-gray-sp0000</t>
        </is>
      </c>
      <c r="C3079" s="4" t="inlineStr">
        <is>
          <t>W00031886A</t>
        </is>
      </c>
      <c r="D3079" s="6">
        <f>IF(F3079&gt;=5, F3079-5, IF(F3079&lt;5, 0, F3079))</f>
        <v/>
      </c>
      <c r="E3079">
        <f>VLOOKUP(B3079,[1]Namshi!$A:$B,2,0)</f>
        <v/>
      </c>
      <c r="F3079" s="4">
        <f>SUMIFS('Dubai Stock'!I:I,'Dubai Stock'!H:H,Final_UAE!B:B)</f>
        <v/>
      </c>
      <c r="H3079" s="8" t="e">
        <v>#N/A</v>
      </c>
      <c r="I3079" s="8" t="n"/>
    </row>
    <row r="3080">
      <c r="A3080" s="4" t="n">
        <v>33834</v>
      </c>
      <c r="B3080" s="4" t="inlineStr">
        <is>
          <t>clstdai-acu-omax-p90-sp0200</t>
        </is>
      </c>
      <c r="C3080" s="4" t="inlineStr">
        <is>
          <t>W00031886A</t>
        </is>
      </c>
      <c r="D3080" s="6">
        <f>IF(F3080&gt;=5, F3080-5, IF(F3080&lt;5, 0, F3080))</f>
        <v/>
      </c>
      <c r="E3080">
        <f>VLOOKUP(B3080,[1]Namshi!$A:$B,2,0)</f>
        <v/>
      </c>
      <c r="F3080" s="4">
        <f>SUMIFS('Dubai Stock'!I:I,'Dubai Stock'!H:H,Final_UAE!B:B)</f>
        <v/>
      </c>
      <c r="H3080" s="8" t="e">
        <v>#N/A</v>
      </c>
      <c r="I3080" s="8" t="n"/>
    </row>
    <row r="3081">
      <c r="A3081" s="4" t="n">
        <v>33834</v>
      </c>
      <c r="B3081" s="4" t="inlineStr">
        <is>
          <t>fw31418-spc-000643-1418-53</t>
        </is>
      </c>
      <c r="C3081" s="4" t="inlineStr">
        <is>
          <t>W00031886A</t>
        </is>
      </c>
      <c r="D3081" s="6">
        <f>IF(F3081&gt;=5, F3081-5, IF(F3081&lt;5, 0, F3081))</f>
        <v/>
      </c>
      <c r="E3081">
        <f>VLOOKUP(B3081,[1]Namshi!$A:$B,2,0)</f>
        <v/>
      </c>
      <c r="F3081" s="4">
        <f>SUMIFS('Dubai Stock'!I:I,'Dubai Stock'!H:H,Final_UAE!B:B)</f>
        <v/>
      </c>
      <c r="H3081" s="8" t="e">
        <v>#N/A</v>
      </c>
      <c r="I3081" s="8" t="n"/>
    </row>
    <row r="3082">
      <c r="A3082" s="4" t="n">
        <v>33834</v>
      </c>
      <c r="B3082" s="4" t="inlineStr">
        <is>
          <t>clstdai-eve-pure-p30-sp0150</t>
        </is>
      </c>
      <c r="C3082" s="4" t="inlineStr">
        <is>
          <t>W00031886A</t>
        </is>
      </c>
      <c r="D3082" s="6">
        <f>IF(F3082&gt;=5, F3082-5, IF(F3082&lt;5, 0, F3082))</f>
        <v/>
      </c>
      <c r="E3082">
        <f>VLOOKUP(B3082,[1]Namshi!$A:$B,2,0)</f>
        <v/>
      </c>
      <c r="F3082" s="4">
        <f>SUMIFS('Dubai Stock'!I:I,'Dubai Stock'!H:H,Final_UAE!B:B)</f>
        <v/>
      </c>
      <c r="H3082" s="8" t="n">
        <v>186</v>
      </c>
      <c r="I3082" s="8" t="n">
        <v>104.3</v>
      </c>
    </row>
    <row r="3083">
      <c r="A3083" s="4" t="n">
        <v>33834</v>
      </c>
      <c r="B3083" s="4" t="inlineStr">
        <is>
          <t>costdai-acu-dffr-p10-green-sn0075</t>
        </is>
      </c>
      <c r="C3083" s="4" t="inlineStr">
        <is>
          <t>W00031886A</t>
        </is>
      </c>
      <c r="D3083" s="6">
        <f>IF(F3083&gt;=5, F3083-5, IF(F3083&lt;5, 0, F3083))</f>
        <v/>
      </c>
      <c r="E3083">
        <f>VLOOKUP(B3083,[1]Namshi!$A:$B,2,0)</f>
        <v/>
      </c>
      <c r="F3083" s="4">
        <f>SUMIFS('Dubai Stock'!I:I,'Dubai Stock'!H:H,Final_UAE!B:B)</f>
        <v/>
      </c>
      <c r="H3083" s="8" t="e">
        <v>#N/A</v>
      </c>
      <c r="I3083" s="8" t="n"/>
    </row>
    <row r="3084">
      <c r="A3084" s="4" t="n">
        <v>33834</v>
      </c>
      <c r="B3084" s="4" t="inlineStr">
        <is>
          <t>clstdai-acu-dfvi-p90-sn0800</t>
        </is>
      </c>
      <c r="C3084" s="4" t="inlineStr">
        <is>
          <t>W00031886A</t>
        </is>
      </c>
      <c r="D3084" s="6">
        <f>IF(F3084&gt;=5, F3084-5, IF(F3084&lt;5, 0, F3084))</f>
        <v/>
      </c>
      <c r="E3084">
        <f>VLOOKUP(B3084,[1]Namshi!$A:$B,2,0)</f>
        <v/>
      </c>
      <c r="F3084" s="4">
        <f>SUMIFS('Dubai Stock'!I:I,'Dubai Stock'!H:H,Final_UAE!B:B)</f>
        <v/>
      </c>
      <c r="H3084" s="8" t="e">
        <v>#N/A</v>
      </c>
      <c r="I3084" s="8" t="n"/>
    </row>
    <row r="3085">
      <c r="A3085" s="4" t="n">
        <v>33834</v>
      </c>
      <c r="B3085" s="4" t="inlineStr">
        <is>
          <t>sw80107-bla-000210-0107-54</t>
        </is>
      </c>
      <c r="C3085" s="4" t="inlineStr">
        <is>
          <t>W00031886A</t>
        </is>
      </c>
      <c r="D3085" s="6">
        <f>IF(F3085&gt;=5, F3085-5, IF(F3085&lt;5, 0, F3085))</f>
        <v/>
      </c>
      <c r="E3085">
        <f>VLOOKUP(B3085,[1]Namshi!$A:$B,2,0)</f>
        <v/>
      </c>
      <c r="F3085" s="4">
        <f>SUMIFS('Dubai Stock'!I:I,'Dubai Stock'!H:H,Final_UAE!B:B)</f>
        <v/>
      </c>
      <c r="H3085" s="8" t="e">
        <v>#N/A</v>
      </c>
    </row>
    <row r="3086">
      <c r="A3086" s="4" t="n">
        <v>33834</v>
      </c>
      <c r="B3086" s="4" t="inlineStr">
        <is>
          <t>cost3mo-lay-2021-p02-golden-gray-sn0375</t>
        </is>
      </c>
      <c r="C3086" s="4" t="inlineStr">
        <is>
          <t>W00031886A</t>
        </is>
      </c>
      <c r="D3086" s="6">
        <f>IF(F3086&gt;=5, F3086-5, IF(F3086&lt;5, 0, F3086))</f>
        <v/>
      </c>
      <c r="E3086">
        <f>VLOOKUP(B3086,[1]Namshi!$A:$B,2,0)</f>
        <v/>
      </c>
      <c r="F3086" s="4">
        <f>SUMIFS('Dubai Stock'!I:I,'Dubai Stock'!H:H,Final_UAE!B:B)</f>
        <v/>
      </c>
      <c r="H3086" s="8" t="e">
        <v>#N/A</v>
      </c>
      <c r="I3086" s="8" t="n"/>
    </row>
    <row r="3087">
      <c r="A3087" s="4" t="n">
        <v>33834</v>
      </c>
      <c r="B3087" s="4" t="inlineStr">
        <is>
          <t>sw41504-bla-000209-1504-51</t>
        </is>
      </c>
      <c r="C3087" s="4" t="inlineStr">
        <is>
          <t>W00031886A</t>
        </is>
      </c>
      <c r="D3087" s="6">
        <f>IF(F3087&gt;=5, F3087-5, IF(F3087&lt;5, 0, F3087))</f>
        <v/>
      </c>
      <c r="E3087">
        <f>VLOOKUP(B3087,[1]Namshi!$A:$B,2,0)</f>
        <v/>
      </c>
      <c r="F3087" s="4">
        <f>SUMIFS('Dubai Stock'!I:I,'Dubai Stock'!H:H,Final_UAE!B:B)</f>
        <v/>
      </c>
      <c r="H3087" s="8" t="e">
        <v>#N/A</v>
      </c>
    </row>
    <row r="3088">
      <c r="A3088" s="4" t="n">
        <v>33834</v>
      </c>
      <c r="B3088" s="4" t="inlineStr">
        <is>
          <t>costdai-acu-dffr-p10-honey-sn0225</t>
        </is>
      </c>
      <c r="C3088" s="4" t="inlineStr">
        <is>
          <t>W00031886A</t>
        </is>
      </c>
      <c r="D3088" s="6">
        <f>IF(F3088&gt;=5, F3088-5, IF(F3088&lt;5, 0, F3088))</f>
        <v/>
      </c>
      <c r="E3088">
        <f>VLOOKUP(B3088,[1]Namshi!$A:$B,2,0)</f>
        <v/>
      </c>
      <c r="F3088" s="4">
        <f>SUMIFS('Dubai Stock'!I:I,'Dubai Stock'!H:H,Final_UAE!B:B)</f>
        <v/>
      </c>
      <c r="H3088" s="8" t="e">
        <v>#N/A</v>
      </c>
      <c r="I3088" s="8" t="n"/>
    </row>
    <row r="3089">
      <c r="A3089" s="4" t="n">
        <v>33834</v>
      </c>
      <c r="B3089" s="4" t="inlineStr">
        <is>
          <t>sw40404-bla-000260-0404-52</t>
        </is>
      </c>
      <c r="C3089" s="4" t="inlineStr">
        <is>
          <t>W00031886A</t>
        </is>
      </c>
      <c r="D3089" s="6">
        <f>IF(F3089&gt;=5, F3089-5, IF(F3089&lt;5, 0, F3089))</f>
        <v/>
      </c>
      <c r="E3089">
        <f>VLOOKUP(B3089,[1]Namshi!$A:$B,2,0)</f>
        <v/>
      </c>
      <c r="F3089" s="4">
        <f>SUMIFS('Dubai Stock'!I:I,'Dubai Stock'!H:H,Final_UAE!B:B)</f>
        <v/>
      </c>
      <c r="H3089" s="8" t="e">
        <v>#N/A</v>
      </c>
    </row>
    <row r="3090">
      <c r="A3090" s="4" t="n">
        <v>33834</v>
      </c>
      <c r="B3090" s="4" t="inlineStr">
        <is>
          <t>clstdai-sof-sdai-p90-sn0275</t>
        </is>
      </c>
      <c r="C3090" s="4" t="inlineStr">
        <is>
          <t>W00031886A</t>
        </is>
      </c>
      <c r="D3090" s="6">
        <f>IF(F3090&gt;=5, F3090-5, IF(F3090&lt;5, 0, F3090))</f>
        <v/>
      </c>
      <c r="E3090">
        <f>VLOOKUP(B3090,[1]Namshi!$A:$B,2,0)</f>
        <v/>
      </c>
      <c r="F3090" s="4">
        <f>SUMIFS('Dubai Stock'!I:I,'Dubai Stock'!H:H,Final_UAE!B:B)</f>
        <v/>
      </c>
      <c r="H3090" s="8" t="e">
        <v>#N/A</v>
      </c>
      <c r="I3090" s="8" t="n"/>
    </row>
    <row r="3091">
      <c r="A3091" s="4" t="n">
        <v>33834</v>
      </c>
      <c r="B3091" s="4" t="inlineStr">
        <is>
          <t>bc52018-bab-000504-2018-51</t>
        </is>
      </c>
      <c r="C3091" s="4" t="inlineStr">
        <is>
          <t>W00031886A</t>
        </is>
      </c>
      <c r="D3091" s="6">
        <f>IF(F3091&gt;=5, F3091-5, IF(F3091&lt;5, 0, F3091))</f>
        <v/>
      </c>
      <c r="E3091">
        <f>VLOOKUP(B3091,[1]Namshi!$A:$B,2,0)</f>
        <v/>
      </c>
      <c r="F3091" s="4">
        <f>SUMIFS('Dubai Stock'!I:I,'Dubai Stock'!H:H,Final_UAE!B:B)</f>
        <v/>
      </c>
      <c r="H3091" s="8" t="e">
        <v>#N/A</v>
      </c>
    </row>
    <row r="3092">
      <c r="A3092" s="4" t="n">
        <v>33834</v>
      </c>
      <c r="B3092" s="4" t="inlineStr">
        <is>
          <t>clstdai-dai-tot1-p30-sn0250</t>
        </is>
      </c>
      <c r="C3092" s="4" t="inlineStr">
        <is>
          <t>W00031886A</t>
        </is>
      </c>
      <c r="D3092" s="6">
        <f>IF(F3092&gt;=5, F3092-5, IF(F3092&lt;5, 0, F3092))</f>
        <v/>
      </c>
      <c r="E3092">
        <f>VLOOKUP(B3092,[1]Namshi!$A:$B,2,0)</f>
        <v/>
      </c>
      <c r="F3092" s="4">
        <f>SUMIFS('Dubai Stock'!I:I,'Dubai Stock'!H:H,Final_UAE!B:B)</f>
        <v/>
      </c>
      <c r="H3092" s="8" t="e">
        <v>#N/A</v>
      </c>
      <c r="I3092" s="8" t="n"/>
    </row>
    <row r="3093">
      <c r="A3093" s="4" t="n">
        <v>33834</v>
      </c>
      <c r="B3093" s="4" t="inlineStr">
        <is>
          <t>costmon-ama-lens-p02-crocodile-green-sn0050</t>
        </is>
      </c>
      <c r="C3093" s="4" t="inlineStr">
        <is>
          <t>W00031886A</t>
        </is>
      </c>
      <c r="D3093" s="6">
        <f>IF(F3093&gt;=5, F3093-5, IF(F3093&lt;5, 0, F3093))</f>
        <v/>
      </c>
      <c r="E3093">
        <f>VLOOKUP(B3093,[1]Namshi!$A:$B,2,0)</f>
        <v/>
      </c>
      <c r="F3093" s="4">
        <f>SUMIFS('Dubai Stock'!I:I,'Dubai Stock'!H:H,Final_UAE!B:B)</f>
        <v/>
      </c>
      <c r="H3093" s="8" t="e">
        <v>#N/A</v>
      </c>
      <c r="I3093" s="8" t="n"/>
    </row>
    <row r="3094">
      <c r="A3094" s="4" t="n">
        <v>33834</v>
      </c>
      <c r="B3094" s="4" t="inlineStr">
        <is>
          <t>clstdai-lay-cont-p60-dazzle-black-sn0850</t>
        </is>
      </c>
      <c r="C3094" s="4" t="inlineStr">
        <is>
          <t>W00031886A</t>
        </is>
      </c>
      <c r="D3094" s="6">
        <f>IF(F3094&gt;=5, F3094-5, IF(F3094&lt;5, 0, F3094))</f>
        <v/>
      </c>
      <c r="E3094">
        <f>VLOOKUP(B3094,[1]Namshi!$A:$B,2,0)</f>
        <v/>
      </c>
      <c r="F3094" s="4">
        <f>SUMIFS('Dubai Stock'!I:I,'Dubai Stock'!H:H,Final_UAE!B:B)</f>
        <v/>
      </c>
      <c r="H3094" s="8" t="e">
        <v>#N/A</v>
      </c>
      <c r="I3094" s="8" t="n"/>
    </row>
    <row r="3095">
      <c r="A3095" s="4" t="n">
        <v>33834</v>
      </c>
      <c r="B3095" s="4" t="inlineStr">
        <is>
          <t>clstbiw-acu-0002-p06-sn0475</t>
        </is>
      </c>
      <c r="C3095" s="4" t="inlineStr">
        <is>
          <t>W00031886A</t>
        </is>
      </c>
      <c r="D3095" s="6">
        <f>IF(F3095&gt;=5, F3095-5, IF(F3095&lt;5, 0, F3095))</f>
        <v/>
      </c>
      <c r="E3095">
        <f>VLOOKUP(B3095,[1]Namshi!$A:$B,2,0)</f>
        <v/>
      </c>
      <c r="F3095" s="4">
        <f>SUMIFS('Dubai Stock'!I:I,'Dubai Stock'!H:H,Final_UAE!B:B)</f>
        <v/>
      </c>
      <c r="H3095" s="8" t="e">
        <v>#N/A</v>
      </c>
      <c r="I3095" s="8" t="n"/>
    </row>
    <row r="3096">
      <c r="A3096" s="4" t="n">
        <v>33834</v>
      </c>
      <c r="B3096" s="4" t="inlineStr">
        <is>
          <t>cost3mo-lay-2022-p02-sage-gray-sn0500</t>
        </is>
      </c>
      <c r="C3096" s="4" t="inlineStr">
        <is>
          <t>W00031886A</t>
        </is>
      </c>
      <c r="D3096" s="6">
        <f>IF(F3096&gt;=5, F3096-5, IF(F3096&lt;5, 0, F3096))</f>
        <v/>
      </c>
      <c r="E3096">
        <f>VLOOKUP(B3096,[1]Namshi!$A:$B,2,0)</f>
        <v/>
      </c>
      <c r="F3096" s="4">
        <f>SUMIFS('Dubai Stock'!I:I,'Dubai Stock'!H:H,Final_UAE!B:B)</f>
        <v/>
      </c>
      <c r="H3096" s="8" t="e">
        <v>#N/A</v>
      </c>
      <c r="I3096" s="8" t="n"/>
    </row>
    <row r="3097">
      <c r="A3097" s="4" t="n">
        <v>33834</v>
      </c>
      <c r="B3097" s="4" t="inlineStr">
        <is>
          <t>clstdai-acu-mois-p90-sn0950</t>
        </is>
      </c>
      <c r="C3097" s="4" t="inlineStr">
        <is>
          <t>W00031886A</t>
        </is>
      </c>
      <c r="D3097" s="6">
        <f>IF(F3097&gt;=5, F3097-5, IF(F3097&lt;5, 0, F3097))</f>
        <v/>
      </c>
      <c r="E3097">
        <f>VLOOKUP(B3097,[1]Namshi!$A:$B,2,0)</f>
        <v/>
      </c>
      <c r="F3097" s="4">
        <f>SUMIFS('Dubai Stock'!I:I,'Dubai Stock'!H:H,Final_UAE!B:B)</f>
        <v/>
      </c>
      <c r="H3097" s="8" t="e">
        <v>#N/A</v>
      </c>
      <c r="I3097" s="8" t="n"/>
    </row>
    <row r="3098">
      <c r="A3098" s="4" t="n">
        <v>33834</v>
      </c>
      <c r="B3098" s="4" t="inlineStr">
        <is>
          <t>sw31010-bla-000255-1010-52</t>
        </is>
      </c>
      <c r="C3098" s="4" t="inlineStr">
        <is>
          <t>W00031886A</t>
        </is>
      </c>
      <c r="D3098" s="6">
        <f>IF(F3098&gt;=5, F3098-5, IF(F3098&lt;5, 0, F3098))</f>
        <v/>
      </c>
      <c r="E3098">
        <f>VLOOKUP(B3098,[1]Namshi!$A:$B,2,0)</f>
        <v/>
      </c>
      <c r="F3098" s="4">
        <f>SUMIFS('Dubai Stock'!I:I,'Dubai Stock'!H:H,Final_UAE!B:B)</f>
        <v/>
      </c>
      <c r="H3098" s="8" t="e">
        <v>#N/A</v>
      </c>
    </row>
    <row r="3099">
      <c r="A3099" s="4" t="n">
        <v>33834</v>
      </c>
      <c r="B3099" s="4" t="inlineStr">
        <is>
          <t>clstmon-eve-prom-p06-sn0275</t>
        </is>
      </c>
      <c r="C3099" s="4" t="inlineStr">
        <is>
          <t>W00031886A</t>
        </is>
      </c>
      <c r="D3099" s="6">
        <f>IF(F3099&gt;=5, F3099-5, IF(F3099&lt;5, 0, F3099))</f>
        <v/>
      </c>
      <c r="E3099">
        <f>VLOOKUP(B3099,[1]Namshi!$A:$B,2,0)</f>
        <v/>
      </c>
      <c r="F3099" s="4">
        <f>SUMIFS('Dubai Stock'!I:I,'Dubai Stock'!H:H,Final_UAE!B:B)</f>
        <v/>
      </c>
      <c r="H3099" s="8" t="n">
        <v>212</v>
      </c>
      <c r="I3099" s="8" t="n">
        <v>111.3</v>
      </c>
    </row>
    <row r="3100">
      <c r="A3100" s="4" t="n">
        <v>33834</v>
      </c>
      <c r="B3100" s="4" t="inlineStr">
        <is>
          <t>clstmon-sof-sl59-p06-sn0650</t>
        </is>
      </c>
      <c r="C3100" s="4" t="inlineStr">
        <is>
          <t>W00031886A</t>
        </is>
      </c>
      <c r="D3100" s="6">
        <f>IF(F3100&gt;=5, F3100-5, IF(F3100&lt;5, 0, F3100))</f>
        <v/>
      </c>
      <c r="E3100">
        <f>VLOOKUP(B3100,[1]Namshi!$A:$B,2,0)</f>
        <v/>
      </c>
      <c r="F3100" s="4">
        <f>SUMIFS('Dubai Stock'!I:I,'Dubai Stock'!H:H,Final_UAE!B:B)</f>
        <v/>
      </c>
      <c r="H3100" s="8" t="e">
        <v>#N/A</v>
      </c>
      <c r="I3100" s="8" t="n"/>
    </row>
    <row r="3101">
      <c r="A3101" s="4" t="n">
        <v>33834</v>
      </c>
      <c r="B3101" s="4" t="inlineStr">
        <is>
          <t>costdai-ama-dail-p10-amber-sn0375</t>
        </is>
      </c>
      <c r="C3101" s="4" t="inlineStr">
        <is>
          <t>W00031886A</t>
        </is>
      </c>
      <c r="D3101" s="6">
        <f>IF(F3101&gt;=5, F3101-5, IF(F3101&lt;5, 0, F3101))</f>
        <v/>
      </c>
      <c r="E3101">
        <f>VLOOKUP(B3101,[1]Namshi!$A:$B,2,0)</f>
        <v/>
      </c>
      <c r="F3101" s="4">
        <f>SUMIFS('Dubai Stock'!I:I,'Dubai Stock'!H:H,Final_UAE!B:B)</f>
        <v/>
      </c>
      <c r="H3101" s="8" t="e">
        <v>#N/A</v>
      </c>
      <c r="I3101" s="8" t="n"/>
    </row>
    <row r="3102">
      <c r="A3102" s="4" t="n">
        <v>33834</v>
      </c>
      <c r="B3102" s="4" t="inlineStr">
        <is>
          <t>sw31306-30s-000126-1306-54</t>
        </is>
      </c>
      <c r="C3102" s="4" t="inlineStr">
        <is>
          <t>W00031886A</t>
        </is>
      </c>
      <c r="D3102" s="6">
        <f>IF(F3102&gt;=5, F3102-5, IF(F3102&lt;5, 0, F3102))</f>
        <v/>
      </c>
      <c r="E3102">
        <f>VLOOKUP(B3102,[1]Namshi!$A:$B,2,0)</f>
        <v/>
      </c>
      <c r="F3102" s="4">
        <f>SUMIFS('Dubai Stock'!I:I,'Dubai Stock'!H:H,Final_UAE!B:B)</f>
        <v/>
      </c>
      <c r="H3102" s="8" t="e">
        <v>#N/A</v>
      </c>
    </row>
    <row r="3103">
      <c r="A3103" s="4" t="n">
        <v>33834</v>
      </c>
      <c r="B3103" s="4" t="inlineStr">
        <is>
          <t>sw100404-bla-000316-0404-51</t>
        </is>
      </c>
      <c r="C3103" s="4" t="inlineStr">
        <is>
          <t>W00031886A</t>
        </is>
      </c>
      <c r="D3103" s="6">
        <f>IF(F3103&gt;=5, F3103-5, IF(F3103&lt;5, 0, F3103))</f>
        <v/>
      </c>
      <c r="E3103">
        <f>VLOOKUP(B3103,[1]Namshi!$A:$B,2,0)</f>
        <v/>
      </c>
      <c r="F3103" s="4">
        <f>SUMIFS('Dubai Stock'!I:I,'Dubai Stock'!H:H,Final_UAE!B:B)</f>
        <v/>
      </c>
      <c r="H3103" s="8" t="e">
        <v>#N/A</v>
      </c>
      <c r="I3103" s="8" t="n"/>
    </row>
    <row r="3104">
      <c r="A3104" s="4" t="n">
        <v>33834</v>
      </c>
      <c r="B3104" s="4" t="inlineStr">
        <is>
          <t>su100107-bla-000345-0107-56</t>
        </is>
      </c>
      <c r="C3104" s="4" t="inlineStr">
        <is>
          <t>W00031886A</t>
        </is>
      </c>
      <c r="D3104" s="6">
        <f>IF(F3104&gt;=5, F3104-5, IF(F3104&lt;5, 0, F3104))</f>
        <v/>
      </c>
      <c r="E3104">
        <f>VLOOKUP(B3104,[1]Namshi!$A:$B,2,0)</f>
        <v/>
      </c>
      <c r="F3104" s="4">
        <f>SUMIFS('Dubai Stock'!I:I,'Dubai Stock'!H:H,Final_UAE!B:B)</f>
        <v/>
      </c>
      <c r="H3104" s="8" t="e">
        <v>#N/A</v>
      </c>
    </row>
    <row r="3105">
      <c r="A3105" s="4" t="n">
        <v>33834</v>
      </c>
      <c r="B3105" s="4" t="inlineStr">
        <is>
          <t>clstmon-eve-prom-p06-sn0350</t>
        </is>
      </c>
      <c r="C3105" s="4" t="inlineStr">
        <is>
          <t>W00031886A</t>
        </is>
      </c>
      <c r="D3105" s="6">
        <f>IF(F3105&gt;=5, F3105-5, IF(F3105&lt;5, 0, F3105))</f>
        <v/>
      </c>
      <c r="E3105">
        <f>VLOOKUP(B3105,[1]Namshi!$A:$B,2,0)</f>
        <v/>
      </c>
      <c r="F3105" s="4">
        <f>SUMIFS('Dubai Stock'!I:I,'Dubai Stock'!H:H,Final_UAE!B:B)</f>
        <v/>
      </c>
      <c r="H3105" s="8" t="n">
        <v>212</v>
      </c>
      <c r="I3105" s="8" t="n">
        <v>111.3</v>
      </c>
    </row>
    <row r="3106">
      <c r="A3106" s="4" t="n">
        <v>33834</v>
      </c>
      <c r="B3106" s="4" t="inlineStr">
        <is>
          <t>clstmon-sof-sl59-p06-sn0450</t>
        </is>
      </c>
      <c r="C3106" s="4" t="inlineStr">
        <is>
          <t>W00031886A</t>
        </is>
      </c>
      <c r="D3106" s="6">
        <f>IF(F3106&gt;=5, F3106-5, IF(F3106&lt;5, 0, F3106))</f>
        <v/>
      </c>
      <c r="E3106">
        <f>VLOOKUP(B3106,[1]Namshi!$A:$B,2,0)</f>
        <v/>
      </c>
      <c r="F3106" s="4">
        <f>SUMIFS('Dubai Stock'!I:I,'Dubai Stock'!H:H,Final_UAE!B:B)</f>
        <v/>
      </c>
      <c r="H3106" s="8" t="e">
        <v>#N/A</v>
      </c>
      <c r="I3106" s="8" t="n"/>
    </row>
    <row r="3107">
      <c r="A3107" s="4" t="n">
        <v>33834</v>
      </c>
      <c r="B3107" s="4" t="inlineStr">
        <is>
          <t>sacchan-30s-inu-gold</t>
        </is>
      </c>
      <c r="C3107" s="4" t="inlineStr">
        <is>
          <t>W00031886A</t>
        </is>
      </c>
      <c r="D3107" s="6">
        <f>IF(F3107&gt;=5, F3107-5, IF(F3107&lt;5, 0, F3107))</f>
        <v/>
      </c>
      <c r="E3107">
        <f>VLOOKUP(B3107,[1]Namshi!$A:$B,2,0)</f>
        <v/>
      </c>
      <c r="F3107" s="4">
        <f>SUMIFS('Dubai Stock'!I:I,'Dubai Stock'!H:H,Final_UAE!B:B)</f>
        <v/>
      </c>
      <c r="H3107" s="8" t="e">
        <v>#N/A</v>
      </c>
      <c r="I3107" s="8" t="n"/>
    </row>
    <row r="3108">
      <c r="A3108" s="4" t="n">
        <v>33834</v>
      </c>
      <c r="B3108" s="4" t="inlineStr">
        <is>
          <t>ru40118-spc-000850-0118-49-sp0300</t>
        </is>
      </c>
      <c r="C3108" s="4" t="inlineStr">
        <is>
          <t>W00031886A</t>
        </is>
      </c>
      <c r="D3108" s="6">
        <f>IF(F3108&gt;=5, F3108-5, IF(F3108&lt;5, 0, F3108))</f>
        <v/>
      </c>
      <c r="E3108">
        <f>VLOOKUP(B3108,[1]Namshi!$A:$B,2,0)</f>
        <v/>
      </c>
      <c r="F3108" s="4">
        <f>SUMIFS('Dubai Stock'!I:I,'Dubai Stock'!H:H,Final_UAE!B:B)</f>
        <v/>
      </c>
      <c r="H3108" s="8" t="e">
        <v>#N/A</v>
      </c>
      <c r="I3108" s="8" t="n"/>
    </row>
    <row r="3109">
      <c r="A3109" s="4" t="n">
        <v>33834</v>
      </c>
      <c r="B3109" s="4" t="inlineStr">
        <is>
          <t>sc50207-bab-000503-0207-46</t>
        </is>
      </c>
      <c r="C3109" s="4" t="inlineStr">
        <is>
          <t>W00031886A</t>
        </is>
      </c>
      <c r="D3109" s="6">
        <f>IF(F3109&gt;=5, F3109-5, IF(F3109&lt;5, 0, F3109))</f>
        <v/>
      </c>
      <c r="E3109">
        <f>VLOOKUP(B3109,[1]Namshi!$A:$B,2,0)</f>
        <v/>
      </c>
      <c r="F3109" s="4">
        <f>SUMIFS('Dubai Stock'!I:I,'Dubai Stock'!H:H,Final_UAE!B:B)</f>
        <v/>
      </c>
      <c r="H3109" s="8" t="e">
        <v>#N/A</v>
      </c>
    </row>
    <row r="3110">
      <c r="A3110" s="4" t="n">
        <v>33834</v>
      </c>
      <c r="B3110" s="4" t="inlineStr">
        <is>
          <t>costmon-ama-lens-p02-crocodile-green-sn0150</t>
        </is>
      </c>
      <c r="C3110" s="4" t="inlineStr">
        <is>
          <t>W00031886A</t>
        </is>
      </c>
      <c r="D3110" s="6">
        <f>IF(F3110&gt;=5, F3110-5, IF(F3110&lt;5, 0, F3110))</f>
        <v/>
      </c>
      <c r="E3110">
        <f>VLOOKUP(B3110,[1]Namshi!$A:$B,2,0)</f>
        <v/>
      </c>
      <c r="F3110" s="4">
        <f>SUMIFS('Dubai Stock'!I:I,'Dubai Stock'!H:H,Final_UAE!B:B)</f>
        <v/>
      </c>
      <c r="H3110" s="8" t="e">
        <v>#N/A</v>
      </c>
      <c r="I3110" s="8" t="n"/>
    </row>
    <row r="3111">
      <c r="A3111" s="4" t="n">
        <v>33834</v>
      </c>
      <c r="B3111" s="4" t="inlineStr">
        <is>
          <t>clstdai-lay-cont-p10-dazzle-brown-sn0900</t>
        </is>
      </c>
      <c r="C3111" s="4" t="inlineStr">
        <is>
          <t>W00031886A</t>
        </is>
      </c>
      <c r="D3111" s="6">
        <f>IF(F3111&gt;=5, F3111-5, IF(F3111&lt;5, 0, F3111))</f>
        <v/>
      </c>
      <c r="E3111">
        <f>VLOOKUP(B3111,[1]Namshi!$A:$B,2,0)</f>
        <v/>
      </c>
      <c r="F3111" s="4">
        <f>SUMIFS('Dubai Stock'!I:I,'Dubai Stock'!H:H,Final_UAE!B:B)</f>
        <v/>
      </c>
      <c r="H3111" s="8" t="e">
        <v>#N/A</v>
      </c>
      <c r="I3111" s="8" t="n"/>
    </row>
    <row r="3112">
      <c r="A3112" s="4" t="n">
        <v>33834</v>
      </c>
      <c r="B3112" s="4" t="inlineStr">
        <is>
          <t>costdai-acu-dffr-p30-grayzel-sn0350</t>
        </is>
      </c>
      <c r="C3112" s="4" t="inlineStr">
        <is>
          <t>W00031886A</t>
        </is>
      </c>
      <c r="D3112" s="6">
        <f>IF(F3112&gt;=5, F3112-5, IF(F3112&lt;5, 0, F3112))</f>
        <v/>
      </c>
      <c r="E3112">
        <f>VLOOKUP(B3112,[1]Namshi!$A:$B,2,0)</f>
        <v/>
      </c>
      <c r="F3112" s="4">
        <f>SUMIFS('Dubai Stock'!I:I,'Dubai Stock'!H:H,Final_UAE!B:B)</f>
        <v/>
      </c>
      <c r="H3112" s="8" t="e">
        <v>#N/A</v>
      </c>
      <c r="I3112" s="8" t="n"/>
    </row>
    <row r="3113">
      <c r="A3113" s="4" t="n">
        <v>33834</v>
      </c>
      <c r="B3113" s="4" t="inlineStr">
        <is>
          <t>costdai-acu-dffr-p10-hazel-sn0800</t>
        </is>
      </c>
      <c r="C3113" s="4" t="inlineStr">
        <is>
          <t>W00031886A</t>
        </is>
      </c>
      <c r="D3113" s="6">
        <f>IF(F3113&gt;=5, F3113-5, IF(F3113&lt;5, 0, F3113))</f>
        <v/>
      </c>
      <c r="E3113">
        <f>VLOOKUP(B3113,[1]Namshi!$A:$B,2,0)</f>
        <v/>
      </c>
      <c r="F3113" s="4">
        <f>SUMIFS('Dubai Stock'!I:I,'Dubai Stock'!H:H,Final_UAE!B:B)</f>
        <v/>
      </c>
      <c r="H3113" s="8" t="e">
        <v>#N/A</v>
      </c>
      <c r="I3113" s="8" t="n"/>
    </row>
    <row r="3114">
      <c r="A3114" s="4" t="n">
        <v>33834</v>
      </c>
      <c r="B3114" s="4" t="inlineStr">
        <is>
          <t>costmon-ama-2024-p02-matcha-sn0475</t>
        </is>
      </c>
      <c r="C3114" s="4" t="inlineStr">
        <is>
          <t>W00031886A</t>
        </is>
      </c>
      <c r="D3114" s="6">
        <f>IF(F3114&gt;=5, F3114-5, IF(F3114&lt;5, 0, F3114))</f>
        <v/>
      </c>
      <c r="E3114">
        <f>VLOOKUP(B3114,[1]Namshi!$A:$B,2,0)</f>
        <v/>
      </c>
      <c r="F3114" s="4">
        <f>SUMIFS('Dubai Stock'!I:I,'Dubai Stock'!H:H,Final_UAE!B:B)</f>
        <v/>
      </c>
      <c r="H3114" s="8" t="e">
        <v>#N/A</v>
      </c>
      <c r="I3114" s="8" t="n"/>
    </row>
    <row r="3115">
      <c r="A3115" s="4" t="n">
        <v>33834</v>
      </c>
      <c r="B3115" s="4" t="inlineStr">
        <is>
          <t>clstdai-eve-elit-p30-sp0325</t>
        </is>
      </c>
      <c r="C3115" s="4" t="inlineStr">
        <is>
          <t>W00031886A</t>
        </is>
      </c>
      <c r="D3115" s="6">
        <f>IF(F3115&gt;=5, F3115-5, IF(F3115&lt;5, 0, F3115))</f>
        <v/>
      </c>
      <c r="E3115">
        <f>VLOOKUP(B3115,[1]Namshi!$A:$B,2,0)</f>
        <v/>
      </c>
      <c r="F3115" s="4">
        <f>SUMIFS('Dubai Stock'!I:I,'Dubai Stock'!H:H,Final_UAE!B:B)</f>
        <v/>
      </c>
      <c r="H3115" s="8" t="n">
        <v>261</v>
      </c>
      <c r="I3115" s="8" t="n">
        <v>146.3</v>
      </c>
    </row>
    <row r="3116">
      <c r="A3116" s="4" t="n">
        <v>33834</v>
      </c>
      <c r="B3116" s="4" t="inlineStr">
        <is>
          <t>sw52304-bla-000103-2704-57</t>
        </is>
      </c>
      <c r="C3116" s="4" t="inlineStr">
        <is>
          <t>W00031886A</t>
        </is>
      </c>
      <c r="D3116" s="6">
        <f>IF(F3116&gt;=5, F3116-5, IF(F3116&lt;5, 0, F3116))</f>
        <v/>
      </c>
      <c r="E3116">
        <f>VLOOKUP(B3116,[1]Namshi!$A:$B,2,0)</f>
        <v/>
      </c>
      <c r="F3116" s="4">
        <f>SUMIFS('Dubai Stock'!I:I,'Dubai Stock'!H:H,Final_UAE!B:B)</f>
        <v/>
      </c>
      <c r="H3116" s="8" t="e">
        <v>#N/A</v>
      </c>
    </row>
    <row r="3117">
      <c r="A3117" s="4" t="n">
        <v>33834</v>
      </c>
      <c r="B3117" s="4" t="inlineStr">
        <is>
          <t>sacchan-30s-chain138-pnk-starla-pink</t>
        </is>
      </c>
      <c r="C3117" s="4" t="inlineStr">
        <is>
          <t>W00031886A</t>
        </is>
      </c>
      <c r="D3117" s="6">
        <f>IF(F3117&gt;=5, F3117-5, IF(F3117&lt;5, 0, F3117))</f>
        <v/>
      </c>
      <c r="E3117">
        <f>VLOOKUP(B3117,[1]Namshi!$A:$B,2,0)</f>
        <v/>
      </c>
      <c r="F3117" s="4">
        <f>SUMIFS('Dubai Stock'!I:I,'Dubai Stock'!H:H,Final_UAE!B:B)</f>
        <v/>
      </c>
      <c r="H3117" s="8" t="e">
        <v>#N/A</v>
      </c>
      <c r="I3117" s="8" t="n"/>
    </row>
    <row r="3118">
      <c r="A3118" s="4" t="n">
        <v>33834</v>
      </c>
      <c r="B3118" s="4" t="inlineStr">
        <is>
          <t>su102904-bla-000278-2904-58</t>
        </is>
      </c>
      <c r="C3118" s="4" t="inlineStr">
        <is>
          <t>W00031886A</t>
        </is>
      </c>
      <c r="D3118" s="6">
        <f>IF(F3118&gt;=5, F3118-5, IF(F3118&lt;5, 0, F3118))</f>
        <v/>
      </c>
      <c r="E3118">
        <f>VLOOKUP(B3118,[1]Namshi!$A:$B,2,0)</f>
        <v/>
      </c>
      <c r="F3118" s="4">
        <f>SUMIFS('Dubai Stock'!I:I,'Dubai Stock'!H:H,Final_UAE!B:B)</f>
        <v/>
      </c>
      <c r="H3118" s="8" t="e">
        <v>#N/A</v>
      </c>
    </row>
    <row r="3119">
      <c r="A3119" s="4" t="n">
        <v>33834</v>
      </c>
      <c r="B3119" s="4" t="inlineStr">
        <is>
          <t>clstbiw-acu-oasy-p06-sn0300</t>
        </is>
      </c>
      <c r="C3119" s="4" t="inlineStr">
        <is>
          <t>W00031886A</t>
        </is>
      </c>
      <c r="D3119" s="6">
        <f>IF(F3119&gt;=5, F3119-5, IF(F3119&lt;5, 0, F3119))</f>
        <v/>
      </c>
      <c r="E3119">
        <f>VLOOKUP(B3119,[1]Namshi!$A:$B,2,0)</f>
        <v/>
      </c>
      <c r="F3119" s="4">
        <f>SUMIFS('Dubai Stock'!I:I,'Dubai Stock'!H:H,Final_UAE!B:B)</f>
        <v/>
      </c>
      <c r="H3119" s="8" t="e">
        <v>#N/A</v>
      </c>
      <c r="I3119" s="8" t="n"/>
    </row>
    <row r="3120">
      <c r="A3120" s="4" t="n">
        <v>33834</v>
      </c>
      <c r="B3120" s="4" t="inlineStr">
        <is>
          <t>clstdai-dai-tot1-p90-sp0225</t>
        </is>
      </c>
      <c r="C3120" s="4" t="inlineStr">
        <is>
          <t>W00031886A</t>
        </is>
      </c>
      <c r="D3120" s="6">
        <f>IF(F3120&gt;=5, F3120-5, IF(F3120&lt;5, 0, F3120))</f>
        <v/>
      </c>
      <c r="E3120">
        <f>VLOOKUP(B3120,[1]Namshi!$A:$B,2,0)</f>
        <v/>
      </c>
      <c r="F3120" s="4">
        <f>SUMIFS('Dubai Stock'!I:I,'Dubai Stock'!H:H,Final_UAE!B:B)</f>
        <v/>
      </c>
      <c r="H3120" s="8" t="e">
        <v>#N/A</v>
      </c>
      <c r="I3120" s="8" t="n"/>
    </row>
    <row r="3121">
      <c r="A3121" s="4" t="n">
        <v>33834</v>
      </c>
      <c r="B3121" s="4" t="inlineStr">
        <is>
          <t>sm51304-30s-000220-1304-55</t>
        </is>
      </c>
      <c r="C3121" s="4" t="inlineStr">
        <is>
          <t>W00031886A</t>
        </is>
      </c>
      <c r="D3121" s="6">
        <f>IF(F3121&gt;=5, F3121-5, IF(F3121&lt;5, 0, F3121))</f>
        <v/>
      </c>
      <c r="E3121">
        <f>VLOOKUP(B3121,[1]Namshi!$A:$B,2,0)</f>
        <v/>
      </c>
      <c r="F3121" s="4">
        <f>SUMIFS('Dubai Stock'!I:I,'Dubai Stock'!H:H,Final_UAE!B:B)</f>
        <v/>
      </c>
      <c r="H3121" s="8" t="e">
        <v>#N/A</v>
      </c>
    </row>
    <row r="3122">
      <c r="A3122" s="4" t="n">
        <v>33834</v>
      </c>
      <c r="B3122" s="4" t="inlineStr">
        <is>
          <t>clstdai-eve-elit-p30-sn1200</t>
        </is>
      </c>
      <c r="C3122" s="4" t="inlineStr">
        <is>
          <t>W00031886A</t>
        </is>
      </c>
      <c r="D3122" s="6">
        <f>IF(F3122&gt;=5, F3122-5, IF(F3122&lt;5, 0, F3122))</f>
        <v/>
      </c>
      <c r="E3122">
        <f>VLOOKUP(B3122,[1]Namshi!$A:$B,2,0)</f>
        <v/>
      </c>
      <c r="F3122" s="4">
        <f>SUMIFS('Dubai Stock'!I:I,'Dubai Stock'!H:H,Final_UAE!B:B)</f>
        <v/>
      </c>
      <c r="H3122" s="8" t="n">
        <v>261</v>
      </c>
      <c r="I3122" s="8" t="n">
        <v>146.3</v>
      </c>
    </row>
    <row r="3123">
      <c r="A3123" s="4" t="n">
        <v>33834</v>
      </c>
      <c r="B3123" s="4" t="inlineStr">
        <is>
          <t>clstdai-acu-oasy-p90-sp0175</t>
        </is>
      </c>
      <c r="C3123" s="4" t="inlineStr">
        <is>
          <t>W00031886A</t>
        </is>
      </c>
      <c r="D3123" s="6">
        <f>IF(F3123&gt;=5, F3123-5, IF(F3123&lt;5, 0, F3123))</f>
        <v/>
      </c>
      <c r="E3123">
        <f>VLOOKUP(B3123,[1]Namshi!$A:$B,2,0)</f>
        <v/>
      </c>
      <c r="F3123" s="4">
        <f>SUMIFS('Dubai Stock'!I:I,'Dubai Stock'!H:H,Final_UAE!B:B)</f>
        <v/>
      </c>
      <c r="H3123" s="8" t="e">
        <v>#N/A</v>
      </c>
      <c r="I3123" s="8" t="n"/>
    </row>
    <row r="3124">
      <c r="A3124" s="4" t="n">
        <v>33834</v>
      </c>
      <c r="B3124" s="4" t="inlineStr">
        <is>
          <t>costdai-acu-dffr-p10-green-sn0250</t>
        </is>
      </c>
      <c r="C3124" s="4" t="inlineStr">
        <is>
          <t>W00031886A</t>
        </is>
      </c>
      <c r="D3124" s="6">
        <f>IF(F3124&gt;=5, F3124-5, IF(F3124&lt;5, 0, F3124))</f>
        <v/>
      </c>
      <c r="E3124">
        <f>VLOOKUP(B3124,[1]Namshi!$A:$B,2,0)</f>
        <v/>
      </c>
      <c r="F3124" s="4">
        <f>SUMIFS('Dubai Stock'!I:I,'Dubai Stock'!H:H,Final_UAE!B:B)</f>
        <v/>
      </c>
      <c r="H3124" s="8" t="e">
        <v>#N/A</v>
      </c>
      <c r="I3124" s="8" t="n"/>
    </row>
    <row r="3125">
      <c r="A3125" s="4" t="n">
        <v>33834</v>
      </c>
      <c r="B3125" s="4" t="inlineStr">
        <is>
          <t>clstdai-lay-cont-p60-dazzle-black-sn0650</t>
        </is>
      </c>
      <c r="C3125" s="4" t="inlineStr">
        <is>
          <t>W00031886A</t>
        </is>
      </c>
      <c r="D3125" s="6">
        <f>IF(F3125&gt;=5, F3125-5, IF(F3125&lt;5, 0, F3125))</f>
        <v/>
      </c>
      <c r="E3125">
        <f>VLOOKUP(B3125,[1]Namshi!$A:$B,2,0)</f>
        <v/>
      </c>
      <c r="F3125" s="4">
        <f>SUMIFS('Dubai Stock'!I:I,'Dubai Stock'!H:H,Final_UAE!B:B)</f>
        <v/>
      </c>
      <c r="H3125" s="8" t="e">
        <v>#N/A</v>
      </c>
      <c r="I3125" s="8" t="n"/>
    </row>
    <row r="3126">
      <c r="A3126" s="4" t="n">
        <v>33834</v>
      </c>
      <c r="B3126" s="4" t="inlineStr">
        <is>
          <t>cost3mo-lay-2023-p02-selene-green-sn0175</t>
        </is>
      </c>
      <c r="C3126" s="4" t="inlineStr">
        <is>
          <t>W00031886A</t>
        </is>
      </c>
      <c r="D3126" s="6">
        <f>IF(F3126&gt;=5, F3126-5, IF(F3126&lt;5, 0, F3126))</f>
        <v/>
      </c>
      <c r="E3126">
        <f>VLOOKUP(B3126,[1]Namshi!$A:$B,2,0)</f>
        <v/>
      </c>
      <c r="F3126" s="4">
        <f>SUMIFS('Dubai Stock'!I:I,'Dubai Stock'!H:H,Final_UAE!B:B)</f>
        <v/>
      </c>
      <c r="H3126" s="8" t="e">
        <v>#N/A</v>
      </c>
      <c r="I3126" s="8" t="n"/>
    </row>
    <row r="3127">
      <c r="A3127" s="4" t="n">
        <v>33834</v>
      </c>
      <c r="B3127" s="4" t="inlineStr">
        <is>
          <t>sw52906-bla-000226-2906-57</t>
        </is>
      </c>
      <c r="C3127" s="4" t="inlineStr">
        <is>
          <t>W00031886A</t>
        </is>
      </c>
      <c r="D3127" s="6">
        <f>IF(F3127&gt;=5, F3127-5, IF(F3127&lt;5, 0, F3127))</f>
        <v/>
      </c>
      <c r="E3127">
        <f>VLOOKUP(B3127,[1]Namshi!$A:$B,2,0)</f>
        <v/>
      </c>
      <c r="F3127" s="4">
        <f>SUMIFS('Dubai Stock'!I:I,'Dubai Stock'!H:H,Final_UAE!B:B)</f>
        <v/>
      </c>
      <c r="H3127" s="8" t="e">
        <v>#N/A</v>
      </c>
    </row>
    <row r="3128">
      <c r="A3128" s="4" t="n">
        <v>33834</v>
      </c>
      <c r="B3128" s="4" t="inlineStr">
        <is>
          <t>ru40718-spc-00929-0718-53-sp0100</t>
        </is>
      </c>
      <c r="C3128" s="4" t="inlineStr">
        <is>
          <t>W00031886A</t>
        </is>
      </c>
      <c r="D3128" s="6">
        <f>IF(F3128&gt;=5, F3128-5, IF(F3128&lt;5, 0, F3128))</f>
        <v/>
      </c>
      <c r="E3128">
        <f>VLOOKUP(B3128,[1]Namshi!$A:$B,2,0)</f>
        <v/>
      </c>
      <c r="F3128" s="4">
        <f>SUMIFS('Dubai Stock'!I:I,'Dubai Stock'!H:H,Final_UAE!B:B)</f>
        <v/>
      </c>
      <c r="H3128" s="8" t="e">
        <v>#N/A</v>
      </c>
      <c r="I3128" s="8" t="n"/>
    </row>
    <row r="3129">
      <c r="A3129" s="4" t="n">
        <v>33834</v>
      </c>
      <c r="B3129" s="4" t="inlineStr">
        <is>
          <t>sm40107-30s-00416-0107p-54</t>
        </is>
      </c>
      <c r="C3129" s="4" t="inlineStr">
        <is>
          <t>W00031886A</t>
        </is>
      </c>
      <c r="D3129" s="6">
        <f>IF(F3129&gt;=5, F3129-5, IF(F3129&lt;5, 0, F3129))</f>
        <v/>
      </c>
      <c r="E3129">
        <f>VLOOKUP(B3129,[1]Namshi!$A:$B,2,0)</f>
        <v/>
      </c>
      <c r="F3129" s="4">
        <f>SUMIFS('Dubai Stock'!I:I,'Dubai Stock'!H:H,Final_UAE!B:B)</f>
        <v/>
      </c>
      <c r="H3129" s="8" t="e">
        <v>#N/A</v>
      </c>
    </row>
    <row r="3130">
      <c r="A3130" s="4" t="n">
        <v>33834</v>
      </c>
      <c r="B3130" s="4" t="inlineStr">
        <is>
          <t>clstmon-pur-visi-p06-sp0500</t>
        </is>
      </c>
      <c r="C3130" s="4" t="inlineStr">
        <is>
          <t>W00031886A</t>
        </is>
      </c>
      <c r="D3130" s="6">
        <f>IF(F3130&gt;=5, F3130-5, IF(F3130&lt;5, 0, F3130))</f>
        <v/>
      </c>
      <c r="E3130">
        <f>VLOOKUP(B3130,[1]Namshi!$A:$B,2,0)</f>
        <v/>
      </c>
      <c r="F3130" s="4">
        <f>SUMIFS('Dubai Stock'!I:I,'Dubai Stock'!H:H,Final_UAE!B:B)</f>
        <v/>
      </c>
      <c r="H3130" s="8" t="e">
        <v>#N/A</v>
      </c>
      <c r="I3130" s="8" t="n"/>
    </row>
    <row r="3131">
      <c r="A3131" s="4" t="n">
        <v>33834</v>
      </c>
      <c r="B3131" s="4" t="inlineStr">
        <is>
          <t>clstdai-acu-omax-p90-sp0525</t>
        </is>
      </c>
      <c r="C3131" s="4" t="inlineStr">
        <is>
          <t>W00031886A</t>
        </is>
      </c>
      <c r="D3131" s="6">
        <f>IF(F3131&gt;=5, F3131-5, IF(F3131&lt;5, 0, F3131))</f>
        <v/>
      </c>
      <c r="E3131">
        <f>VLOOKUP(B3131,[1]Namshi!$A:$B,2,0)</f>
        <v/>
      </c>
      <c r="F3131" s="4">
        <f>SUMIFS('Dubai Stock'!I:I,'Dubai Stock'!H:H,Final_UAE!B:B)</f>
        <v/>
      </c>
      <c r="H3131" s="8" t="e">
        <v>#N/A</v>
      </c>
      <c r="I3131" s="8" t="n"/>
    </row>
    <row r="3132">
      <c r="A3132" s="4" t="n">
        <v>33834</v>
      </c>
      <c r="B3132" s="4" t="inlineStr">
        <is>
          <t>clstdai-eve-elit-p30-sn0075</t>
        </is>
      </c>
      <c r="C3132" s="4" t="inlineStr">
        <is>
          <t>W00031886A</t>
        </is>
      </c>
      <c r="D3132" s="6">
        <f>IF(F3132&gt;=5, F3132-5, IF(F3132&lt;5, 0, F3132))</f>
        <v/>
      </c>
      <c r="E3132">
        <f>VLOOKUP(B3132,[1]Namshi!$A:$B,2,0)</f>
        <v/>
      </c>
      <c r="F3132" s="4">
        <f>SUMIFS('Dubai Stock'!I:I,'Dubai Stock'!H:H,Final_UAE!B:B)</f>
        <v/>
      </c>
      <c r="H3132" s="8" t="n">
        <v>261</v>
      </c>
      <c r="I3132" s="8" t="n">
        <v>146.3</v>
      </c>
    </row>
    <row r="3133">
      <c r="A3133" s="4" t="n">
        <v>33834</v>
      </c>
      <c r="B3133" s="4" t="inlineStr">
        <is>
          <t>clstdai-acu-dfvi-p90-sn0375</t>
        </is>
      </c>
      <c r="C3133" s="4" t="inlineStr">
        <is>
          <t>W00031886A</t>
        </is>
      </c>
      <c r="D3133" s="6">
        <f>IF(F3133&gt;=5, F3133-5, IF(F3133&lt;5, 0, F3133))</f>
        <v/>
      </c>
      <c r="E3133">
        <f>VLOOKUP(B3133,[1]Namshi!$A:$B,2,0)</f>
        <v/>
      </c>
      <c r="F3133" s="4">
        <f>SUMIFS('Dubai Stock'!I:I,'Dubai Stock'!H:H,Final_UAE!B:B)</f>
        <v/>
      </c>
      <c r="H3133" s="8" t="e">
        <v>#N/A</v>
      </c>
      <c r="I3133" s="8" t="n"/>
    </row>
    <row r="3134">
      <c r="A3134" s="4" t="n">
        <v>33834</v>
      </c>
      <c r="B3134" s="4" t="inlineStr">
        <is>
          <t>sm50102-30s-000221-1302-52</t>
        </is>
      </c>
      <c r="C3134" s="4" t="inlineStr">
        <is>
          <t>W00031886A</t>
        </is>
      </c>
      <c r="D3134" s="6">
        <f>IF(F3134&gt;=5, F3134-5, IF(F3134&lt;5, 0, F3134))</f>
        <v/>
      </c>
      <c r="E3134">
        <f>VLOOKUP(B3134,[1]Namshi!$A:$B,2,0)</f>
        <v/>
      </c>
      <c r="F3134" s="4">
        <f>SUMIFS('Dubai Stock'!I:I,'Dubai Stock'!H:H,Final_UAE!B:B)</f>
        <v/>
      </c>
      <c r="H3134" s="8" t="e">
        <v>#N/A</v>
      </c>
    </row>
    <row r="3135">
      <c r="A3135" s="4" t="n">
        <v>33834</v>
      </c>
      <c r="B3135" s="4" t="inlineStr">
        <is>
          <t>cost3mo-lay-2021-p02-willow-green-sn0375</t>
        </is>
      </c>
      <c r="C3135" s="4" t="inlineStr">
        <is>
          <t>W00031886A</t>
        </is>
      </c>
      <c r="D3135" s="6">
        <f>IF(F3135&gt;=5, F3135-5, IF(F3135&lt;5, 0, F3135))</f>
        <v/>
      </c>
      <c r="E3135">
        <f>VLOOKUP(B3135,[1]Namshi!$A:$B,2,0)</f>
        <v/>
      </c>
      <c r="F3135" s="4">
        <f>SUMIFS('Dubai Stock'!I:I,'Dubai Stock'!H:H,Final_UAE!B:B)</f>
        <v/>
      </c>
      <c r="H3135" s="8" t="e">
        <v>#N/A</v>
      </c>
      <c r="I3135" s="8" t="n"/>
    </row>
    <row r="3136">
      <c r="A3136" s="4" t="n">
        <v>33834</v>
      </c>
      <c r="B3136" s="4" t="inlineStr">
        <is>
          <t>sacchan-30s-inu-rose-gold</t>
        </is>
      </c>
      <c r="C3136" s="4" t="inlineStr">
        <is>
          <t>W00031886A</t>
        </is>
      </c>
      <c r="D3136" s="6">
        <f>IF(F3136&gt;=5, F3136-5, IF(F3136&lt;5, 0, F3136))</f>
        <v/>
      </c>
      <c r="E3136">
        <f>VLOOKUP(B3136,[1]Namshi!$A:$B,2,0)</f>
        <v/>
      </c>
      <c r="F3136" s="4">
        <f>SUMIFS('Dubai Stock'!I:I,'Dubai Stock'!H:H,Final_UAE!B:B)</f>
        <v/>
      </c>
      <c r="H3136" s="8" t="e">
        <v>#N/A</v>
      </c>
      <c r="I3136" s="8" t="n"/>
    </row>
    <row r="3137">
      <c r="A3137" s="4" t="n">
        <v>33834</v>
      </c>
      <c r="B3137" s="4" t="inlineStr">
        <is>
          <t>cost3mo-lay-2021-p02-stardust-gray-sn0075</t>
        </is>
      </c>
      <c r="C3137" s="4" t="inlineStr">
        <is>
          <t>W00031886A</t>
        </is>
      </c>
      <c r="D3137" s="6">
        <f>IF(F3137&gt;=5, F3137-5, IF(F3137&lt;5, 0, F3137))</f>
        <v/>
      </c>
      <c r="E3137">
        <f>VLOOKUP(B3137,[1]Namshi!$A:$B,2,0)</f>
        <v/>
      </c>
      <c r="F3137" s="4">
        <f>SUMIFS('Dubai Stock'!I:I,'Dubai Stock'!H:H,Final_UAE!B:B)</f>
        <v/>
      </c>
      <c r="H3137" s="8" t="e">
        <v>#N/A</v>
      </c>
      <c r="I3137" s="8" t="n"/>
    </row>
    <row r="3138">
      <c r="A3138" s="4" t="n">
        <v>33834</v>
      </c>
      <c r="B3138" s="4" t="inlineStr">
        <is>
          <t>sw22306-30s-000112-2306-50</t>
        </is>
      </c>
      <c r="C3138" s="4" t="inlineStr">
        <is>
          <t>W00031886A</t>
        </is>
      </c>
      <c r="D3138" s="6">
        <f>IF(F3138&gt;=5, F3138-5, IF(F3138&lt;5, 0, F3138))</f>
        <v/>
      </c>
      <c r="E3138">
        <f>VLOOKUP(B3138,[1]Namshi!$A:$B,2,0)</f>
        <v/>
      </c>
      <c r="F3138" s="4">
        <f>SUMIFS('Dubai Stock'!I:I,'Dubai Stock'!H:H,Final_UAE!B:B)</f>
        <v/>
      </c>
      <c r="H3138" s="8" t="e">
        <v>#N/A</v>
      </c>
    </row>
    <row r="3139">
      <c r="A3139" s="4" t="n">
        <v>33834</v>
      </c>
      <c r="B3139" s="4" t="inlineStr">
        <is>
          <t>costdai-ama-dail-p10-sugar-sn0250</t>
        </is>
      </c>
      <c r="C3139" s="4" t="inlineStr">
        <is>
          <t>W00031886A</t>
        </is>
      </c>
      <c r="D3139" s="6">
        <f>IF(F3139&gt;=5, F3139-5, IF(F3139&lt;5, 0, F3139))</f>
        <v/>
      </c>
      <c r="E3139">
        <f>VLOOKUP(B3139,[1]Namshi!$A:$B,2,0)</f>
        <v/>
      </c>
      <c r="F3139" s="4">
        <f>SUMIFS('Dubai Stock'!I:I,'Dubai Stock'!H:H,Final_UAE!B:B)</f>
        <v/>
      </c>
      <c r="H3139" s="8" t="e">
        <v>#N/A</v>
      </c>
      <c r="I3139" s="8" t="n"/>
    </row>
    <row r="3140">
      <c r="A3140" s="4" t="n">
        <v>33834</v>
      </c>
      <c r="B3140" s="4" t="inlineStr">
        <is>
          <t>clstdai-dai-aqua-p90-sp0800</t>
        </is>
      </c>
      <c r="C3140" s="4" t="inlineStr">
        <is>
          <t>W00031886A</t>
        </is>
      </c>
      <c r="D3140" s="6">
        <f>IF(F3140&gt;=5, F3140-5, IF(F3140&lt;5, 0, F3140))</f>
        <v/>
      </c>
      <c r="E3140">
        <f>VLOOKUP(B3140,[1]Namshi!$A:$B,2,0)</f>
        <v/>
      </c>
      <c r="F3140" s="4">
        <f>SUMIFS('Dubai Stock'!I:I,'Dubai Stock'!H:H,Final_UAE!B:B)</f>
        <v/>
      </c>
      <c r="H3140" s="8" t="e">
        <v>#N/A</v>
      </c>
      <c r="I3140" s="8" t="n"/>
    </row>
    <row r="3141">
      <c r="A3141" s="4" t="n">
        <v>33834</v>
      </c>
      <c r="B3141" s="4" t="inlineStr">
        <is>
          <t>cost3mo-lay-lens-p02-forest-green-sn0350</t>
        </is>
      </c>
      <c r="C3141" s="4" t="inlineStr">
        <is>
          <t>W00031886A</t>
        </is>
      </c>
      <c r="D3141" s="6">
        <f>IF(F3141&gt;=5, F3141-5, IF(F3141&lt;5, 0, F3141))</f>
        <v/>
      </c>
      <c r="E3141">
        <f>VLOOKUP(B3141,[1]Namshi!$A:$B,2,0)</f>
        <v/>
      </c>
      <c r="F3141" s="4">
        <f>SUMIFS('Dubai Stock'!I:I,'Dubai Stock'!H:H,Final_UAE!B:B)</f>
        <v/>
      </c>
      <c r="H3141" s="8" t="e">
        <v>#N/A</v>
      </c>
      <c r="I3141" s="8" t="n"/>
    </row>
    <row r="3142">
      <c r="A3142" s="4" t="n">
        <v>33834</v>
      </c>
      <c r="B3142" s="4" t="inlineStr">
        <is>
          <t>clstdai-acu-mois-p60-sn1050</t>
        </is>
      </c>
      <c r="C3142" s="4" t="inlineStr">
        <is>
          <t>W00031886A</t>
        </is>
      </c>
      <c r="D3142" s="6">
        <f>IF(F3142&gt;=5, F3142-5, IF(F3142&lt;5, 0, F3142))</f>
        <v/>
      </c>
      <c r="E3142">
        <f>VLOOKUP(B3142,[1]Namshi!$A:$B,2,0)</f>
        <v/>
      </c>
      <c r="F3142" s="4">
        <f>SUMIFS('Dubai Stock'!I:I,'Dubai Stock'!H:H,Final_UAE!B:B)</f>
        <v/>
      </c>
      <c r="H3142" s="8" t="e">
        <v>#N/A</v>
      </c>
      <c r="I3142" s="8" t="n"/>
    </row>
    <row r="3143">
      <c r="A3143" s="4" t="n">
        <v>33834</v>
      </c>
      <c r="B3143" s="4" t="inlineStr">
        <is>
          <t>clstdai-sof-sdai-p90-sn0250</t>
        </is>
      </c>
      <c r="C3143" s="4" t="inlineStr">
        <is>
          <t>W00031886A</t>
        </is>
      </c>
      <c r="D3143" s="6">
        <f>IF(F3143&gt;=5, F3143-5, IF(F3143&lt;5, 0, F3143))</f>
        <v/>
      </c>
      <c r="E3143">
        <f>VLOOKUP(B3143,[1]Namshi!$A:$B,2,0)</f>
        <v/>
      </c>
      <c r="F3143" s="4">
        <f>SUMIFS('Dubai Stock'!I:I,'Dubai Stock'!H:H,Final_UAE!B:B)</f>
        <v/>
      </c>
      <c r="H3143" s="8" t="e">
        <v>#N/A</v>
      </c>
      <c r="I3143" s="8" t="n"/>
    </row>
    <row r="3144">
      <c r="A3144" s="4" t="n">
        <v>33834</v>
      </c>
      <c r="B3144" s="4" t="inlineStr">
        <is>
          <t>cost3mo-lay-2023-p02-sable-brown-sn0100</t>
        </is>
      </c>
      <c r="C3144" s="4" t="inlineStr">
        <is>
          <t>W00031886A</t>
        </is>
      </c>
      <c r="D3144" s="6">
        <f>IF(F3144&gt;=5, F3144-5, IF(F3144&lt;5, 0, F3144))</f>
        <v/>
      </c>
      <c r="E3144">
        <f>VLOOKUP(B3144,[1]Namshi!$A:$B,2,0)</f>
        <v/>
      </c>
      <c r="F3144" s="4">
        <f>SUMIFS('Dubai Stock'!I:I,'Dubai Stock'!H:H,Final_UAE!B:B)</f>
        <v/>
      </c>
      <c r="H3144" s="8" t="e">
        <v>#N/A</v>
      </c>
      <c r="I3144" s="8" t="n"/>
    </row>
    <row r="3145">
      <c r="A3145" s="4" t="n">
        <v>33834</v>
      </c>
      <c r="B3145" s="4" t="inlineStr">
        <is>
          <t>clstdai-acu-oasy-p30-sp0800</t>
        </is>
      </c>
      <c r="C3145" s="4" t="inlineStr">
        <is>
          <t>W00031886A</t>
        </is>
      </c>
      <c r="D3145" s="6">
        <f>IF(F3145&gt;=5, F3145-5, IF(F3145&lt;5, 0, F3145))</f>
        <v/>
      </c>
      <c r="E3145">
        <f>VLOOKUP(B3145,[1]Namshi!$A:$B,2,0)</f>
        <v/>
      </c>
      <c r="F3145" s="4">
        <f>SUMIFS('Dubai Stock'!I:I,'Dubai Stock'!H:H,Final_UAE!B:B)</f>
        <v/>
      </c>
      <c r="H3145" s="8" t="e">
        <v>#N/A</v>
      </c>
      <c r="I3145" s="8" t="n"/>
    </row>
    <row r="3146">
      <c r="A3146" s="4" t="n">
        <v>33834</v>
      </c>
      <c r="B3146" s="4" t="inlineStr">
        <is>
          <t>clstbiw-acu-0002-p06-sp0100</t>
        </is>
      </c>
      <c r="C3146" s="4" t="inlineStr">
        <is>
          <t>W00031886A</t>
        </is>
      </c>
      <c r="D3146" s="6">
        <f>IF(F3146&gt;=5, F3146-5, IF(F3146&lt;5, 0, F3146))</f>
        <v/>
      </c>
      <c r="E3146">
        <f>VLOOKUP(B3146,[1]Namshi!$A:$B,2,0)</f>
        <v/>
      </c>
      <c r="F3146" s="4">
        <f>SUMIFS('Dubai Stock'!I:I,'Dubai Stock'!H:H,Final_UAE!B:B)</f>
        <v/>
      </c>
      <c r="H3146" s="8" t="e">
        <v>#N/A</v>
      </c>
      <c r="I3146" s="8" t="n"/>
    </row>
    <row r="3147">
      <c r="A3147" s="4" t="n">
        <v>33834</v>
      </c>
      <c r="B3147" s="4" t="inlineStr">
        <is>
          <t>clstdai-dai-tot1-p30-sp0075</t>
        </is>
      </c>
      <c r="C3147" s="4" t="inlineStr">
        <is>
          <t>W00031886A</t>
        </is>
      </c>
      <c r="D3147" s="6">
        <f>IF(F3147&gt;=5, F3147-5, IF(F3147&lt;5, 0, F3147))</f>
        <v/>
      </c>
      <c r="E3147">
        <f>VLOOKUP(B3147,[1]Namshi!$A:$B,2,0)</f>
        <v/>
      </c>
      <c r="F3147" s="4">
        <f>SUMIFS('Dubai Stock'!I:I,'Dubai Stock'!H:H,Final_UAE!B:B)</f>
        <v/>
      </c>
      <c r="H3147" s="8" t="e">
        <v>#N/A</v>
      </c>
      <c r="I3147" s="8" t="n"/>
    </row>
    <row r="3148">
      <c r="A3148" s="4" t="n">
        <v>33834</v>
      </c>
      <c r="B3148" s="4" t="inlineStr">
        <is>
          <t>clstdai-btr-oned-p30-sn0475</t>
        </is>
      </c>
      <c r="C3148" s="4" t="inlineStr">
        <is>
          <t>W00031886A</t>
        </is>
      </c>
      <c r="D3148" s="6">
        <f>IF(F3148&gt;=5, F3148-5, IF(F3148&lt;5, 0, F3148))</f>
        <v/>
      </c>
      <c r="E3148">
        <f>VLOOKUP(B3148,[1]Namshi!$A:$B,2,0)</f>
        <v/>
      </c>
      <c r="F3148" s="4">
        <f>SUMIFS('Dubai Stock'!I:I,'Dubai Stock'!H:H,Final_UAE!B:B)</f>
        <v/>
      </c>
      <c r="H3148" s="8" t="e">
        <v>#N/A</v>
      </c>
      <c r="I3148" s="8" t="n"/>
    </row>
    <row r="3149">
      <c r="A3149" s="4" t="n">
        <v>33834</v>
      </c>
      <c r="B3149" s="4" t="inlineStr">
        <is>
          <t>sw30107-bla-000308-0107-61</t>
        </is>
      </c>
      <c r="C3149" s="4" t="inlineStr">
        <is>
          <t>W00031886A</t>
        </is>
      </c>
      <c r="D3149" s="6">
        <f>IF(F3149&gt;=5, F3149-5, IF(F3149&lt;5, 0, F3149))</f>
        <v/>
      </c>
      <c r="E3149">
        <f>VLOOKUP(B3149,[1]Namshi!$A:$B,2,0)</f>
        <v/>
      </c>
      <c r="F3149" s="4">
        <f>SUMIFS('Dubai Stock'!I:I,'Dubai Stock'!H:H,Final_UAE!B:B)</f>
        <v/>
      </c>
      <c r="H3149" s="8" t="e">
        <v>#N/A</v>
      </c>
    </row>
    <row r="3150">
      <c r="A3150" s="4" t="n">
        <v>33834</v>
      </c>
      <c r="B3150" s="4" t="inlineStr">
        <is>
          <t>cost3mo-lay-lens-p02-platinum-gray-sn0100</t>
        </is>
      </c>
      <c r="C3150" s="4" t="inlineStr">
        <is>
          <t>W00031886A</t>
        </is>
      </c>
      <c r="D3150" s="6">
        <f>IF(F3150&gt;=5, F3150-5, IF(F3150&lt;5, 0, F3150))</f>
        <v/>
      </c>
      <c r="E3150">
        <f>VLOOKUP(B3150,[1]Namshi!$A:$B,2,0)</f>
        <v/>
      </c>
      <c r="F3150" s="4">
        <f>SUMIFS('Dubai Stock'!I:I,'Dubai Stock'!H:H,Final_UAE!B:B)</f>
        <v/>
      </c>
      <c r="H3150" s="8" t="e">
        <v>#N/A</v>
      </c>
      <c r="I3150" s="8" t="n"/>
    </row>
    <row r="3151">
      <c r="A3151" s="4" t="n">
        <v>33834</v>
      </c>
      <c r="B3151" s="4" t="inlineStr">
        <is>
          <t>sw40404-bla-000341-0404-55</t>
        </is>
      </c>
      <c r="C3151" s="4" t="inlineStr">
        <is>
          <t>W00031886A</t>
        </is>
      </c>
      <c r="D3151" s="6">
        <f>IF(F3151&gt;=5, F3151-5, IF(F3151&lt;5, 0, F3151))</f>
        <v/>
      </c>
      <c r="E3151">
        <f>VLOOKUP(B3151,[1]Namshi!$A:$B,2,0)</f>
        <v/>
      </c>
      <c r="F3151" s="4">
        <f>SUMIFS('Dubai Stock'!I:I,'Dubai Stock'!H:H,Final_UAE!B:B)</f>
        <v/>
      </c>
      <c r="H3151" s="8" t="e">
        <v>#N/A</v>
      </c>
    </row>
    <row r="3152">
      <c r="A3152" s="4" t="n">
        <v>33834</v>
      </c>
      <c r="B3152" s="4" t="inlineStr">
        <is>
          <t>sc21306-bab-000501-1306-46</t>
        </is>
      </c>
      <c r="C3152" s="4" t="inlineStr">
        <is>
          <t>W00031886A</t>
        </is>
      </c>
      <c r="D3152" s="6">
        <f>IF(F3152&gt;=5, F3152-5, IF(F3152&lt;5, 0, F3152))</f>
        <v/>
      </c>
      <c r="E3152">
        <f>VLOOKUP(B3152,[1]Namshi!$A:$B,2,0)</f>
        <v/>
      </c>
      <c r="F3152" s="4">
        <f>SUMIFS('Dubai Stock'!I:I,'Dubai Stock'!H:H,Final_UAE!B:B)</f>
        <v/>
      </c>
      <c r="H3152" s="8" t="e">
        <v>#N/A</v>
      </c>
    </row>
    <row r="3153">
      <c r="A3153" s="4" t="n">
        <v>33834</v>
      </c>
      <c r="B3153" s="4" t="inlineStr">
        <is>
          <t>clstdai-acu-dfna-p60-sn0500</t>
        </is>
      </c>
      <c r="C3153" s="4" t="inlineStr">
        <is>
          <t>W00031886A</t>
        </is>
      </c>
      <c r="D3153" s="6">
        <f>IF(F3153&gt;=5, F3153-5, IF(F3153&lt;5, 0, F3153))</f>
        <v/>
      </c>
      <c r="E3153">
        <f>VLOOKUP(B3153,[1]Namshi!$A:$B,2,0)</f>
        <v/>
      </c>
      <c r="F3153" s="4">
        <f>SUMIFS('Dubai Stock'!I:I,'Dubai Stock'!H:H,Final_UAE!B:B)</f>
        <v/>
      </c>
      <c r="H3153" s="8" t="e">
        <v>#N/A</v>
      </c>
      <c r="I3153" s="8" t="n"/>
    </row>
    <row r="3154">
      <c r="A3154" s="4" t="n">
        <v>33834</v>
      </c>
      <c r="B3154" s="4" t="inlineStr">
        <is>
          <t>fm12918-spc-000525-2900-55</t>
        </is>
      </c>
      <c r="C3154" s="4" t="inlineStr">
        <is>
          <t>W00031886A</t>
        </is>
      </c>
      <c r="D3154" s="6">
        <f>IF(F3154&gt;=5, F3154-5, IF(F3154&lt;5, 0, F3154))</f>
        <v/>
      </c>
      <c r="E3154">
        <f>VLOOKUP(B3154,[1]Namshi!$A:$B,2,0)</f>
        <v/>
      </c>
      <c r="F3154" s="4">
        <f>SUMIFS('Dubai Stock'!I:I,'Dubai Stock'!H:H,Final_UAE!B:B)</f>
        <v/>
      </c>
      <c r="H3154" s="8" t="e">
        <v>#N/A</v>
      </c>
      <c r="I3154" s="8" t="n"/>
    </row>
    <row r="3155">
      <c r="A3155" s="4" t="n">
        <v>33834</v>
      </c>
      <c r="B3155" s="4" t="inlineStr">
        <is>
          <t>clstdai-acu-dfna-p90-sn0550</t>
        </is>
      </c>
      <c r="C3155" s="4" t="inlineStr">
        <is>
          <t>W00031886A</t>
        </is>
      </c>
      <c r="D3155" s="6">
        <f>IF(F3155&gt;=5, F3155-5, IF(F3155&lt;5, 0, F3155))</f>
        <v/>
      </c>
      <c r="E3155">
        <f>VLOOKUP(B3155,[1]Namshi!$A:$B,2,0)</f>
        <v/>
      </c>
      <c r="F3155" s="4">
        <f>SUMIFS('Dubai Stock'!I:I,'Dubai Stock'!H:H,Final_UAE!B:B)</f>
        <v/>
      </c>
      <c r="H3155" s="8" t="e">
        <v>#N/A</v>
      </c>
      <c r="I3155" s="8" t="n"/>
    </row>
    <row r="3156">
      <c r="A3156" s="4" t="n">
        <v>33834</v>
      </c>
      <c r="B3156" s="4" t="inlineStr">
        <is>
          <t>cost3mo-cel-natu-p01-azure-blue-sp0400</t>
        </is>
      </c>
      <c r="C3156" s="4" t="inlineStr">
        <is>
          <t>W00031886A</t>
        </is>
      </c>
      <c r="D3156" s="6">
        <f>IF(F3156&gt;=5, F3156-5, IF(F3156&lt;5, 0, F3156))</f>
        <v/>
      </c>
      <c r="E3156">
        <f>VLOOKUP(B3156,[1]Namshi!$A:$B,2,0)</f>
        <v/>
      </c>
      <c r="F3156" s="4">
        <f>SUMIFS('Dubai Stock'!I:I,'Dubai Stock'!H:H,Final_UAE!B:B)</f>
        <v/>
      </c>
      <c r="H3156" s="8" t="e">
        <v>#N/A</v>
      </c>
      <c r="I3156" s="8" t="n"/>
    </row>
    <row r="3157">
      <c r="A3157" s="4" t="n">
        <v>33834</v>
      </c>
      <c r="B3157" s="4" t="inlineStr">
        <is>
          <t>costdai-acu-dffr-p30-rose-sn0275</t>
        </is>
      </c>
      <c r="C3157" s="4" t="inlineStr">
        <is>
          <t>W00031886A</t>
        </is>
      </c>
      <c r="D3157" s="6">
        <f>IF(F3157&gt;=5, F3157-5, IF(F3157&lt;5, 0, F3157))</f>
        <v/>
      </c>
      <c r="E3157">
        <f>VLOOKUP(B3157,[1]Namshi!$A:$B,2,0)</f>
        <v/>
      </c>
      <c r="F3157" s="4">
        <f>SUMIFS('Dubai Stock'!I:I,'Dubai Stock'!H:H,Final_UAE!B:B)</f>
        <v/>
      </c>
      <c r="H3157" s="8" t="e">
        <v>#N/A</v>
      </c>
      <c r="I3157" s="8" t="n"/>
    </row>
    <row r="3158">
      <c r="A3158" s="4" t="n">
        <v>33834</v>
      </c>
      <c r="B3158" s="4" t="inlineStr">
        <is>
          <t>clstdai-acu-dfrb-p30-sn0150</t>
        </is>
      </c>
      <c r="C3158" s="4" t="inlineStr">
        <is>
          <t>W00031886A</t>
        </is>
      </c>
      <c r="D3158" s="6">
        <f>IF(F3158&gt;=5, F3158-5, IF(F3158&lt;5, 0, F3158))</f>
        <v/>
      </c>
      <c r="E3158">
        <f>VLOOKUP(B3158,[1]Namshi!$A:$B,2,0)</f>
        <v/>
      </c>
      <c r="F3158" s="4">
        <f>SUMIFS('Dubai Stock'!I:I,'Dubai Stock'!H:H,Final_UAE!B:B)</f>
        <v/>
      </c>
      <c r="H3158" s="8" t="e">
        <v>#N/A</v>
      </c>
      <c r="I3158" s="8" t="n"/>
    </row>
    <row r="3159">
      <c r="A3159" s="4" t="n">
        <v>33834</v>
      </c>
      <c r="B3159" s="4" t="inlineStr">
        <is>
          <t>clstdai-acu-oasy-p30-sp0275</t>
        </is>
      </c>
      <c r="C3159" s="4" t="inlineStr">
        <is>
          <t>W00031886A</t>
        </is>
      </c>
      <c r="D3159" s="6">
        <f>IF(F3159&gt;=5, F3159-5, IF(F3159&lt;5, 0, F3159))</f>
        <v/>
      </c>
      <c r="E3159">
        <f>VLOOKUP(B3159,[1]Namshi!$A:$B,2,0)</f>
        <v/>
      </c>
      <c r="F3159" s="4">
        <f>SUMIFS('Dubai Stock'!I:I,'Dubai Stock'!H:H,Final_UAE!B:B)</f>
        <v/>
      </c>
      <c r="H3159" s="8" t="e">
        <v>#N/A</v>
      </c>
      <c r="I3159" s="8" t="n"/>
    </row>
    <row r="3160">
      <c r="A3160" s="4" t="n">
        <v>33834</v>
      </c>
      <c r="B3160" s="4" t="inlineStr">
        <is>
          <t>sm52506-30s-000200-2506-57</t>
        </is>
      </c>
      <c r="C3160" s="4" t="inlineStr">
        <is>
          <t>W00031886A</t>
        </is>
      </c>
      <c r="D3160" s="6">
        <f>IF(F3160&gt;=5, F3160-5, IF(F3160&lt;5, 0, F3160))</f>
        <v/>
      </c>
      <c r="E3160">
        <f>VLOOKUP(B3160,[1]Namshi!$A:$B,2,0)</f>
        <v/>
      </c>
      <c r="F3160" s="4">
        <f>SUMIFS('Dubai Stock'!I:I,'Dubai Stock'!H:H,Final_UAE!B:B)</f>
        <v/>
      </c>
      <c r="H3160" s="8" t="e">
        <v>#N/A</v>
      </c>
    </row>
    <row r="3161">
      <c r="A3161" s="4" t="n">
        <v>33834</v>
      </c>
      <c r="B3161" s="4" t="inlineStr">
        <is>
          <t>su50707-rov-8207-12-14-55</t>
        </is>
      </c>
      <c r="C3161" s="4" t="inlineStr">
        <is>
          <t>W00031886A</t>
        </is>
      </c>
      <c r="D3161" s="6">
        <f>IF(F3161&gt;=5, F3161-5, IF(F3161&lt;5, 0, F3161))</f>
        <v/>
      </c>
      <c r="E3161">
        <f>VLOOKUP(B3161,[1]Namshi!$A:$B,2,0)</f>
        <v/>
      </c>
      <c r="F3161" s="4">
        <f>SUMIFS('Dubai Stock'!I:I,'Dubai Stock'!H:H,Final_UAE!B:B)</f>
        <v/>
      </c>
      <c r="H3161" s="8" t="e">
        <v>#N/A</v>
      </c>
      <c r="I3161" s="8" t="n"/>
    </row>
    <row r="3162">
      <c r="A3162" s="4" t="n">
        <v>33834</v>
      </c>
      <c r="B3162" s="4" t="inlineStr">
        <is>
          <t>costdai-ama-dail-p10-honey-sn0125</t>
        </is>
      </c>
      <c r="C3162" s="4" t="inlineStr">
        <is>
          <t>W00031886A</t>
        </is>
      </c>
      <c r="D3162" s="6">
        <f>IF(F3162&gt;=5, F3162-5, IF(F3162&lt;5, 0, F3162))</f>
        <v/>
      </c>
      <c r="E3162">
        <f>VLOOKUP(B3162,[1]Namshi!$A:$B,2,0)</f>
        <v/>
      </c>
      <c r="F3162" s="4">
        <f>SUMIFS('Dubai Stock'!I:I,'Dubai Stock'!H:H,Final_UAE!B:B)</f>
        <v/>
      </c>
      <c r="H3162" s="8" t="e">
        <v>#N/A</v>
      </c>
      <c r="I3162" s="8" t="n"/>
    </row>
    <row r="3163">
      <c r="A3163" s="4" t="n">
        <v>33834</v>
      </c>
      <c r="B3163" s="4" t="inlineStr">
        <is>
          <t>fu40918-spc-000713-0900-53</t>
        </is>
      </c>
      <c r="C3163" s="4" t="inlineStr">
        <is>
          <t>W00031886A</t>
        </is>
      </c>
      <c r="D3163" s="6">
        <f>IF(F3163&gt;=5, F3163-5, IF(F3163&lt;5, 0, F3163))</f>
        <v/>
      </c>
      <c r="E3163">
        <f>VLOOKUP(B3163,[1]Namshi!$A:$B,2,0)</f>
        <v/>
      </c>
      <c r="F3163" s="4">
        <f>SUMIFS('Dubai Stock'!I:I,'Dubai Stock'!H:H,Final_UAE!B:B)</f>
        <v/>
      </c>
      <c r="H3163" s="8" t="e">
        <v>#N/A</v>
      </c>
      <c r="I3163" s="8" t="n"/>
    </row>
    <row r="3164">
      <c r="A3164" s="4" t="n">
        <v>33834</v>
      </c>
      <c r="B3164" s="4" t="inlineStr">
        <is>
          <t>costmon-ama-2020-p02-charcoal-gray-sn0375</t>
        </is>
      </c>
      <c r="C3164" s="4" t="inlineStr">
        <is>
          <t>W00031886A</t>
        </is>
      </c>
      <c r="D3164" s="6">
        <f>IF(F3164&gt;=5, F3164-5, IF(F3164&lt;5, 0, F3164))</f>
        <v/>
      </c>
      <c r="E3164">
        <f>VLOOKUP(B3164,[1]Namshi!$A:$B,2,0)</f>
        <v/>
      </c>
      <c r="F3164" s="4">
        <f>SUMIFS('Dubai Stock'!I:I,'Dubai Stock'!H:H,Final_UAE!B:B)</f>
        <v/>
      </c>
      <c r="H3164" s="8" t="e">
        <v>#N/A</v>
      </c>
      <c r="I3164" s="8" t="n"/>
    </row>
    <row r="3165">
      <c r="A3165" s="4" t="n">
        <v>33834</v>
      </c>
      <c r="B3165" s="4" t="inlineStr">
        <is>
          <t>su60707-bla-000338-0707-55</t>
        </is>
      </c>
      <c r="C3165" s="4" t="inlineStr">
        <is>
          <t>W00031886A</t>
        </is>
      </c>
      <c r="D3165" s="6">
        <f>IF(F3165&gt;=5, F3165-5, IF(F3165&lt;5, 0, F3165))</f>
        <v/>
      </c>
      <c r="E3165">
        <f>VLOOKUP(B3165,[1]Namshi!$A:$B,2,0)</f>
        <v/>
      </c>
      <c r="F3165" s="4">
        <f>SUMIFS('Dubai Stock'!I:I,'Dubai Stock'!H:H,Final_UAE!B:B)</f>
        <v/>
      </c>
      <c r="H3165" s="8" t="e">
        <v>#N/A</v>
      </c>
    </row>
    <row r="3166">
      <c r="A3166" s="4" t="n">
        <v>33834</v>
      </c>
      <c r="B3166" s="4" t="inlineStr">
        <is>
          <t>sm70106-30s-000250-0106-55</t>
        </is>
      </c>
      <c r="C3166" s="4" t="inlineStr">
        <is>
          <t>W00031886A</t>
        </is>
      </c>
      <c r="D3166" s="6">
        <f>IF(F3166&gt;=5, F3166-5, IF(F3166&lt;5, 0, F3166))</f>
        <v/>
      </c>
      <c r="E3166">
        <f>VLOOKUP(B3166,[1]Namshi!$A:$B,2,0)</f>
        <v/>
      </c>
      <c r="F3166" s="4">
        <f>SUMIFS('Dubai Stock'!I:I,'Dubai Stock'!H:H,Final_UAE!B:B)</f>
        <v/>
      </c>
      <c r="H3166" s="8" t="e">
        <v>#N/A</v>
      </c>
    </row>
    <row r="3167">
      <c r="A3167" s="4" t="n">
        <v>33834</v>
      </c>
      <c r="B3167" s="4" t="inlineStr">
        <is>
          <t>sm61306-30s-000235-1306-46</t>
        </is>
      </c>
      <c r="C3167" s="4" t="inlineStr">
        <is>
          <t>W00031886A</t>
        </is>
      </c>
      <c r="D3167" s="6">
        <f>IF(F3167&gt;=5, F3167-5, IF(F3167&lt;5, 0, F3167))</f>
        <v/>
      </c>
      <c r="E3167">
        <f>VLOOKUP(B3167,[1]Namshi!$A:$B,2,0)</f>
        <v/>
      </c>
      <c r="F3167" s="4">
        <f>SUMIFS('Dubai Stock'!I:I,'Dubai Stock'!H:H,Final_UAE!B:B)</f>
        <v/>
      </c>
      <c r="H3167" s="8" t="e">
        <v>#N/A</v>
      </c>
    </row>
    <row r="3168">
      <c r="A3168" s="4" t="n">
        <v>33834</v>
      </c>
      <c r="B3168" s="4" t="inlineStr">
        <is>
          <t>clstmon-sof-sl59-p06-sn0225</t>
        </is>
      </c>
      <c r="C3168" s="4" t="inlineStr">
        <is>
          <t>W00031886A</t>
        </is>
      </c>
      <c r="D3168" s="6">
        <f>IF(F3168&gt;=5, F3168-5, IF(F3168&lt;5, 0, F3168))</f>
        <v/>
      </c>
      <c r="E3168">
        <f>VLOOKUP(B3168,[1]Namshi!$A:$B,2,0)</f>
        <v/>
      </c>
      <c r="F3168" s="4">
        <f>SUMIFS('Dubai Stock'!I:I,'Dubai Stock'!H:H,Final_UAE!B:B)</f>
        <v/>
      </c>
      <c r="H3168" s="8" t="e">
        <v>#N/A</v>
      </c>
      <c r="I3168" s="8" t="n"/>
    </row>
    <row r="3169">
      <c r="A3169" s="4" t="n">
        <v>33834</v>
      </c>
      <c r="B3169" s="4" t="inlineStr">
        <is>
          <t>cost3mo-lay-2021-p02-skye-blue-sn0200</t>
        </is>
      </c>
      <c r="C3169" s="4" t="inlineStr">
        <is>
          <t>W00031886A</t>
        </is>
      </c>
      <c r="D3169" s="6">
        <f>IF(F3169&gt;=5, F3169-5, IF(F3169&lt;5, 0, F3169))</f>
        <v/>
      </c>
      <c r="E3169">
        <f>VLOOKUP(B3169,[1]Namshi!$A:$B,2,0)</f>
        <v/>
      </c>
      <c r="F3169" s="4">
        <f>SUMIFS('Dubai Stock'!I:I,'Dubai Stock'!H:H,Final_UAE!B:B)</f>
        <v/>
      </c>
      <c r="H3169" s="8" t="e">
        <v>#N/A</v>
      </c>
      <c r="I3169" s="8" t="n"/>
    </row>
    <row r="3170">
      <c r="A3170" s="4" t="n">
        <v>33834</v>
      </c>
      <c r="B3170" s="4" t="inlineStr">
        <is>
          <t>clstdai-dai-aqua-p30-sp0125</t>
        </is>
      </c>
      <c r="C3170" s="4" t="inlineStr">
        <is>
          <t>W00031886A</t>
        </is>
      </c>
      <c r="D3170" s="6">
        <f>IF(F3170&gt;=5, F3170-5, IF(F3170&lt;5, 0, F3170))</f>
        <v/>
      </c>
      <c r="E3170">
        <f>VLOOKUP(B3170,[1]Namshi!$A:$B,2,0)</f>
        <v/>
      </c>
      <c r="F3170" s="4">
        <f>SUMIFS('Dubai Stock'!I:I,'Dubai Stock'!H:H,Final_UAE!B:B)</f>
        <v/>
      </c>
      <c r="H3170" s="8" t="e">
        <v>#N/A</v>
      </c>
      <c r="I3170" s="8" t="n"/>
    </row>
    <row r="3171">
      <c r="A3171" s="4" t="n">
        <v>33834</v>
      </c>
      <c r="B3171" s="4" t="inlineStr">
        <is>
          <t>cost3mo-cel-natu-p01-desert-grey-sp0100</t>
        </is>
      </c>
      <c r="C3171" s="4" t="inlineStr">
        <is>
          <t>W00031886A</t>
        </is>
      </c>
      <c r="D3171" s="6">
        <f>IF(F3171&gt;=5, F3171-5, IF(F3171&lt;5, 0, F3171))</f>
        <v/>
      </c>
      <c r="E3171">
        <f>VLOOKUP(B3171,[1]Namshi!$A:$B,2,0)</f>
        <v/>
      </c>
      <c r="F3171" s="4">
        <f>SUMIFS('Dubai Stock'!I:I,'Dubai Stock'!H:H,Final_UAE!B:B)</f>
        <v/>
      </c>
      <c r="H3171" s="8" t="e">
        <v>#N/A</v>
      </c>
      <c r="I3171" s="8" t="n"/>
    </row>
    <row r="3172">
      <c r="A3172" s="4" t="n">
        <v>33834</v>
      </c>
      <c r="B3172" s="4" t="inlineStr">
        <is>
          <t>clstdai-btr-oned-p90-sn0500</t>
        </is>
      </c>
      <c r="C3172" s="4" t="inlineStr">
        <is>
          <t>W00031886A</t>
        </is>
      </c>
      <c r="D3172" s="6">
        <f>IF(F3172&gt;=5, F3172-5, IF(F3172&lt;5, 0, F3172))</f>
        <v/>
      </c>
      <c r="E3172">
        <f>VLOOKUP(B3172,[1]Namshi!$A:$B,2,0)</f>
        <v/>
      </c>
      <c r="F3172" s="4">
        <f>SUMIFS('Dubai Stock'!I:I,'Dubai Stock'!H:H,Final_UAE!B:B)</f>
        <v/>
      </c>
      <c r="H3172" s="8" t="e">
        <v>#N/A</v>
      </c>
      <c r="I3172" s="8" t="n"/>
    </row>
    <row r="3173">
      <c r="A3173" s="4" t="n">
        <v>33834</v>
      </c>
      <c r="B3173" s="4" t="inlineStr">
        <is>
          <t>cost3mo-lay-2022-p02-sweet-hazel-sn0300</t>
        </is>
      </c>
      <c r="C3173" s="4" t="inlineStr">
        <is>
          <t>W00031886A</t>
        </is>
      </c>
      <c r="D3173" s="6">
        <f>IF(F3173&gt;=5, F3173-5, IF(F3173&lt;5, 0, F3173))</f>
        <v/>
      </c>
      <c r="E3173">
        <f>VLOOKUP(B3173,[1]Namshi!$A:$B,2,0)</f>
        <v/>
      </c>
      <c r="F3173" s="4">
        <f>SUMIFS('Dubai Stock'!I:I,'Dubai Stock'!H:H,Final_UAE!B:B)</f>
        <v/>
      </c>
      <c r="H3173" s="8" t="e">
        <v>#N/A</v>
      </c>
      <c r="I3173" s="8" t="n"/>
    </row>
    <row r="3174">
      <c r="A3174" s="4" t="n">
        <v>33834</v>
      </c>
      <c r="B3174" s="4" t="inlineStr">
        <is>
          <t>clstdai-eve-elit-p90-sn0125</t>
        </is>
      </c>
      <c r="C3174" s="4" t="inlineStr">
        <is>
          <t>W00031886A</t>
        </is>
      </c>
      <c r="D3174" s="6">
        <f>IF(F3174&gt;=5, F3174-5, IF(F3174&lt;5, 0, F3174))</f>
        <v/>
      </c>
      <c r="E3174">
        <f>VLOOKUP(B3174,[1]Namshi!$A:$B,2,0)</f>
        <v/>
      </c>
      <c r="F3174" s="4">
        <f>SUMIFS('Dubai Stock'!I:I,'Dubai Stock'!H:H,Final_UAE!B:B)</f>
        <v/>
      </c>
      <c r="H3174" s="8" t="n">
        <v>729</v>
      </c>
      <c r="I3174" s="8" t="n">
        <v>357</v>
      </c>
    </row>
    <row r="3175">
      <c r="A3175" s="4" t="n">
        <v>33834</v>
      </c>
      <c r="B3175" s="4" t="inlineStr">
        <is>
          <t>clstbiw-acu-0002-p06-sn0100</t>
        </is>
      </c>
      <c r="C3175" s="4" t="inlineStr">
        <is>
          <t>W00031886A</t>
        </is>
      </c>
      <c r="D3175" s="6">
        <f>IF(F3175&gt;=5, F3175-5, IF(F3175&lt;5, 0, F3175))</f>
        <v/>
      </c>
      <c r="E3175">
        <f>VLOOKUP(B3175,[1]Namshi!$A:$B,2,0)</f>
        <v/>
      </c>
      <c r="F3175" s="4">
        <f>SUMIFS('Dubai Stock'!I:I,'Dubai Stock'!H:H,Final_UAE!B:B)</f>
        <v/>
      </c>
      <c r="H3175" s="8" t="e">
        <v>#N/A</v>
      </c>
      <c r="I3175" s="8" t="n"/>
    </row>
    <row r="3176">
      <c r="A3176" s="4" t="n">
        <v>33834</v>
      </c>
      <c r="B3176" s="4" t="inlineStr">
        <is>
          <t>sw42104-bla-000254-2104-52</t>
        </is>
      </c>
      <c r="C3176" s="4" t="inlineStr">
        <is>
          <t>W00031886A</t>
        </is>
      </c>
      <c r="D3176" s="6">
        <f>IF(F3176&gt;=5, F3176-5, IF(F3176&lt;5, 0, F3176))</f>
        <v/>
      </c>
      <c r="E3176">
        <f>VLOOKUP(B3176,[1]Namshi!$A:$B,2,0)</f>
        <v/>
      </c>
      <c r="F3176" s="4">
        <f>SUMIFS('Dubai Stock'!I:I,'Dubai Stock'!H:H,Final_UAE!B:B)</f>
        <v/>
      </c>
      <c r="H3176" s="8" t="e">
        <v>#N/A</v>
      </c>
    </row>
    <row r="3177">
      <c r="A3177" s="4" t="n">
        <v>33834</v>
      </c>
      <c r="B3177" s="4" t="inlineStr">
        <is>
          <t>cost3mo-lay-2021-p02-sunkiss-brown-sn0075</t>
        </is>
      </c>
      <c r="C3177" s="4" t="inlineStr">
        <is>
          <t>W00031886A</t>
        </is>
      </c>
      <c r="D3177" s="6">
        <f>IF(F3177&gt;=5, F3177-5, IF(F3177&lt;5, 0, F3177))</f>
        <v/>
      </c>
      <c r="E3177">
        <f>VLOOKUP(B3177,[1]Namshi!$A:$B,2,0)</f>
        <v/>
      </c>
      <c r="F3177" s="4">
        <f>SUMIFS('Dubai Stock'!I:I,'Dubai Stock'!H:H,Final_UAE!B:B)</f>
        <v/>
      </c>
      <c r="H3177" s="8" t="e">
        <v>#N/A</v>
      </c>
      <c r="I3177" s="8" t="n"/>
    </row>
    <row r="3178">
      <c r="A3178" s="4" t="n">
        <v>33834</v>
      </c>
      <c r="B3178" s="4" t="inlineStr">
        <is>
          <t>sm50712-30s-000283-1212-54</t>
        </is>
      </c>
      <c r="C3178" s="4" t="inlineStr">
        <is>
          <t>W00031886A</t>
        </is>
      </c>
      <c r="D3178" s="6">
        <f>IF(F3178&gt;=5, F3178-5, IF(F3178&lt;5, 0, F3178))</f>
        <v/>
      </c>
      <c r="E3178">
        <f>VLOOKUP(B3178,[1]Namshi!$A:$B,2,0)</f>
        <v/>
      </c>
      <c r="F3178" s="4">
        <f>SUMIFS('Dubai Stock'!I:I,'Dubai Stock'!H:H,Final_UAE!B:B)</f>
        <v/>
      </c>
      <c r="H3178" s="8" t="e">
        <v>#N/A</v>
      </c>
    </row>
    <row r="3179">
      <c r="A3179" s="4" t="n">
        <v>33834</v>
      </c>
      <c r="B3179" s="4" t="inlineStr">
        <is>
          <t>clstdai-dai-aqua-p90-sn0400</t>
        </is>
      </c>
      <c r="C3179" s="4" t="inlineStr">
        <is>
          <t>W00031886A</t>
        </is>
      </c>
      <c r="D3179" s="6">
        <f>IF(F3179&gt;=5, F3179-5, IF(F3179&lt;5, 0, F3179))</f>
        <v/>
      </c>
      <c r="E3179">
        <f>VLOOKUP(B3179,[1]Namshi!$A:$B,2,0)</f>
        <v/>
      </c>
      <c r="F3179" s="4">
        <f>SUMIFS('Dubai Stock'!I:I,'Dubai Stock'!H:H,Final_UAE!B:B)</f>
        <v/>
      </c>
      <c r="H3179" s="8" t="e">
        <v>#N/A</v>
      </c>
      <c r="I3179" s="8" t="n"/>
    </row>
    <row r="3180">
      <c r="A3180" s="4" t="n">
        <v>33834</v>
      </c>
      <c r="B3180" s="4" t="inlineStr">
        <is>
          <t>clstdai-lay-cont-p90-dazzle-black-sn0550</t>
        </is>
      </c>
      <c r="C3180" s="4" t="inlineStr">
        <is>
          <t>W00031886A</t>
        </is>
      </c>
      <c r="D3180" s="6">
        <f>IF(F3180&gt;=5, F3180-5, IF(F3180&lt;5, 0, F3180))</f>
        <v/>
      </c>
      <c r="E3180">
        <f>VLOOKUP(B3180,[1]Namshi!$A:$B,2,0)</f>
        <v/>
      </c>
      <c r="F3180" s="4">
        <f>SUMIFS('Dubai Stock'!I:I,'Dubai Stock'!H:H,Final_UAE!B:B)</f>
        <v/>
      </c>
      <c r="H3180" s="8" t="e">
        <v>#N/A</v>
      </c>
      <c r="I3180" s="8" t="n"/>
    </row>
    <row r="3181">
      <c r="A3181" s="4" t="n">
        <v>33834</v>
      </c>
      <c r="B3181" s="4" t="inlineStr">
        <is>
          <t>cost3mo-lay-2023-p02-selene-green-sn0550</t>
        </is>
      </c>
      <c r="C3181" s="4" t="inlineStr">
        <is>
          <t>W00031886A</t>
        </is>
      </c>
      <c r="D3181" s="6">
        <f>IF(F3181&gt;=5, F3181-5, IF(F3181&lt;5, 0, F3181))</f>
        <v/>
      </c>
      <c r="E3181">
        <f>VLOOKUP(B3181,[1]Namshi!$A:$B,2,0)</f>
        <v/>
      </c>
      <c r="F3181" s="4">
        <f>SUMIFS('Dubai Stock'!I:I,'Dubai Stock'!H:H,Final_UAE!B:B)</f>
        <v/>
      </c>
      <c r="H3181" s="8" t="e">
        <v>#N/A</v>
      </c>
      <c r="I3181" s="8" t="n"/>
    </row>
    <row r="3182">
      <c r="A3182" s="4" t="n">
        <v>33834</v>
      </c>
      <c r="B3182" s="4" t="inlineStr">
        <is>
          <t>costdai-ama-dail-p10-sugar-sn0525</t>
        </is>
      </c>
      <c r="C3182" s="4" t="inlineStr">
        <is>
          <t>W00031886A</t>
        </is>
      </c>
      <c r="D3182" s="6">
        <f>IF(F3182&gt;=5, F3182-5, IF(F3182&lt;5, 0, F3182))</f>
        <v/>
      </c>
      <c r="E3182">
        <f>VLOOKUP(B3182,[1]Namshi!$A:$B,2,0)</f>
        <v/>
      </c>
      <c r="F3182" s="4">
        <f>SUMIFS('Dubai Stock'!I:I,'Dubai Stock'!H:H,Final_UAE!B:B)</f>
        <v/>
      </c>
      <c r="H3182" s="8" t="e">
        <v>#N/A</v>
      </c>
      <c r="I3182" s="8" t="n"/>
    </row>
    <row r="3183">
      <c r="A3183" s="4" t="n">
        <v>33834</v>
      </c>
      <c r="B3183" s="4" t="inlineStr">
        <is>
          <t>costmon-ama-2020-p02-charcoal-gray-sn0325</t>
        </is>
      </c>
      <c r="C3183" s="4" t="inlineStr">
        <is>
          <t>W00031886A</t>
        </is>
      </c>
      <c r="D3183" s="6">
        <f>IF(F3183&gt;=5, F3183-5, IF(F3183&lt;5, 0, F3183))</f>
        <v/>
      </c>
      <c r="E3183">
        <f>VLOOKUP(B3183,[1]Namshi!$A:$B,2,0)</f>
        <v/>
      </c>
      <c r="F3183" s="4">
        <f>SUMIFS('Dubai Stock'!I:I,'Dubai Stock'!H:H,Final_UAE!B:B)</f>
        <v/>
      </c>
      <c r="H3183" s="8" t="e">
        <v>#N/A</v>
      </c>
      <c r="I3183" s="8" t="n"/>
    </row>
    <row r="3184">
      <c r="A3184" s="4" t="n">
        <v>33834</v>
      </c>
      <c r="B3184" s="4" t="inlineStr">
        <is>
          <t>cost3mo-lay-lens-p02-chocolate-brown-sn0250</t>
        </is>
      </c>
      <c r="C3184" s="4" t="inlineStr">
        <is>
          <t>W00031886A</t>
        </is>
      </c>
      <c r="D3184" s="6">
        <f>IF(F3184&gt;=5, F3184-5, IF(F3184&lt;5, 0, F3184))</f>
        <v/>
      </c>
      <c r="E3184">
        <f>VLOOKUP(B3184,[1]Namshi!$A:$B,2,0)</f>
        <v/>
      </c>
      <c r="F3184" s="4">
        <f>SUMIFS('Dubai Stock'!I:I,'Dubai Stock'!H:H,Final_UAE!B:B)</f>
        <v/>
      </c>
      <c r="H3184" s="8" t="e">
        <v>#N/A</v>
      </c>
      <c r="I3184" s="8" t="n"/>
    </row>
    <row r="3185">
      <c r="A3185" s="4" t="n">
        <v>33834</v>
      </c>
      <c r="B3185" s="4" t="inlineStr">
        <is>
          <t>cost3mo-lay-2021-p02-skye-blue-sn0250</t>
        </is>
      </c>
      <c r="C3185" s="4" t="inlineStr">
        <is>
          <t>W00031886A</t>
        </is>
      </c>
      <c r="D3185" s="6">
        <f>IF(F3185&gt;=5, F3185-5, IF(F3185&lt;5, 0, F3185))</f>
        <v/>
      </c>
      <c r="E3185">
        <f>VLOOKUP(B3185,[1]Namshi!$A:$B,2,0)</f>
        <v/>
      </c>
      <c r="F3185" s="4">
        <f>SUMIFS('Dubai Stock'!I:I,'Dubai Stock'!H:H,Final_UAE!B:B)</f>
        <v/>
      </c>
      <c r="H3185" s="8" t="e">
        <v>#N/A</v>
      </c>
      <c r="I3185" s="8" t="n"/>
    </row>
    <row r="3186">
      <c r="A3186" s="4" t="n">
        <v>33834</v>
      </c>
      <c r="B3186" s="4" t="inlineStr">
        <is>
          <t>clstdai-acu-dfvi-p60-sn0350</t>
        </is>
      </c>
      <c r="C3186" s="4" t="inlineStr">
        <is>
          <t>W00031886A</t>
        </is>
      </c>
      <c r="D3186" s="6">
        <f>IF(F3186&gt;=5, F3186-5, IF(F3186&lt;5, 0, F3186))</f>
        <v/>
      </c>
      <c r="E3186">
        <f>VLOOKUP(B3186,[1]Namshi!$A:$B,2,0)</f>
        <v/>
      </c>
      <c r="F3186" s="4">
        <f>SUMIFS('Dubai Stock'!I:I,'Dubai Stock'!H:H,Final_UAE!B:B)</f>
        <v/>
      </c>
      <c r="H3186" s="8" t="e">
        <v>#N/A</v>
      </c>
      <c r="I3186" s="8" t="n"/>
    </row>
    <row r="3187">
      <c r="A3187" s="4" t="n">
        <v>33834</v>
      </c>
      <c r="B3187" s="4" t="inlineStr">
        <is>
          <t>cost3mo-lay-2023-p02-sable-brown-sn0075</t>
        </is>
      </c>
      <c r="C3187" s="4" t="inlineStr">
        <is>
          <t>W00031886A</t>
        </is>
      </c>
      <c r="D3187" s="6">
        <f>IF(F3187&gt;=5, F3187-5, IF(F3187&lt;5, 0, F3187))</f>
        <v/>
      </c>
      <c r="E3187">
        <f>VLOOKUP(B3187,[1]Namshi!$A:$B,2,0)</f>
        <v/>
      </c>
      <c r="F3187" s="4">
        <f>SUMIFS('Dubai Stock'!I:I,'Dubai Stock'!H:H,Final_UAE!B:B)</f>
        <v/>
      </c>
      <c r="H3187" s="8" t="e">
        <v>#N/A</v>
      </c>
      <c r="I3187" s="8" t="n"/>
    </row>
    <row r="3188">
      <c r="A3188" s="4" t="n">
        <v>33834</v>
      </c>
      <c r="B3188" s="4" t="inlineStr">
        <is>
          <t>cost3mo-lay-2022-p02-avena-brown-sn0600</t>
        </is>
      </c>
      <c r="C3188" s="4" t="inlineStr">
        <is>
          <t>W00031886A</t>
        </is>
      </c>
      <c r="D3188" s="6">
        <f>IF(F3188&gt;=5, F3188-5, IF(F3188&lt;5, 0, F3188))</f>
        <v/>
      </c>
      <c r="E3188">
        <f>VLOOKUP(B3188,[1]Namshi!$A:$B,2,0)</f>
        <v/>
      </c>
      <c r="F3188" s="4">
        <f>SUMIFS('Dubai Stock'!I:I,'Dubai Stock'!H:H,Final_UAE!B:B)</f>
        <v/>
      </c>
      <c r="H3188" s="8" t="e">
        <v>#N/A</v>
      </c>
      <c r="I3188" s="8" t="n"/>
    </row>
    <row r="3189">
      <c r="A3189" s="4" t="n">
        <v>33834</v>
      </c>
      <c r="B3189" s="4" t="inlineStr">
        <is>
          <t>sunglasses-30Sundays-30s-000454-2904</t>
        </is>
      </c>
      <c r="C3189" s="4" t="inlineStr">
        <is>
          <t>W00031886A</t>
        </is>
      </c>
      <c r="D3189" s="6">
        <f>IF(F3189&gt;=5, F3189-5, IF(F3189&lt;5, 0, F3189))</f>
        <v/>
      </c>
      <c r="E3189">
        <f>VLOOKUP(B3189,[1]Namshi!$A:$B,2,0)</f>
        <v/>
      </c>
      <c r="F3189" s="4">
        <f>SUMIFS('Dubai Stock'!I:I,'Dubai Stock'!H:H,Final_UAE!B:B)</f>
        <v/>
      </c>
      <c r="H3189" s="8" t="e">
        <v>#N/A</v>
      </c>
      <c r="I3189" s="8" t="n"/>
    </row>
    <row r="3190">
      <c r="A3190" s="4" t="n">
        <v>33834</v>
      </c>
      <c r="B3190" s="4" t="inlineStr">
        <is>
          <t>costmon-ama-2024-p02-matcha-sn0300</t>
        </is>
      </c>
      <c r="C3190" s="4" t="inlineStr">
        <is>
          <t>W00031886A</t>
        </is>
      </c>
      <c r="D3190" s="6">
        <f>IF(F3190&gt;=5, F3190-5, IF(F3190&lt;5, 0, F3190))</f>
        <v/>
      </c>
      <c r="E3190">
        <f>VLOOKUP(B3190,[1]Namshi!$A:$B,2,0)</f>
        <v/>
      </c>
      <c r="F3190" s="4">
        <f>SUMIFS('Dubai Stock'!I:I,'Dubai Stock'!H:H,Final_UAE!B:B)</f>
        <v/>
      </c>
      <c r="H3190" s="8" t="e">
        <v>#N/A</v>
      </c>
      <c r="I3190" s="8" t="n"/>
    </row>
    <row r="3191">
      <c r="A3191" s="4" t="n">
        <v>33834</v>
      </c>
      <c r="B3191" s="4" t="inlineStr">
        <is>
          <t>fm70118-spc-000512-0100-51</t>
        </is>
      </c>
      <c r="C3191" s="4" t="inlineStr">
        <is>
          <t>W00031886A</t>
        </is>
      </c>
      <c r="D3191" s="6">
        <f>IF(F3191&gt;=5, F3191-5, IF(F3191&lt;5, 0, F3191))</f>
        <v/>
      </c>
      <c r="E3191">
        <f>VLOOKUP(B3191,[1]Namshi!$A:$B,2,0)</f>
        <v/>
      </c>
      <c r="F3191" s="4">
        <f>SUMIFS('Dubai Stock'!I:I,'Dubai Stock'!H:H,Final_UAE!B:B)</f>
        <v/>
      </c>
      <c r="H3191" s="8" t="e">
        <v>#N/A</v>
      </c>
      <c r="I3191" s="8" t="n"/>
    </row>
    <row r="3192">
      <c r="A3192" s="4" t="n">
        <v>33834</v>
      </c>
      <c r="B3192" s="4" t="inlineStr">
        <is>
          <t>clstmon-eve-prom-p06-sn0100</t>
        </is>
      </c>
      <c r="C3192" s="4" t="inlineStr">
        <is>
          <t>W00031886A</t>
        </is>
      </c>
      <c r="D3192" s="6">
        <f>IF(F3192&gt;=5, F3192-5, IF(F3192&lt;5, 0, F3192))</f>
        <v/>
      </c>
      <c r="E3192">
        <f>VLOOKUP(B3192,[1]Namshi!$A:$B,2,0)</f>
        <v/>
      </c>
      <c r="F3192" s="4">
        <f>SUMIFS('Dubai Stock'!I:I,'Dubai Stock'!H:H,Final_UAE!B:B)</f>
        <v/>
      </c>
      <c r="H3192" s="8" t="n">
        <v>212</v>
      </c>
      <c r="I3192" s="8" t="n">
        <v>111.3</v>
      </c>
    </row>
    <row r="3193">
      <c r="A3193" s="4" t="n">
        <v>33834</v>
      </c>
      <c r="B3193" s="4" t="inlineStr">
        <is>
          <t>clstdai-dai-tot1-p30-sn0100</t>
        </is>
      </c>
      <c r="C3193" s="4" t="inlineStr">
        <is>
          <t>W00031886A</t>
        </is>
      </c>
      <c r="D3193" s="6">
        <f>IF(F3193&gt;=5, F3193-5, IF(F3193&lt;5, 0, F3193))</f>
        <v/>
      </c>
      <c r="E3193">
        <f>VLOOKUP(B3193,[1]Namshi!$A:$B,2,0)</f>
        <v/>
      </c>
      <c r="F3193" s="4">
        <f>SUMIFS('Dubai Stock'!I:I,'Dubai Stock'!H:H,Final_UAE!B:B)</f>
        <v/>
      </c>
      <c r="H3193" s="8" t="e">
        <v>#N/A</v>
      </c>
      <c r="I3193" s="8" t="n"/>
    </row>
    <row r="3194">
      <c r="A3194" s="4" t="n">
        <v>33834</v>
      </c>
      <c r="B3194" s="4" t="inlineStr">
        <is>
          <t>cost3mo-lay-2025-p02-emerald-glow-sn0075</t>
        </is>
      </c>
      <c r="C3194" s="4" t="inlineStr">
        <is>
          <t>W00031886A</t>
        </is>
      </c>
      <c r="D3194" s="6">
        <f>IF(F3194&gt;=5, F3194-5, IF(F3194&lt;5, 0, F3194))</f>
        <v/>
      </c>
      <c r="E3194">
        <f>VLOOKUP(B3194,[1]Namshi!$A:$B,2,0)</f>
        <v/>
      </c>
      <c r="F3194" s="4">
        <f>SUMIFS('Dubai Stock'!I:I,'Dubai Stock'!H:H,Final_UAE!B:B)</f>
        <v/>
      </c>
      <c r="H3194" s="8" t="e">
        <v>#N/A</v>
      </c>
      <c r="I3194" s="8" t="n"/>
    </row>
    <row r="3195">
      <c r="A3195" s="4" t="n">
        <v>33834</v>
      </c>
      <c r="B3195" s="4" t="inlineStr">
        <is>
          <t>sm10107-30s-000459-0107p-51</t>
        </is>
      </c>
      <c r="C3195" s="4" t="inlineStr">
        <is>
          <t>W00031886A</t>
        </is>
      </c>
      <c r="D3195" s="6">
        <f>IF(F3195&gt;=5, F3195-5, IF(F3195&lt;5, 0, F3195))</f>
        <v/>
      </c>
      <c r="E3195">
        <f>VLOOKUP(B3195,[1]Namshi!$A:$B,2,0)</f>
        <v/>
      </c>
      <c r="F3195" s="4">
        <f>SUMIFS('Dubai Stock'!I:I,'Dubai Stock'!H:H,Final_UAE!B:B)</f>
        <v/>
      </c>
      <c r="H3195" s="8" t="e">
        <v>#N/A</v>
      </c>
    </row>
    <row r="3196">
      <c r="A3196" s="4" t="n">
        <v>33834</v>
      </c>
      <c r="B3196" s="4" t="inlineStr">
        <is>
          <t>clstdai-dai-aqua-p30-sn0200</t>
        </is>
      </c>
      <c r="C3196" s="4" t="inlineStr">
        <is>
          <t>W00031886A</t>
        </is>
      </c>
      <c r="D3196" s="6">
        <f>IF(F3196&gt;=5, F3196-5, IF(F3196&lt;5, 0, F3196))</f>
        <v/>
      </c>
      <c r="E3196">
        <f>VLOOKUP(B3196,[1]Namshi!$A:$B,2,0)</f>
        <v/>
      </c>
      <c r="F3196" s="4">
        <f>SUMIFS('Dubai Stock'!I:I,'Dubai Stock'!H:H,Final_UAE!B:B)</f>
        <v/>
      </c>
      <c r="H3196" s="8" t="e">
        <v>#N/A</v>
      </c>
      <c r="I3196" s="8" t="n"/>
    </row>
    <row r="3197">
      <c r="A3197" s="4" t="n">
        <v>33834</v>
      </c>
      <c r="B3197" s="4" t="inlineStr">
        <is>
          <t>su20702-30s-000206-0702-52</t>
        </is>
      </c>
      <c r="C3197" s="4" t="inlineStr">
        <is>
          <t>W00031886A</t>
        </is>
      </c>
      <c r="D3197" s="6">
        <f>IF(F3197&gt;=5, F3197-5, IF(F3197&lt;5, 0, F3197))</f>
        <v/>
      </c>
      <c r="E3197">
        <f>VLOOKUP(B3197,[1]Namshi!$A:$B,2,0)</f>
        <v/>
      </c>
      <c r="F3197" s="4">
        <f>SUMIFS('Dubai Stock'!I:I,'Dubai Stock'!H:H,Final_UAE!B:B)</f>
        <v/>
      </c>
      <c r="H3197" s="8" t="e">
        <v>#N/A</v>
      </c>
    </row>
    <row r="3198">
      <c r="A3198" s="4" t="n">
        <v>33834</v>
      </c>
      <c r="B3198" s="4" t="inlineStr">
        <is>
          <t>cost3mo-lay-2021-p02-golden-gray-sn0125</t>
        </is>
      </c>
      <c r="C3198" s="4" t="inlineStr">
        <is>
          <t>W00031886A</t>
        </is>
      </c>
      <c r="D3198" s="6">
        <f>IF(F3198&gt;=5, F3198-5, IF(F3198&lt;5, 0, F3198))</f>
        <v/>
      </c>
      <c r="E3198">
        <f>VLOOKUP(B3198,[1]Namshi!$A:$B,2,0)</f>
        <v/>
      </c>
      <c r="F3198" s="4">
        <f>SUMIFS('Dubai Stock'!I:I,'Dubai Stock'!H:H,Final_UAE!B:B)</f>
        <v/>
      </c>
      <c r="H3198" s="8" t="e">
        <v>#N/A</v>
      </c>
      <c r="I3198" s="8" t="n"/>
    </row>
    <row r="3199">
      <c r="A3199" s="4" t="n">
        <v>33834</v>
      </c>
      <c r="B3199" s="4" t="inlineStr">
        <is>
          <t>cost3mo-lay-2024-p02-terra-brown-sn0250</t>
        </is>
      </c>
      <c r="C3199" s="4" t="inlineStr">
        <is>
          <t>W00031886A</t>
        </is>
      </c>
      <c r="D3199" s="6">
        <f>IF(F3199&gt;=5, F3199-5, IF(F3199&lt;5, 0, F3199))</f>
        <v/>
      </c>
      <c r="E3199">
        <f>VLOOKUP(B3199,[1]Namshi!$A:$B,2,0)</f>
        <v/>
      </c>
      <c r="F3199" s="4">
        <f>SUMIFS('Dubai Stock'!I:I,'Dubai Stock'!H:H,Final_UAE!B:B)</f>
        <v/>
      </c>
      <c r="H3199" s="8" t="e">
        <v>#N/A</v>
      </c>
      <c r="I3199" s="8" t="n"/>
    </row>
    <row r="3200">
      <c r="A3200" s="4" t="n">
        <v>33834</v>
      </c>
      <c r="B3200" s="4" t="inlineStr">
        <is>
          <t>fw70918-spc-000512-0900-51</t>
        </is>
      </c>
      <c r="C3200" s="4" t="inlineStr">
        <is>
          <t>W00031886A</t>
        </is>
      </c>
      <c r="D3200" s="6">
        <f>IF(F3200&gt;=5, F3200-5, IF(F3200&lt;5, 0, F3200))</f>
        <v/>
      </c>
      <c r="E3200">
        <f>VLOOKUP(B3200,[1]Namshi!$A:$B,2,0)</f>
        <v/>
      </c>
      <c r="F3200" s="4">
        <f>SUMIFS('Dubai Stock'!I:I,'Dubai Stock'!H:H,Final_UAE!B:B)</f>
        <v/>
      </c>
      <c r="H3200" s="8" t="e">
        <v>#N/A</v>
      </c>
      <c r="I3200" s="8" t="n"/>
    </row>
    <row r="3201">
      <c r="A3201" s="4" t="n">
        <v>33834</v>
      </c>
      <c r="B3201" s="4" t="inlineStr">
        <is>
          <t>costdai-acu-dffr-p10-hazel-sn0150</t>
        </is>
      </c>
      <c r="C3201" s="4" t="inlineStr">
        <is>
          <t>W00031886A</t>
        </is>
      </c>
      <c r="D3201" s="6">
        <f>IF(F3201&gt;=5, F3201-5, IF(F3201&lt;5, 0, F3201))</f>
        <v/>
      </c>
      <c r="E3201">
        <f>VLOOKUP(B3201,[1]Namshi!$A:$B,2,0)</f>
        <v/>
      </c>
      <c r="F3201" s="4">
        <f>SUMIFS('Dubai Stock'!I:I,'Dubai Stock'!H:H,Final_UAE!B:B)</f>
        <v/>
      </c>
      <c r="H3201" s="8" t="e">
        <v>#N/A</v>
      </c>
      <c r="I3201" s="8" t="n"/>
    </row>
    <row r="3202">
      <c r="A3202" s="4" t="n">
        <v>33834</v>
      </c>
      <c r="B3202" s="4" t="inlineStr">
        <is>
          <t>costmon-ama-2023-p02-chai-sn0275</t>
        </is>
      </c>
      <c r="C3202" s="4" t="inlineStr">
        <is>
          <t>W00031886A</t>
        </is>
      </c>
      <c r="D3202" s="6">
        <f>IF(F3202&gt;=5, F3202-5, IF(F3202&lt;5, 0, F3202))</f>
        <v/>
      </c>
      <c r="E3202">
        <f>VLOOKUP(B3202,[1]Namshi!$A:$B,2,0)</f>
        <v/>
      </c>
      <c r="F3202" s="4">
        <f>SUMIFS('Dubai Stock'!I:I,'Dubai Stock'!H:H,Final_UAE!B:B)</f>
        <v/>
      </c>
      <c r="H3202" s="8" t="e">
        <v>#N/A</v>
      </c>
      <c r="I3202" s="8" t="n"/>
    </row>
    <row r="3203">
      <c r="A3203" s="4" t="n">
        <v>33834</v>
      </c>
      <c r="B3203" s="4" t="inlineStr">
        <is>
          <t>cost3mo-lay-lens-p02-golden-brown-sn0275</t>
        </is>
      </c>
      <c r="C3203" s="4" t="inlineStr">
        <is>
          <t>W00031886A</t>
        </is>
      </c>
      <c r="D3203" s="6">
        <f>IF(F3203&gt;=5, F3203-5, IF(F3203&lt;5, 0, F3203))</f>
        <v/>
      </c>
      <c r="E3203">
        <f>VLOOKUP(B3203,[1]Namshi!$A:$B,2,0)</f>
        <v/>
      </c>
      <c r="F3203" s="4">
        <f>SUMIFS('Dubai Stock'!I:I,'Dubai Stock'!H:H,Final_UAE!B:B)</f>
        <v/>
      </c>
      <c r="H3203" s="8" t="e">
        <v>#N/A</v>
      </c>
      <c r="I3203" s="8" t="n"/>
    </row>
    <row r="3204">
      <c r="A3204" s="4" t="n">
        <v>33834</v>
      </c>
      <c r="B3204" s="4" t="inlineStr">
        <is>
          <t>sw51304-30s-000118-1304-56</t>
        </is>
      </c>
      <c r="C3204" s="4" t="inlineStr">
        <is>
          <t>W00031886A</t>
        </is>
      </c>
      <c r="D3204" s="6">
        <f>IF(F3204&gt;=5, F3204-5, IF(F3204&lt;5, 0, F3204))</f>
        <v/>
      </c>
      <c r="E3204">
        <f>VLOOKUP(B3204,[1]Namshi!$A:$B,2,0)</f>
        <v/>
      </c>
      <c r="F3204" s="4">
        <f>SUMIFS('Dubai Stock'!I:I,'Dubai Stock'!H:H,Final_UAE!B:B)</f>
        <v/>
      </c>
      <c r="H3204" s="8" t="e">
        <v>#N/A</v>
      </c>
    </row>
    <row r="3205">
      <c r="A3205" s="4" t="n">
        <v>33834</v>
      </c>
      <c r="B3205" s="4" t="inlineStr">
        <is>
          <t>sw52304-30s-000244-2304-57</t>
        </is>
      </c>
      <c r="C3205" s="4" t="inlineStr">
        <is>
          <t>W00031886A</t>
        </is>
      </c>
      <c r="D3205" s="6">
        <f>IF(F3205&gt;=5, F3205-5, IF(F3205&lt;5, 0, F3205))</f>
        <v/>
      </c>
      <c r="E3205">
        <f>VLOOKUP(B3205,[1]Namshi!$A:$B,2,0)</f>
        <v/>
      </c>
      <c r="F3205" s="4">
        <f>SUMIFS('Dubai Stock'!I:I,'Dubai Stock'!H:H,Final_UAE!B:B)</f>
        <v/>
      </c>
      <c r="H3205" s="8" t="e">
        <v>#N/A</v>
      </c>
    </row>
    <row r="3206">
      <c r="A3206" s="4" t="n">
        <v>33834</v>
      </c>
      <c r="B3206" s="4" t="inlineStr">
        <is>
          <t>sw100101-bla-000267-0101-56</t>
        </is>
      </c>
      <c r="C3206" s="4" t="inlineStr">
        <is>
          <t>W00031886A</t>
        </is>
      </c>
      <c r="D3206" s="6">
        <f>IF(F3206&gt;=5, F3206-5, IF(F3206&lt;5, 0, F3206))</f>
        <v/>
      </c>
      <c r="E3206">
        <f>VLOOKUP(B3206,[1]Namshi!$A:$B,2,0)</f>
        <v/>
      </c>
      <c r="F3206" s="4">
        <f>SUMIFS('Dubai Stock'!I:I,'Dubai Stock'!H:H,Final_UAE!B:B)</f>
        <v/>
      </c>
      <c r="H3206" s="8" t="e">
        <v>#N/A</v>
      </c>
    </row>
    <row r="3207">
      <c r="A3207" s="4" t="n">
        <v>33834</v>
      </c>
      <c r="B3207" s="4" t="inlineStr">
        <is>
          <t>cost3mo-lay-2024-p02-terra-brown-sn0500</t>
        </is>
      </c>
      <c r="C3207" s="4" t="inlineStr">
        <is>
          <t>W00031886A</t>
        </is>
      </c>
      <c r="D3207" s="6">
        <f>IF(F3207&gt;=5, F3207-5, IF(F3207&lt;5, 0, F3207))</f>
        <v/>
      </c>
      <c r="E3207">
        <f>VLOOKUP(B3207,[1]Namshi!$A:$B,2,0)</f>
        <v/>
      </c>
      <c r="F3207" s="4">
        <f>SUMIFS('Dubai Stock'!I:I,'Dubai Stock'!H:H,Final_UAE!B:B)</f>
        <v/>
      </c>
      <c r="H3207" s="8" t="e">
        <v>#N/A</v>
      </c>
      <c r="I3207" s="8" t="n"/>
    </row>
    <row r="3208">
      <c r="A3208" s="4" t="n">
        <v>33834</v>
      </c>
      <c r="B3208" s="4" t="inlineStr">
        <is>
          <t>clstbiw-acu-0002-p06-sp0200</t>
        </is>
      </c>
      <c r="C3208" s="4" t="inlineStr">
        <is>
          <t>W00031886A</t>
        </is>
      </c>
      <c r="D3208" s="6">
        <f>IF(F3208&gt;=5, F3208-5, IF(F3208&lt;5, 0, F3208))</f>
        <v/>
      </c>
      <c r="E3208">
        <f>VLOOKUP(B3208,[1]Namshi!$A:$B,2,0)</f>
        <v/>
      </c>
      <c r="F3208" s="4">
        <f>SUMIFS('Dubai Stock'!I:I,'Dubai Stock'!H:H,Final_UAE!B:B)</f>
        <v/>
      </c>
      <c r="H3208" s="8" t="e">
        <v>#N/A</v>
      </c>
      <c r="I3208" s="8" t="n"/>
    </row>
    <row r="3209">
      <c r="A3209" s="4" t="n">
        <v>33834</v>
      </c>
      <c r="B3209" s="4" t="inlineStr">
        <is>
          <t>clstmon-sof-sl59-p06-sn0600</t>
        </is>
      </c>
      <c r="C3209" s="4" t="inlineStr">
        <is>
          <t>W00031886A</t>
        </is>
      </c>
      <c r="D3209" s="6">
        <f>IF(F3209&gt;=5, F3209-5, IF(F3209&lt;5, 0, F3209))</f>
        <v/>
      </c>
      <c r="E3209">
        <f>VLOOKUP(B3209,[1]Namshi!$A:$B,2,0)</f>
        <v/>
      </c>
      <c r="F3209" s="4">
        <f>SUMIFS('Dubai Stock'!I:I,'Dubai Stock'!H:H,Final_UAE!B:B)</f>
        <v/>
      </c>
      <c r="H3209" s="8" t="e">
        <v>#N/A</v>
      </c>
      <c r="I3209" s="8" t="n"/>
    </row>
    <row r="3210">
      <c r="A3210" s="4" t="n">
        <v>33834</v>
      </c>
      <c r="B3210" s="4" t="inlineStr">
        <is>
          <t>costmon-ama-lens-p02-crocodile-green-sn0900</t>
        </is>
      </c>
      <c r="C3210" s="4" t="inlineStr">
        <is>
          <t>W00031886A</t>
        </is>
      </c>
      <c r="D3210" s="6">
        <f>IF(F3210&gt;=5, F3210-5, IF(F3210&lt;5, 0, F3210))</f>
        <v/>
      </c>
      <c r="E3210">
        <f>VLOOKUP(B3210,[1]Namshi!$A:$B,2,0)</f>
        <v/>
      </c>
      <c r="F3210" s="4">
        <f>SUMIFS('Dubai Stock'!I:I,'Dubai Stock'!H:H,Final_UAE!B:B)</f>
        <v/>
      </c>
      <c r="H3210" s="8" t="e">
        <v>#N/A</v>
      </c>
      <c r="I3210" s="8" t="n"/>
    </row>
    <row r="3211">
      <c r="A3211" s="4" t="n">
        <v>33834</v>
      </c>
      <c r="B3211" s="4" t="inlineStr">
        <is>
          <t>clstdai-eve-pure-p90-Sn0900</t>
        </is>
      </c>
      <c r="C3211" s="4" t="inlineStr">
        <is>
          <t>W00031886A</t>
        </is>
      </c>
      <c r="D3211" s="6">
        <f>IF(F3211&gt;=5, F3211-5, IF(F3211&lt;5, 0, F3211))</f>
        <v/>
      </c>
      <c r="E3211">
        <f>VLOOKUP(B3211,[1]Namshi!$A:$B,2,0)</f>
        <v/>
      </c>
      <c r="F3211" s="4">
        <f>SUMIFS('Dubai Stock'!I:I,'Dubai Stock'!H:H,Final_UAE!B:B)</f>
        <v/>
      </c>
      <c r="H3211" s="8" t="n">
        <v>529</v>
      </c>
      <c r="I3211" s="8" t="n">
        <v>259</v>
      </c>
    </row>
    <row r="3212">
      <c r="A3212" s="4" t="n">
        <v>33834</v>
      </c>
      <c r="B3212" s="4" t="inlineStr">
        <is>
          <t>bc20918-bab-000502-0918-50</t>
        </is>
      </c>
      <c r="C3212" s="4" t="inlineStr">
        <is>
          <t>W00031886A</t>
        </is>
      </c>
      <c r="D3212" s="6">
        <f>IF(F3212&gt;=5, F3212-5, IF(F3212&lt;5, 0, F3212))</f>
        <v/>
      </c>
      <c r="E3212">
        <f>VLOOKUP(B3212,[1]Namshi!$A:$B,2,0)</f>
        <v/>
      </c>
      <c r="F3212" s="4">
        <f>SUMIFS('Dubai Stock'!I:I,'Dubai Stock'!H:H,Final_UAE!B:B)</f>
        <v/>
      </c>
      <c r="H3212" s="8" t="e">
        <v>#N/A</v>
      </c>
    </row>
    <row r="3213">
      <c r="A3213" s="4" t="n">
        <v>33834</v>
      </c>
      <c r="B3213" s="4" t="inlineStr">
        <is>
          <t>costmon-ama-2024-p02-chocolate-sn0225</t>
        </is>
      </c>
      <c r="C3213" s="4" t="inlineStr">
        <is>
          <t>W00031886A</t>
        </is>
      </c>
      <c r="D3213" s="6">
        <f>IF(F3213&gt;=5, F3213-5, IF(F3213&lt;5, 0, F3213))</f>
        <v/>
      </c>
      <c r="E3213">
        <f>VLOOKUP(B3213,[1]Namshi!$A:$B,2,0)</f>
        <v/>
      </c>
      <c r="F3213" s="4">
        <f>SUMIFS('Dubai Stock'!I:I,'Dubai Stock'!H:H,Final_UAE!B:B)</f>
        <v/>
      </c>
      <c r="H3213" s="8" t="e">
        <v>#N/A</v>
      </c>
      <c r="I3213" s="8" t="n"/>
    </row>
    <row r="3214">
      <c r="A3214" s="4" t="n">
        <v>33834</v>
      </c>
      <c r="B3214" s="4" t="inlineStr">
        <is>
          <t>cost3mo-lay-2021-p02-golden-gray-sn0100</t>
        </is>
      </c>
      <c r="C3214" s="4" t="inlineStr">
        <is>
          <t>W00031886A</t>
        </is>
      </c>
      <c r="D3214" s="6">
        <f>IF(F3214&gt;=5, F3214-5, IF(F3214&lt;5, 0, F3214))</f>
        <v/>
      </c>
      <c r="E3214">
        <f>VLOOKUP(B3214,[1]Namshi!$A:$B,2,0)</f>
        <v/>
      </c>
      <c r="F3214" s="4">
        <f>SUMIFS('Dubai Stock'!I:I,'Dubai Stock'!H:H,Final_UAE!B:B)</f>
        <v/>
      </c>
      <c r="H3214" s="8" t="e">
        <v>#N/A</v>
      </c>
      <c r="I3214" s="8" t="n"/>
    </row>
    <row r="3215">
      <c r="A3215" s="4" t="n">
        <v>33834</v>
      </c>
      <c r="B3215" s="4" t="inlineStr">
        <is>
          <t>costdai-acu-dffr-p10-green-sn0800</t>
        </is>
      </c>
      <c r="C3215" s="4" t="inlineStr">
        <is>
          <t>W00031886A</t>
        </is>
      </c>
      <c r="D3215" s="6">
        <f>IF(F3215&gt;=5, F3215-5, IF(F3215&lt;5, 0, F3215))</f>
        <v/>
      </c>
      <c r="E3215">
        <f>VLOOKUP(B3215,[1]Namshi!$A:$B,2,0)</f>
        <v/>
      </c>
      <c r="F3215" s="4">
        <f>SUMIFS('Dubai Stock'!I:I,'Dubai Stock'!H:H,Final_UAE!B:B)</f>
        <v/>
      </c>
      <c r="H3215" s="8" t="e">
        <v>#N/A</v>
      </c>
      <c r="I3215" s="8" t="n"/>
    </row>
    <row r="3216">
      <c r="A3216" s="4" t="n">
        <v>33834</v>
      </c>
      <c r="B3216" s="4" t="inlineStr">
        <is>
          <t>clstdai-btr-oned-p30-sn0375</t>
        </is>
      </c>
      <c r="C3216" s="4" t="inlineStr">
        <is>
          <t>W00031886A</t>
        </is>
      </c>
      <c r="D3216" s="6">
        <f>IF(F3216&gt;=5, F3216-5, IF(F3216&lt;5, 0, F3216))</f>
        <v/>
      </c>
      <c r="E3216">
        <f>VLOOKUP(B3216,[1]Namshi!$A:$B,2,0)</f>
        <v/>
      </c>
      <c r="F3216" s="4">
        <f>SUMIFS('Dubai Stock'!I:I,'Dubai Stock'!H:H,Final_UAE!B:B)</f>
        <v/>
      </c>
      <c r="H3216" s="8" t="e">
        <v>#N/A</v>
      </c>
      <c r="I3216" s="8" t="n"/>
    </row>
    <row r="3217">
      <c r="A3217" s="4" t="n">
        <v>33834</v>
      </c>
      <c r="B3217" s="4" t="inlineStr">
        <is>
          <t>cost3mo-lay-2021-p02-polar-gray-sn0400</t>
        </is>
      </c>
      <c r="C3217" s="4" t="inlineStr">
        <is>
          <t>W00031886A</t>
        </is>
      </c>
      <c r="D3217" s="6">
        <f>IF(F3217&gt;=5, F3217-5, IF(F3217&lt;5, 0, F3217))</f>
        <v/>
      </c>
      <c r="E3217">
        <f>VLOOKUP(B3217,[1]Namshi!$A:$B,2,0)</f>
        <v/>
      </c>
      <c r="F3217" s="4">
        <f>SUMIFS('Dubai Stock'!I:I,'Dubai Stock'!H:H,Final_UAE!B:B)</f>
        <v/>
      </c>
      <c r="H3217" s="8" t="e">
        <v>#N/A</v>
      </c>
      <c r="I3217" s="8" t="n"/>
    </row>
    <row r="3218">
      <c r="A3218" s="4" t="n">
        <v>33834</v>
      </c>
      <c r="B3218" s="4" t="inlineStr">
        <is>
          <t>costdai-ama-dail-p10-shadow-sn0600</t>
        </is>
      </c>
      <c r="C3218" s="4" t="inlineStr">
        <is>
          <t>W00031886A</t>
        </is>
      </c>
      <c r="D3218" s="6">
        <f>IF(F3218&gt;=5, F3218-5, IF(F3218&lt;5, 0, F3218))</f>
        <v/>
      </c>
      <c r="E3218">
        <f>VLOOKUP(B3218,[1]Namshi!$A:$B,2,0)</f>
        <v/>
      </c>
      <c r="F3218" s="4">
        <f>SUMIFS('Dubai Stock'!I:I,'Dubai Stock'!H:H,Final_UAE!B:B)</f>
        <v/>
      </c>
      <c r="H3218" s="8" t="e">
        <v>#N/A</v>
      </c>
      <c r="I3218" s="8" t="n"/>
    </row>
    <row r="3219">
      <c r="A3219" s="4" t="n">
        <v>33834</v>
      </c>
      <c r="B3219" s="4" t="inlineStr">
        <is>
          <t>sw30101-30s-000265-0101-54</t>
        </is>
      </c>
      <c r="C3219" s="4" t="inlineStr">
        <is>
          <t>W00031886A</t>
        </is>
      </c>
      <c r="D3219" s="6">
        <f>IF(F3219&gt;=5, F3219-5, IF(F3219&lt;5, 0, F3219))</f>
        <v/>
      </c>
      <c r="E3219">
        <f>VLOOKUP(B3219,[1]Namshi!$A:$B,2,0)</f>
        <v/>
      </c>
      <c r="F3219" s="4">
        <f>SUMIFS('Dubai Stock'!I:I,'Dubai Stock'!H:H,Final_UAE!B:B)</f>
        <v/>
      </c>
      <c r="H3219" s="8" t="e">
        <v>#N/A</v>
      </c>
    </row>
    <row r="3220">
      <c r="A3220" s="4" t="n">
        <v>33834</v>
      </c>
      <c r="B3220" s="4" t="inlineStr">
        <is>
          <t>clstdai-acu-oasy-p120-sn0575</t>
        </is>
      </c>
      <c r="C3220" s="4" t="inlineStr">
        <is>
          <t>W00031886A</t>
        </is>
      </c>
      <c r="D3220" s="6">
        <f>IF(F3220&gt;=5, F3220-5, IF(F3220&lt;5, 0, F3220))</f>
        <v/>
      </c>
      <c r="E3220">
        <f>VLOOKUP(B3220,[1]Namshi!$A:$B,2,0)</f>
        <v/>
      </c>
      <c r="F3220" s="4">
        <f>SUMIFS('Dubai Stock'!I:I,'Dubai Stock'!H:H,Final_UAE!B:B)</f>
        <v/>
      </c>
      <c r="H3220" s="8" t="e">
        <v>#N/A</v>
      </c>
      <c r="I3220" s="8" t="n"/>
    </row>
    <row r="3221">
      <c r="A3221" s="4" t="n">
        <v>33834</v>
      </c>
      <c r="B3221" s="4" t="inlineStr">
        <is>
          <t>sw71304-bla-000216-2904-55</t>
        </is>
      </c>
      <c r="C3221" s="4" t="inlineStr">
        <is>
          <t>W00031886A</t>
        </is>
      </c>
      <c r="D3221" s="6">
        <f>IF(F3221&gt;=5, F3221-5, IF(F3221&lt;5, 0, F3221))</f>
        <v/>
      </c>
      <c r="E3221">
        <f>VLOOKUP(B3221,[1]Namshi!$A:$B,2,0)</f>
        <v/>
      </c>
      <c r="F3221" s="4">
        <f>SUMIFS('Dubai Stock'!I:I,'Dubai Stock'!H:H,Final_UAE!B:B)</f>
        <v/>
      </c>
      <c r="H3221" s="8" t="e">
        <v>#N/A</v>
      </c>
    </row>
    <row r="3222">
      <c r="A3222" s="4" t="n">
        <v>33834</v>
      </c>
      <c r="B3222" s="4" t="inlineStr">
        <is>
          <t>costdai-acu-dffr-p10-grayzel-sn0300</t>
        </is>
      </c>
      <c r="C3222" s="4" t="inlineStr">
        <is>
          <t>W00031886A</t>
        </is>
      </c>
      <c r="D3222" s="6">
        <f>IF(F3222&gt;=5, F3222-5, IF(F3222&lt;5, 0, F3222))</f>
        <v/>
      </c>
      <c r="E3222">
        <f>VLOOKUP(B3222,[1]Namshi!$A:$B,2,0)</f>
        <v/>
      </c>
      <c r="F3222" s="4">
        <f>SUMIFS('Dubai Stock'!I:I,'Dubai Stock'!H:H,Final_UAE!B:B)</f>
        <v/>
      </c>
      <c r="H3222" s="8" t="e">
        <v>#N/A</v>
      </c>
      <c r="I3222" s="8" t="n"/>
    </row>
    <row r="3223">
      <c r="A3223" s="4" t="n">
        <v>33834</v>
      </c>
      <c r="B3223" s="4" t="inlineStr">
        <is>
          <t>clstdai-lay-cont-p10-dazzle-black-sn0075</t>
        </is>
      </c>
      <c r="C3223" s="4" t="inlineStr">
        <is>
          <t>W00031886A</t>
        </is>
      </c>
      <c r="D3223" s="6">
        <f>IF(F3223&gt;=5, F3223-5, IF(F3223&lt;5, 0, F3223))</f>
        <v/>
      </c>
      <c r="E3223">
        <f>VLOOKUP(B3223,[1]Namshi!$A:$B,2,0)</f>
        <v/>
      </c>
      <c r="F3223" s="4">
        <f>SUMIFS('Dubai Stock'!I:I,'Dubai Stock'!H:H,Final_UAE!B:B)</f>
        <v/>
      </c>
      <c r="H3223" s="8" t="e">
        <v>#N/A</v>
      </c>
      <c r="I3223" s="8" t="n"/>
    </row>
    <row r="3224">
      <c r="A3224" s="4" t="n">
        <v>33834</v>
      </c>
      <c r="B3224" s="4" t="inlineStr">
        <is>
          <t>costdai-acu-dffr-p30-rose-sn0700</t>
        </is>
      </c>
      <c r="C3224" s="4" t="inlineStr">
        <is>
          <t>W00031886A</t>
        </is>
      </c>
      <c r="D3224" s="6">
        <f>IF(F3224&gt;=5, F3224-5, IF(F3224&lt;5, 0, F3224))</f>
        <v/>
      </c>
      <c r="E3224">
        <f>VLOOKUP(B3224,[1]Namshi!$A:$B,2,0)</f>
        <v/>
      </c>
      <c r="F3224" s="4">
        <f>SUMIFS('Dubai Stock'!I:I,'Dubai Stock'!H:H,Final_UAE!B:B)</f>
        <v/>
      </c>
      <c r="H3224" s="8" t="e">
        <v>#N/A</v>
      </c>
      <c r="I3224" s="8" t="n"/>
    </row>
    <row r="3225">
      <c r="A3225" s="4" t="n">
        <v>33834</v>
      </c>
      <c r="B3225" s="4" t="inlineStr">
        <is>
          <t>clstdai-lay-cont-p10-dazzle-brown-sn0325</t>
        </is>
      </c>
      <c r="C3225" s="4" t="inlineStr">
        <is>
          <t>W00031886A</t>
        </is>
      </c>
      <c r="D3225" s="6">
        <f>IF(F3225&gt;=5, F3225-5, IF(F3225&lt;5, 0, F3225))</f>
        <v/>
      </c>
      <c r="E3225">
        <f>VLOOKUP(B3225,[1]Namshi!$A:$B,2,0)</f>
        <v/>
      </c>
      <c r="F3225" s="4">
        <f>SUMIFS('Dubai Stock'!I:I,'Dubai Stock'!H:H,Final_UAE!B:B)</f>
        <v/>
      </c>
      <c r="H3225" s="8" t="e">
        <v>#N/A</v>
      </c>
      <c r="I3225" s="8" t="n"/>
    </row>
    <row r="3226">
      <c r="A3226" s="4" t="n">
        <v>33834</v>
      </c>
      <c r="B3226" s="4" t="inlineStr">
        <is>
          <t>costdai-acu-dffr-p30-green-sn0325</t>
        </is>
      </c>
      <c r="C3226" s="4" t="inlineStr">
        <is>
          <t>W00031886A</t>
        </is>
      </c>
      <c r="D3226" s="6">
        <f>IF(F3226&gt;=5, F3226-5, IF(F3226&lt;5, 0, F3226))</f>
        <v/>
      </c>
      <c r="E3226">
        <f>VLOOKUP(B3226,[1]Namshi!$A:$B,2,0)</f>
        <v/>
      </c>
      <c r="F3226" s="4">
        <f>SUMIFS('Dubai Stock'!I:I,'Dubai Stock'!H:H,Final_UAE!B:B)</f>
        <v/>
      </c>
      <c r="H3226" s="8" t="e">
        <v>#N/A</v>
      </c>
      <c r="I3226" s="8" t="n"/>
    </row>
    <row r="3227">
      <c r="A3227" s="4" t="n">
        <v>33834</v>
      </c>
      <c r="B3227" s="4" t="inlineStr">
        <is>
          <t>su101207-bla-000274-1207-55</t>
        </is>
      </c>
      <c r="C3227" s="4" t="inlineStr">
        <is>
          <t>W00031886A</t>
        </is>
      </c>
      <c r="D3227" s="6">
        <f>IF(F3227&gt;=5, F3227-5, IF(F3227&lt;5, 0, F3227))</f>
        <v/>
      </c>
      <c r="E3227">
        <f>VLOOKUP(B3227,[1]Namshi!$A:$B,2,0)</f>
        <v/>
      </c>
      <c r="F3227" s="4">
        <f>SUMIFS('Dubai Stock'!I:I,'Dubai Stock'!H:H,Final_UAE!B:B)</f>
        <v/>
      </c>
      <c r="H3227" s="8" t="e">
        <v>#N/A</v>
      </c>
    </row>
    <row r="3228">
      <c r="A3228" s="4" t="n">
        <v>33834</v>
      </c>
      <c r="B3228" s="4" t="inlineStr">
        <is>
          <t>clstdai-dai-aqua-p30-sn0325</t>
        </is>
      </c>
      <c r="C3228" s="4" t="inlineStr">
        <is>
          <t>W00031886A</t>
        </is>
      </c>
      <c r="D3228" s="6">
        <f>IF(F3228&gt;=5, F3228-5, IF(F3228&lt;5, 0, F3228))</f>
        <v/>
      </c>
      <c r="E3228">
        <f>VLOOKUP(B3228,[1]Namshi!$A:$B,2,0)</f>
        <v/>
      </c>
      <c r="F3228" s="4">
        <f>SUMIFS('Dubai Stock'!I:I,'Dubai Stock'!H:H,Final_UAE!B:B)</f>
        <v/>
      </c>
      <c r="H3228" s="8" t="e">
        <v>#N/A</v>
      </c>
      <c r="I3228" s="8" t="n"/>
    </row>
    <row r="3229">
      <c r="A3229" s="4" t="n">
        <v>33834</v>
      </c>
      <c r="B3229" s="4" t="inlineStr">
        <is>
          <t>clstbiw-acu-cle-p06-sn0500</t>
        </is>
      </c>
      <c r="C3229" s="4" t="inlineStr">
        <is>
          <t>W00031886A</t>
        </is>
      </c>
      <c r="D3229" s="6">
        <f>IF(F3229&gt;=5, F3229-5, IF(F3229&lt;5, 0, F3229))</f>
        <v/>
      </c>
      <c r="E3229">
        <f>VLOOKUP(B3229,[1]Namshi!$A:$B,2,0)</f>
        <v/>
      </c>
      <c r="F3229" s="4">
        <f>SUMIFS('Dubai Stock'!I:I,'Dubai Stock'!H:H,Final_UAE!B:B)</f>
        <v/>
      </c>
      <c r="H3229" s="8" t="e">
        <v>#N/A</v>
      </c>
      <c r="I3229" s="8" t="n"/>
    </row>
    <row r="3230">
      <c r="A3230" s="4" t="n">
        <v>33834</v>
      </c>
      <c r="B3230" s="4" t="inlineStr">
        <is>
          <t>clstdai-acu-omax-p90-sp0250</t>
        </is>
      </c>
      <c r="C3230" s="4" t="inlineStr">
        <is>
          <t>W00031886A</t>
        </is>
      </c>
      <c r="D3230" s="6">
        <f>IF(F3230&gt;=5, F3230-5, IF(F3230&lt;5, 0, F3230))</f>
        <v/>
      </c>
      <c r="E3230">
        <f>VLOOKUP(B3230,[1]Namshi!$A:$B,2,0)</f>
        <v/>
      </c>
      <c r="F3230" s="4">
        <f>SUMIFS('Dubai Stock'!I:I,'Dubai Stock'!H:H,Final_UAE!B:B)</f>
        <v/>
      </c>
      <c r="H3230" s="8" t="e">
        <v>#N/A</v>
      </c>
      <c r="I3230" s="8" t="n"/>
    </row>
    <row r="3231">
      <c r="A3231" s="4" t="n">
        <v>33834</v>
      </c>
      <c r="B3231" s="4" t="inlineStr">
        <is>
          <t>clstdai-acu-mois-p90-sp0275</t>
        </is>
      </c>
      <c r="C3231" s="4" t="inlineStr">
        <is>
          <t>W00031886A</t>
        </is>
      </c>
      <c r="D3231" s="6">
        <f>IF(F3231&gt;=5, F3231-5, IF(F3231&lt;5, 0, F3231))</f>
        <v/>
      </c>
      <c r="E3231">
        <f>VLOOKUP(B3231,[1]Namshi!$A:$B,2,0)</f>
        <v/>
      </c>
      <c r="F3231" s="4">
        <f>SUMIFS('Dubai Stock'!I:I,'Dubai Stock'!H:H,Final_UAE!B:B)</f>
        <v/>
      </c>
      <c r="H3231" s="8" t="e">
        <v>#N/A</v>
      </c>
      <c r="I3231" s="8" t="n"/>
    </row>
    <row r="3232">
      <c r="A3232" s="4" t="n">
        <v>33834</v>
      </c>
      <c r="B3232" s="4" t="inlineStr">
        <is>
          <t>sunglasses-30Sundays-30s-000452-0107</t>
        </is>
      </c>
      <c r="C3232" s="4" t="inlineStr">
        <is>
          <t>W00031886A</t>
        </is>
      </c>
      <c r="D3232" s="6">
        <f>IF(F3232&gt;=5, F3232-5, IF(F3232&lt;5, 0, F3232))</f>
        <v/>
      </c>
      <c r="E3232">
        <f>VLOOKUP(B3232,[1]Namshi!$A:$B,2,0)</f>
        <v/>
      </c>
      <c r="F3232" s="4">
        <f>SUMIFS('Dubai Stock'!I:I,'Dubai Stock'!H:H,Final_UAE!B:B)</f>
        <v/>
      </c>
      <c r="H3232" s="8" t="e">
        <v>#N/A</v>
      </c>
      <c r="I3232" s="8" t="n"/>
    </row>
    <row r="3233">
      <c r="A3233" s="4" t="n">
        <v>33834</v>
      </c>
      <c r="B3233" s="4" t="inlineStr">
        <is>
          <t>clstdai-acu-dfvi-p60-sn0900</t>
        </is>
      </c>
      <c r="C3233" s="4" t="inlineStr">
        <is>
          <t>W00031886A</t>
        </is>
      </c>
      <c r="D3233" s="6">
        <f>IF(F3233&gt;=5, F3233-5, IF(F3233&lt;5, 0, F3233))</f>
        <v/>
      </c>
      <c r="E3233">
        <f>VLOOKUP(B3233,[1]Namshi!$A:$B,2,0)</f>
        <v/>
      </c>
      <c r="F3233" s="4">
        <f>SUMIFS('Dubai Stock'!I:I,'Dubai Stock'!H:H,Final_UAE!B:B)</f>
        <v/>
      </c>
      <c r="H3233" s="8" t="e">
        <v>#N/A</v>
      </c>
      <c r="I3233" s="8" t="n"/>
    </row>
    <row r="3234">
      <c r="A3234" s="4" t="n">
        <v>33834</v>
      </c>
      <c r="B3234" s="4" t="inlineStr">
        <is>
          <t>costdai-acu-dffr-p30-hazel-sn0750</t>
        </is>
      </c>
      <c r="C3234" s="4" t="inlineStr">
        <is>
          <t>W00031886A</t>
        </is>
      </c>
      <c r="D3234" s="6">
        <f>IF(F3234&gt;=5, F3234-5, IF(F3234&lt;5, 0, F3234))</f>
        <v/>
      </c>
      <c r="E3234">
        <f>VLOOKUP(B3234,[1]Namshi!$A:$B,2,0)</f>
        <v/>
      </c>
      <c r="F3234" s="4">
        <f>SUMIFS('Dubai Stock'!I:I,'Dubai Stock'!H:H,Final_UAE!B:B)</f>
        <v/>
      </c>
      <c r="H3234" s="8" t="e">
        <v>#N/A</v>
      </c>
      <c r="I3234" s="8" t="n"/>
    </row>
    <row r="3235">
      <c r="A3235" s="4" t="n">
        <v>33834</v>
      </c>
      <c r="B3235" s="4" t="inlineStr">
        <is>
          <t>clstdai-dai-tot1-p30-sn0475</t>
        </is>
      </c>
      <c r="C3235" s="4" t="inlineStr">
        <is>
          <t>W00031886A</t>
        </is>
      </c>
      <c r="D3235" s="6">
        <f>IF(F3235&gt;=5, F3235-5, IF(F3235&lt;5, 0, F3235))</f>
        <v/>
      </c>
      <c r="E3235">
        <f>VLOOKUP(B3235,[1]Namshi!$A:$B,2,0)</f>
        <v/>
      </c>
      <c r="F3235" s="4">
        <f>SUMIFS('Dubai Stock'!I:I,'Dubai Stock'!H:H,Final_UAE!B:B)</f>
        <v/>
      </c>
      <c r="H3235" s="8" t="e">
        <v>#N/A</v>
      </c>
      <c r="I3235" s="8" t="n"/>
    </row>
    <row r="3236">
      <c r="A3236" s="4" t="n">
        <v>33834</v>
      </c>
      <c r="B3236" s="4" t="inlineStr">
        <is>
          <t>cost3mo-lay-2022-p02-avena-brown-sn0400</t>
        </is>
      </c>
      <c r="C3236" s="4" t="inlineStr">
        <is>
          <t>W00031886A</t>
        </is>
      </c>
      <c r="D3236" s="6">
        <f>IF(F3236&gt;=5, F3236-5, IF(F3236&lt;5, 0, F3236))</f>
        <v/>
      </c>
      <c r="E3236">
        <f>VLOOKUP(B3236,[1]Namshi!$A:$B,2,0)</f>
        <v/>
      </c>
      <c r="F3236" s="4">
        <f>SUMIFS('Dubai Stock'!I:I,'Dubai Stock'!H:H,Final_UAE!B:B)</f>
        <v/>
      </c>
      <c r="H3236" s="8" t="e">
        <v>#N/A</v>
      </c>
      <c r="I3236" s="8" t="n"/>
    </row>
    <row r="3237">
      <c r="A3237" s="4" t="n">
        <v>33834</v>
      </c>
      <c r="B3237" s="4" t="inlineStr">
        <is>
          <t>clstdai-acu-dfrb-p30-sn0225</t>
        </is>
      </c>
      <c r="C3237" s="4" t="inlineStr">
        <is>
          <t>W00031886A</t>
        </is>
      </c>
      <c r="D3237" s="6">
        <f>IF(F3237&gt;=5, F3237-5, IF(F3237&lt;5, 0, F3237))</f>
        <v/>
      </c>
      <c r="E3237">
        <f>VLOOKUP(B3237,[1]Namshi!$A:$B,2,0)</f>
        <v/>
      </c>
      <c r="F3237" s="4">
        <f>SUMIFS('Dubai Stock'!I:I,'Dubai Stock'!H:H,Final_UAE!B:B)</f>
        <v/>
      </c>
      <c r="H3237" s="8" t="e">
        <v>#N/A</v>
      </c>
      <c r="I3237" s="8" t="n"/>
    </row>
    <row r="3238">
      <c r="A3238" s="4" t="n">
        <v>33834</v>
      </c>
      <c r="B3238" s="4" t="inlineStr">
        <is>
          <t>clstdai-sof-sdai-p30-sn0500</t>
        </is>
      </c>
      <c r="C3238" s="4" t="inlineStr">
        <is>
          <t>W00031886A</t>
        </is>
      </c>
      <c r="D3238" s="6">
        <f>IF(F3238&gt;=5, F3238-5, IF(F3238&lt;5, 0, F3238))</f>
        <v/>
      </c>
      <c r="E3238">
        <f>VLOOKUP(B3238,[1]Namshi!$A:$B,2,0)</f>
        <v/>
      </c>
      <c r="F3238" s="4">
        <f>SUMIFS('Dubai Stock'!I:I,'Dubai Stock'!H:H,Final_UAE!B:B)</f>
        <v/>
      </c>
      <c r="H3238" s="8" t="e">
        <v>#N/A</v>
      </c>
      <c r="I3238" s="8" t="n"/>
    </row>
    <row r="3239">
      <c r="A3239" s="4" t="n">
        <v>33834</v>
      </c>
      <c r="B3239" s="4" t="inlineStr">
        <is>
          <t>clstbiw-acu-0002-p06-sn0125</t>
        </is>
      </c>
      <c r="C3239" s="4" t="inlineStr">
        <is>
          <t>W00031886A</t>
        </is>
      </c>
      <c r="D3239" s="6">
        <f>IF(F3239&gt;=5, F3239-5, IF(F3239&lt;5, 0, F3239))</f>
        <v/>
      </c>
      <c r="E3239">
        <f>VLOOKUP(B3239,[1]Namshi!$A:$B,2,0)</f>
        <v/>
      </c>
      <c r="F3239" s="4">
        <f>SUMIFS('Dubai Stock'!I:I,'Dubai Stock'!H:H,Final_UAE!B:B)</f>
        <v/>
      </c>
      <c r="H3239" s="8" t="e">
        <v>#N/A</v>
      </c>
      <c r="I3239" s="8" t="n"/>
    </row>
    <row r="3240">
      <c r="A3240" s="4" t="n">
        <v>33834</v>
      </c>
      <c r="B3240" s="4" t="inlineStr">
        <is>
          <t>su102909-30s-000499-2909-54</t>
        </is>
      </c>
      <c r="C3240" s="4" t="inlineStr">
        <is>
          <t>W00031886A</t>
        </is>
      </c>
      <c r="D3240" s="6">
        <f>IF(F3240&gt;=5, F3240-5, IF(F3240&lt;5, 0, F3240))</f>
        <v/>
      </c>
      <c r="E3240">
        <f>VLOOKUP(B3240,[1]Namshi!$A:$B,2,0)</f>
        <v/>
      </c>
      <c r="F3240" s="4">
        <f>SUMIFS('Dubai Stock'!I:I,'Dubai Stock'!H:H,Final_UAE!B:B)</f>
        <v/>
      </c>
      <c r="H3240" s="8" t="e">
        <v>#N/A</v>
      </c>
      <c r="I3240" s="8" t="n"/>
    </row>
    <row r="3241">
      <c r="A3241" s="4" t="n">
        <v>33834</v>
      </c>
      <c r="B3241" s="4" t="inlineStr">
        <is>
          <t>clstdai-lay-cont-p30-dazzle-brown-sn0700</t>
        </is>
      </c>
      <c r="C3241" s="4" t="inlineStr">
        <is>
          <t>W00031886A</t>
        </is>
      </c>
      <c r="D3241" s="6">
        <f>IF(F3241&gt;=5, F3241-5, IF(F3241&lt;5, 0, F3241))</f>
        <v/>
      </c>
      <c r="E3241">
        <f>VLOOKUP(B3241,[1]Namshi!$A:$B,2,0)</f>
        <v/>
      </c>
      <c r="F3241" s="4">
        <f>SUMIFS('Dubai Stock'!I:I,'Dubai Stock'!H:H,Final_UAE!B:B)</f>
        <v/>
      </c>
      <c r="H3241" s="8" t="e">
        <v>#N/A</v>
      </c>
      <c r="I3241" s="8" t="n"/>
    </row>
    <row r="3242">
      <c r="A3242" s="4" t="n">
        <v>33834</v>
      </c>
      <c r="B3242" s="4" t="inlineStr">
        <is>
          <t>sw62906-bla-000241-2906-58</t>
        </is>
      </c>
      <c r="C3242" s="4" t="inlineStr">
        <is>
          <t>W00031886A</t>
        </is>
      </c>
      <c r="D3242" s="6">
        <f>IF(F3242&gt;=5, F3242-5, IF(F3242&lt;5, 0, F3242))</f>
        <v/>
      </c>
      <c r="E3242">
        <f>VLOOKUP(B3242,[1]Namshi!$A:$B,2,0)</f>
        <v/>
      </c>
      <c r="F3242" s="4">
        <f>SUMIFS('Dubai Stock'!I:I,'Dubai Stock'!H:H,Final_UAE!B:B)</f>
        <v/>
      </c>
      <c r="H3242" s="8" t="e">
        <v>#N/A</v>
      </c>
    </row>
    <row r="3243">
      <c r="A3243" s="4" t="n">
        <v>33834</v>
      </c>
      <c r="B3243" s="4" t="inlineStr">
        <is>
          <t>cost3mo-cel-natu-p01-forest-green-sp0250</t>
        </is>
      </c>
      <c r="C3243" s="4" t="inlineStr">
        <is>
          <t>W00031886A</t>
        </is>
      </c>
      <c r="D3243" s="6">
        <f>IF(F3243&gt;=5, F3243-5, IF(F3243&lt;5, 0, F3243))</f>
        <v/>
      </c>
      <c r="E3243">
        <f>VLOOKUP(B3243,[1]Namshi!$A:$B,2,0)</f>
        <v/>
      </c>
      <c r="F3243" s="4">
        <f>SUMIFS('Dubai Stock'!I:I,'Dubai Stock'!H:H,Final_UAE!B:B)</f>
        <v/>
      </c>
      <c r="H3243" s="8" t="e">
        <v>#N/A</v>
      </c>
      <c r="I3243" s="8" t="n"/>
    </row>
    <row r="3244">
      <c r="A3244" s="4" t="n">
        <v>33834</v>
      </c>
      <c r="B3244" s="4" t="inlineStr">
        <is>
          <t>clstdai-acu-oasy-p30-sp0500</t>
        </is>
      </c>
      <c r="C3244" s="4" t="inlineStr">
        <is>
          <t>W00031886A</t>
        </is>
      </c>
      <c r="D3244" s="6">
        <f>IF(F3244&gt;=5, F3244-5, IF(F3244&lt;5, 0, F3244))</f>
        <v/>
      </c>
      <c r="E3244">
        <f>VLOOKUP(B3244,[1]Namshi!$A:$B,2,0)</f>
        <v/>
      </c>
      <c r="F3244" s="4">
        <f>SUMIFS('Dubai Stock'!I:I,'Dubai Stock'!H:H,Final_UAE!B:B)</f>
        <v/>
      </c>
      <c r="H3244" s="8" t="e">
        <v>#N/A</v>
      </c>
      <c r="I3244" s="8" t="n"/>
    </row>
    <row r="3245">
      <c r="A3245" s="4" t="n">
        <v>33834</v>
      </c>
      <c r="B3245" s="4" t="inlineStr">
        <is>
          <t>sm10107-30s-000208-0107-56</t>
        </is>
      </c>
      <c r="C3245" s="4" t="inlineStr">
        <is>
          <t>W00031886A</t>
        </is>
      </c>
      <c r="D3245" s="6">
        <f>IF(F3245&gt;=5, F3245-5, IF(F3245&lt;5, 0, F3245))</f>
        <v/>
      </c>
      <c r="E3245">
        <f>VLOOKUP(B3245,[1]Namshi!$A:$B,2,0)</f>
        <v/>
      </c>
      <c r="F3245" s="4">
        <f>SUMIFS('Dubai Stock'!I:I,'Dubai Stock'!H:H,Final_UAE!B:B)</f>
        <v/>
      </c>
      <c r="H3245" s="8" t="e">
        <v>#N/A</v>
      </c>
    </row>
    <row r="3246">
      <c r="A3246" s="4" t="n">
        <v>33834</v>
      </c>
      <c r="B3246" s="4" t="inlineStr">
        <is>
          <t>cost3mo-lay-2021-p02-skye-blue-sn0550</t>
        </is>
      </c>
      <c r="C3246" s="4" t="inlineStr">
        <is>
          <t>W00031886A</t>
        </is>
      </c>
      <c r="D3246" s="6">
        <f>IF(F3246&gt;=5, F3246-5, IF(F3246&lt;5, 0, F3246))</f>
        <v/>
      </c>
      <c r="E3246">
        <f>VLOOKUP(B3246,[1]Namshi!$A:$B,2,0)</f>
        <v/>
      </c>
      <c r="F3246" s="4">
        <f>SUMIFS('Dubai Stock'!I:I,'Dubai Stock'!H:H,Final_UAE!B:B)</f>
        <v/>
      </c>
      <c r="H3246" s="8" t="e">
        <v>#N/A</v>
      </c>
      <c r="I3246" s="8" t="n"/>
    </row>
    <row r="3247">
      <c r="A3247" s="4" t="n">
        <v>33834</v>
      </c>
      <c r="B3247" s="4" t="inlineStr">
        <is>
          <t>clstbiw-acu-oasy-p06-sn0375</t>
        </is>
      </c>
      <c r="C3247" s="4" t="inlineStr">
        <is>
          <t>W00031886A</t>
        </is>
      </c>
      <c r="D3247" s="6">
        <f>IF(F3247&gt;=5, F3247-5, IF(F3247&lt;5, 0, F3247))</f>
        <v/>
      </c>
      <c r="E3247">
        <f>VLOOKUP(B3247,[1]Namshi!$A:$B,2,0)</f>
        <v/>
      </c>
      <c r="F3247" s="4">
        <f>SUMIFS('Dubai Stock'!I:I,'Dubai Stock'!H:H,Final_UAE!B:B)</f>
        <v/>
      </c>
      <c r="H3247" s="8" t="e">
        <v>#N/A</v>
      </c>
      <c r="I3247" s="8" t="n"/>
    </row>
    <row r="3248">
      <c r="A3248" s="4" t="n">
        <v>33834</v>
      </c>
      <c r="B3248" s="4" t="inlineStr">
        <is>
          <t>sw52404-30s-000275-2404-48</t>
        </is>
      </c>
      <c r="C3248" s="4" t="inlineStr">
        <is>
          <t>W00031886A</t>
        </is>
      </c>
      <c r="D3248" s="6">
        <f>IF(F3248&gt;=5, F3248-5, IF(F3248&lt;5, 0, F3248))</f>
        <v/>
      </c>
      <c r="E3248">
        <f>VLOOKUP(B3248,[1]Namshi!$A:$B,2,0)</f>
        <v/>
      </c>
      <c r="F3248" s="4">
        <f>SUMIFS('Dubai Stock'!I:I,'Dubai Stock'!H:H,Final_UAE!B:B)</f>
        <v/>
      </c>
      <c r="H3248" s="8" t="e">
        <v>#N/A</v>
      </c>
    </row>
    <row r="3249">
      <c r="A3249" s="4" t="n">
        <v>33834</v>
      </c>
      <c r="B3249" s="4" t="inlineStr">
        <is>
          <t>cost3mo-lay-2024-p02-moon-gray-sn0450</t>
        </is>
      </c>
      <c r="C3249" s="4" t="inlineStr">
        <is>
          <t>W00031886A</t>
        </is>
      </c>
      <c r="D3249" s="6">
        <f>IF(F3249&gt;=5, F3249-5, IF(F3249&lt;5, 0, F3249))</f>
        <v/>
      </c>
      <c r="E3249">
        <f>VLOOKUP(B3249,[1]Namshi!$A:$B,2,0)</f>
        <v/>
      </c>
      <c r="F3249" s="4">
        <f>SUMIFS('Dubai Stock'!I:I,'Dubai Stock'!H:H,Final_UAE!B:B)</f>
        <v/>
      </c>
      <c r="H3249" s="8" t="e">
        <v>#N/A</v>
      </c>
      <c r="I3249" s="8" t="n"/>
    </row>
    <row r="3250">
      <c r="A3250" s="4" t="n">
        <v>33834</v>
      </c>
      <c r="B3250" s="4" t="inlineStr">
        <is>
          <t>clstdai-lay-cont-p10-dazzle-black-sn0050</t>
        </is>
      </c>
      <c r="C3250" s="4" t="inlineStr">
        <is>
          <t>W00031886A</t>
        </is>
      </c>
      <c r="D3250" s="6">
        <f>IF(F3250&gt;=5, F3250-5, IF(F3250&lt;5, 0, F3250))</f>
        <v/>
      </c>
      <c r="E3250">
        <f>VLOOKUP(B3250,[1]Namshi!$A:$B,2,0)</f>
        <v/>
      </c>
      <c r="F3250" s="4">
        <f>SUMIFS('Dubai Stock'!I:I,'Dubai Stock'!H:H,Final_UAE!B:B)</f>
        <v/>
      </c>
      <c r="H3250" s="8" t="e">
        <v>#N/A</v>
      </c>
      <c r="I3250" s="8" t="n"/>
    </row>
    <row r="3251">
      <c r="A3251" s="4" t="n">
        <v>33834</v>
      </c>
      <c r="B3251" s="4" t="inlineStr">
        <is>
          <t>clstdai-acu-oasy-p120-sn0275</t>
        </is>
      </c>
      <c r="C3251" s="4" t="inlineStr">
        <is>
          <t>W00031886A</t>
        </is>
      </c>
      <c r="D3251" s="6">
        <f>IF(F3251&gt;=5, F3251-5, IF(F3251&lt;5, 0, F3251))</f>
        <v/>
      </c>
      <c r="E3251">
        <f>VLOOKUP(B3251,[1]Namshi!$A:$B,2,0)</f>
        <v/>
      </c>
      <c r="F3251" s="4">
        <f>SUMIFS('Dubai Stock'!I:I,'Dubai Stock'!H:H,Final_UAE!B:B)</f>
        <v/>
      </c>
      <c r="H3251" s="8" t="e">
        <v>#N/A</v>
      </c>
      <c r="I3251" s="8" t="n"/>
    </row>
    <row r="3252">
      <c r="A3252" s="4" t="n">
        <v>33834</v>
      </c>
      <c r="B3252" s="4" t="inlineStr">
        <is>
          <t>clstdai-acu-omax-p90-sn0225</t>
        </is>
      </c>
      <c r="C3252" s="4" t="inlineStr">
        <is>
          <t>W00031886A</t>
        </is>
      </c>
      <c r="D3252" s="6">
        <f>IF(F3252&gt;=5, F3252-5, IF(F3252&lt;5, 0, F3252))</f>
        <v/>
      </c>
      <c r="E3252">
        <f>VLOOKUP(B3252,[1]Namshi!$A:$B,2,0)</f>
        <v/>
      </c>
      <c r="F3252" s="4">
        <f>SUMIFS('Dubai Stock'!I:I,'Dubai Stock'!H:H,Final_UAE!B:B)</f>
        <v/>
      </c>
      <c r="H3252" s="8" t="e">
        <v>#N/A</v>
      </c>
      <c r="I3252" s="8" t="n"/>
    </row>
    <row r="3253">
      <c r="A3253" s="4" t="n">
        <v>33834</v>
      </c>
      <c r="B3253" s="4" t="inlineStr">
        <is>
          <t>clstdai-acu-oasy-p60-sn0050</t>
        </is>
      </c>
      <c r="C3253" s="4" t="inlineStr">
        <is>
          <t>W00031886A</t>
        </is>
      </c>
      <c r="D3253" s="6">
        <f>IF(F3253&gt;=5, F3253-5, IF(F3253&lt;5, 0, F3253))</f>
        <v/>
      </c>
      <c r="E3253">
        <f>VLOOKUP(B3253,[1]Namshi!$A:$B,2,0)</f>
        <v/>
      </c>
      <c r="F3253" s="4">
        <f>SUMIFS('Dubai Stock'!I:I,'Dubai Stock'!H:H,Final_UAE!B:B)</f>
        <v/>
      </c>
      <c r="H3253" s="8" t="e">
        <v>#N/A</v>
      </c>
      <c r="I3253" s="8" t="n"/>
    </row>
    <row r="3254">
      <c r="A3254" s="4" t="n">
        <v>33834</v>
      </c>
      <c r="B3254" s="4" t="inlineStr">
        <is>
          <t>clstdai-lay-cont-p60-dazzle-black-sn0600</t>
        </is>
      </c>
      <c r="C3254" s="4" t="inlineStr">
        <is>
          <t>W00031886A</t>
        </is>
      </c>
      <c r="D3254" s="6">
        <f>IF(F3254&gt;=5, F3254-5, IF(F3254&lt;5, 0, F3254))</f>
        <v/>
      </c>
      <c r="E3254">
        <f>VLOOKUP(B3254,[1]Namshi!$A:$B,2,0)</f>
        <v/>
      </c>
      <c r="F3254" s="4">
        <f>SUMIFS('Dubai Stock'!I:I,'Dubai Stock'!H:H,Final_UAE!B:B)</f>
        <v/>
      </c>
      <c r="H3254" s="8" t="e">
        <v>#N/A</v>
      </c>
      <c r="I3254" s="8" t="n"/>
    </row>
    <row r="3255">
      <c r="A3255" s="4" t="n">
        <v>33834</v>
      </c>
      <c r="B3255" s="4" t="inlineStr">
        <is>
          <t>sc51306-bab-000505-1306-43</t>
        </is>
      </c>
      <c r="C3255" s="4" t="inlineStr">
        <is>
          <t>W00031886A</t>
        </is>
      </c>
      <c r="D3255" s="6">
        <f>IF(F3255&gt;=5, F3255-5, IF(F3255&lt;5, 0, F3255))</f>
        <v/>
      </c>
      <c r="E3255">
        <f>VLOOKUP(B3255,[1]Namshi!$A:$B,2,0)</f>
        <v/>
      </c>
      <c r="F3255" s="4">
        <f>SUMIFS('Dubai Stock'!I:I,'Dubai Stock'!H:H,Final_UAE!B:B)</f>
        <v/>
      </c>
      <c r="H3255" s="8" t="e">
        <v>#N/A</v>
      </c>
    </row>
    <row r="3256">
      <c r="A3256" s="4" t="n">
        <v>33834</v>
      </c>
      <c r="B3256" s="4" t="inlineStr">
        <is>
          <t>clstdai-acu-mois-p60-sn0275</t>
        </is>
      </c>
      <c r="C3256" s="4" t="inlineStr">
        <is>
          <t>W00031886A</t>
        </is>
      </c>
      <c r="D3256" s="6">
        <f>IF(F3256&gt;=5, F3256-5, IF(F3256&lt;5, 0, F3256))</f>
        <v/>
      </c>
      <c r="E3256">
        <f>VLOOKUP(B3256,[1]Namshi!$A:$B,2,0)</f>
        <v/>
      </c>
      <c r="F3256" s="4">
        <f>SUMIFS('Dubai Stock'!I:I,'Dubai Stock'!H:H,Final_UAE!B:B)</f>
        <v/>
      </c>
      <c r="H3256" s="8" t="e">
        <v>#N/A</v>
      </c>
      <c r="I3256" s="8" t="n"/>
    </row>
    <row r="3257">
      <c r="A3257" s="4" t="n">
        <v>33834</v>
      </c>
      <c r="B3257" s="4" t="inlineStr">
        <is>
          <t>costmon-ama-2022-p02-cocoa-sn0100</t>
        </is>
      </c>
      <c r="C3257" s="4" t="inlineStr">
        <is>
          <t>W00031886A</t>
        </is>
      </c>
      <c r="D3257" s="6">
        <f>IF(F3257&gt;=5, F3257-5, IF(F3257&lt;5, 0, F3257))</f>
        <v/>
      </c>
      <c r="E3257">
        <f>VLOOKUP(B3257,[1]Namshi!$A:$B,2,0)</f>
        <v/>
      </c>
      <c r="F3257" s="4">
        <f>SUMIFS('Dubai Stock'!I:I,'Dubai Stock'!H:H,Final_UAE!B:B)</f>
        <v/>
      </c>
      <c r="H3257" s="8" t="e">
        <v>#N/A</v>
      </c>
      <c r="I3257" s="8" t="n"/>
    </row>
    <row r="3258">
      <c r="A3258" s="4" t="n">
        <v>33834</v>
      </c>
      <c r="B3258" s="4" t="inlineStr">
        <is>
          <t>sw50202-30s-000118-2302-56</t>
        </is>
      </c>
      <c r="C3258" s="4" t="inlineStr">
        <is>
          <t>W00031886A</t>
        </is>
      </c>
      <c r="D3258" s="6">
        <f>IF(F3258&gt;=5, F3258-5, IF(F3258&lt;5, 0, F3258))</f>
        <v/>
      </c>
      <c r="E3258">
        <f>VLOOKUP(B3258,[1]Namshi!$A:$B,2,0)</f>
        <v/>
      </c>
      <c r="F3258" s="4">
        <f>SUMIFS('Dubai Stock'!I:I,'Dubai Stock'!H:H,Final_UAE!B:B)</f>
        <v/>
      </c>
      <c r="H3258" s="8" t="e">
        <v>#N/A</v>
      </c>
    </row>
    <row r="3259">
      <c r="A3259" s="4" t="n">
        <v>33834</v>
      </c>
      <c r="B3259" s="4" t="inlineStr">
        <is>
          <t>sw30407-bla-000222-2102-57</t>
        </is>
      </c>
      <c r="C3259" s="4" t="inlineStr">
        <is>
          <t>W00031886A</t>
        </is>
      </c>
      <c r="D3259" s="6">
        <f>IF(F3259&gt;=5, F3259-5, IF(F3259&lt;5, 0, F3259))</f>
        <v/>
      </c>
      <c r="E3259">
        <f>VLOOKUP(B3259,[1]Namshi!$A:$B,2,0)</f>
        <v/>
      </c>
      <c r="F3259" s="4">
        <f>SUMIFS('Dubai Stock'!I:I,'Dubai Stock'!H:H,Final_UAE!B:B)</f>
        <v/>
      </c>
      <c r="H3259" s="8" t="e">
        <v>#N/A</v>
      </c>
    </row>
    <row r="3260">
      <c r="A3260" s="4" t="n">
        <v>33834</v>
      </c>
      <c r="B3260" s="4" t="inlineStr">
        <is>
          <t>clstdai-acu-oasy-p120-sn0650</t>
        </is>
      </c>
      <c r="C3260" s="4" t="inlineStr">
        <is>
          <t>W00031886A</t>
        </is>
      </c>
      <c r="D3260" s="6">
        <f>IF(F3260&gt;=5, F3260-5, IF(F3260&lt;5, 0, F3260))</f>
        <v/>
      </c>
      <c r="E3260">
        <f>VLOOKUP(B3260,[1]Namshi!$A:$B,2,0)</f>
        <v/>
      </c>
      <c r="F3260" s="4">
        <f>SUMIFS('Dubai Stock'!I:I,'Dubai Stock'!H:H,Final_UAE!B:B)</f>
        <v/>
      </c>
      <c r="H3260" s="8" t="e">
        <v>#N/A</v>
      </c>
      <c r="I3260" s="8" t="n"/>
    </row>
    <row r="3261">
      <c r="A3261" s="4" t="n">
        <v>33834</v>
      </c>
      <c r="B3261" s="4" t="inlineStr">
        <is>
          <t>clstdai-eve-elit-p30-sp0400</t>
        </is>
      </c>
      <c r="C3261" s="4" t="inlineStr">
        <is>
          <t>W00031886A</t>
        </is>
      </c>
      <c r="D3261" s="6">
        <f>IF(F3261&gt;=5, F3261-5, IF(F3261&lt;5, 0, F3261))</f>
        <v/>
      </c>
      <c r="E3261">
        <f>VLOOKUP(B3261,[1]Namshi!$A:$B,2,0)</f>
        <v/>
      </c>
      <c r="F3261" s="4">
        <f>SUMIFS('Dubai Stock'!I:I,'Dubai Stock'!H:H,Final_UAE!B:B)</f>
        <v/>
      </c>
      <c r="H3261" s="8" t="n">
        <v>261</v>
      </c>
      <c r="I3261" s="8" t="n">
        <v>146.3</v>
      </c>
    </row>
    <row r="3262">
      <c r="A3262" s="4" t="n">
        <v>33834</v>
      </c>
      <c r="B3262" s="4" t="inlineStr">
        <is>
          <t>cost3mo-lay-2021-p02-polar-gray-sp0000</t>
        </is>
      </c>
      <c r="C3262" s="4" t="inlineStr">
        <is>
          <t>W00031886A</t>
        </is>
      </c>
      <c r="D3262" s="6">
        <f>IF(F3262&gt;=5, F3262-5, IF(F3262&lt;5, 0, F3262))</f>
        <v/>
      </c>
      <c r="E3262">
        <f>VLOOKUP(B3262,[1]Namshi!$A:$B,2,0)</f>
        <v/>
      </c>
      <c r="F3262" s="4">
        <f>SUMIFS('Dubai Stock'!I:I,'Dubai Stock'!H:H,Final_UAE!B:B)</f>
        <v/>
      </c>
      <c r="H3262" s="8" t="e">
        <v>#N/A</v>
      </c>
      <c r="I3262" s="8" t="n"/>
    </row>
    <row r="3263">
      <c r="A3263" s="4" t="n">
        <v>33834</v>
      </c>
      <c r="B3263" s="4" t="inlineStr">
        <is>
          <t>cost3mo-lay-lens-p02-forest-green-sn0250</t>
        </is>
      </c>
      <c r="C3263" s="4" t="inlineStr">
        <is>
          <t>W00031886A</t>
        </is>
      </c>
      <c r="D3263" s="6">
        <f>IF(F3263&gt;=5, F3263-5, IF(F3263&lt;5, 0, F3263))</f>
        <v/>
      </c>
      <c r="E3263">
        <f>VLOOKUP(B3263,[1]Namshi!$A:$B,2,0)</f>
        <v/>
      </c>
      <c r="F3263" s="4">
        <f>SUMIFS('Dubai Stock'!I:I,'Dubai Stock'!H:H,Final_UAE!B:B)</f>
        <v/>
      </c>
      <c r="H3263" s="8" t="e">
        <v>#N/A</v>
      </c>
      <c r="I3263" s="8" t="n"/>
    </row>
    <row r="3264">
      <c r="A3264" s="4" t="n">
        <v>33834</v>
      </c>
      <c r="B3264" s="4" t="inlineStr">
        <is>
          <t>clstdai-eve-elit-p30-sn0175</t>
        </is>
      </c>
      <c r="C3264" s="4" t="inlineStr">
        <is>
          <t>W00031886A</t>
        </is>
      </c>
      <c r="D3264" s="6">
        <f>IF(F3264&gt;=5, F3264-5, IF(F3264&lt;5, 0, F3264))</f>
        <v/>
      </c>
      <c r="E3264">
        <f>VLOOKUP(B3264,[1]Namshi!$A:$B,2,0)</f>
        <v/>
      </c>
      <c r="F3264" s="4">
        <f>SUMIFS('Dubai Stock'!I:I,'Dubai Stock'!H:H,Final_UAE!B:B)</f>
        <v/>
      </c>
      <c r="H3264" s="8" t="n">
        <v>261</v>
      </c>
      <c r="I3264" s="8" t="n">
        <v>146.3</v>
      </c>
    </row>
    <row r="3265">
      <c r="A3265" s="4" t="n">
        <v>33834</v>
      </c>
      <c r="B3265" s="4" t="inlineStr">
        <is>
          <t>sacchan-30s-chain132-bge-zen-beige</t>
        </is>
      </c>
      <c r="C3265" s="4" t="inlineStr">
        <is>
          <t>W00031886A</t>
        </is>
      </c>
      <c r="D3265" s="6">
        <f>IF(F3265&gt;=5, F3265-5, IF(F3265&lt;5, 0, F3265))</f>
        <v/>
      </c>
      <c r="E3265">
        <f>VLOOKUP(B3265,[1]Namshi!$A:$B,2,0)</f>
        <v/>
      </c>
      <c r="F3265" s="4">
        <f>SUMIFS('Dubai Stock'!I:I,'Dubai Stock'!H:H,Final_UAE!B:B)</f>
        <v/>
      </c>
      <c r="H3265" s="8" t="e">
        <v>#N/A</v>
      </c>
      <c r="I3265" s="8" t="n"/>
    </row>
    <row r="3266">
      <c r="A3266" s="4" t="n">
        <v>33834</v>
      </c>
      <c r="B3266" s="4" t="inlineStr">
        <is>
          <t>su41204-bla-000265-1204-59</t>
        </is>
      </c>
      <c r="C3266" s="4" t="inlineStr">
        <is>
          <t>W00031886A</t>
        </is>
      </c>
      <c r="D3266" s="6">
        <f>IF(F3266&gt;=5, F3266-5, IF(F3266&lt;5, 0, F3266))</f>
        <v/>
      </c>
      <c r="E3266">
        <f>VLOOKUP(B3266,[1]Namshi!$A:$B,2,0)</f>
        <v/>
      </c>
      <c r="F3266" s="4">
        <f>SUMIFS('Dubai Stock'!I:I,'Dubai Stock'!H:H,Final_UAE!B:B)</f>
        <v/>
      </c>
      <c r="H3266" s="8" t="e">
        <v>#N/A</v>
      </c>
    </row>
    <row r="3267">
      <c r="A3267" s="4" t="n">
        <v>33834</v>
      </c>
      <c r="B3267" s="4" t="inlineStr">
        <is>
          <t>sm50101-30s-000298-0101-53</t>
        </is>
      </c>
      <c r="C3267" s="4" t="inlineStr">
        <is>
          <t>W00031886A</t>
        </is>
      </c>
      <c r="D3267" s="6">
        <f>IF(F3267&gt;=5, F3267-5, IF(F3267&lt;5, 0, F3267))</f>
        <v/>
      </c>
      <c r="E3267">
        <f>VLOOKUP(B3267,[1]Namshi!$A:$B,2,0)</f>
        <v/>
      </c>
      <c r="F3267" s="4">
        <f>SUMIFS('Dubai Stock'!I:I,'Dubai Stock'!H:H,Final_UAE!B:B)</f>
        <v/>
      </c>
      <c r="H3267" s="8" t="e">
        <v>#N/A</v>
      </c>
    </row>
    <row r="3268">
      <c r="A3268" s="4" t="n">
        <v>33834</v>
      </c>
      <c r="B3268" s="4" t="inlineStr">
        <is>
          <t>clstbiw-acu-0002-p06-sn0225</t>
        </is>
      </c>
      <c r="C3268" s="4" t="inlineStr">
        <is>
          <t>W00031886A</t>
        </is>
      </c>
      <c r="D3268" s="6">
        <f>IF(F3268&gt;=5, F3268-5, IF(F3268&lt;5, 0, F3268))</f>
        <v/>
      </c>
      <c r="E3268">
        <f>VLOOKUP(B3268,[1]Namshi!$A:$B,2,0)</f>
        <v/>
      </c>
      <c r="F3268" s="4">
        <f>SUMIFS('Dubai Stock'!I:I,'Dubai Stock'!H:H,Final_UAE!B:B)</f>
        <v/>
      </c>
      <c r="H3268" s="8" t="e">
        <v>#N/A</v>
      </c>
      <c r="I3268" s="8" t="n"/>
    </row>
    <row r="3269">
      <c r="A3269" s="4" t="n">
        <v>33834</v>
      </c>
      <c r="B3269" s="4" t="inlineStr">
        <is>
          <t>sm40107-30s-000506-0107-58</t>
        </is>
      </c>
      <c r="C3269" s="4" t="inlineStr">
        <is>
          <t>W00031886A</t>
        </is>
      </c>
      <c r="D3269" s="6">
        <f>IF(F3269&gt;=5, F3269-5, IF(F3269&lt;5, 0, F3269))</f>
        <v/>
      </c>
      <c r="E3269">
        <f>VLOOKUP(B3269,[1]Namshi!$A:$B,2,0)</f>
        <v/>
      </c>
      <c r="F3269" s="4">
        <f>SUMIFS('Dubai Stock'!I:I,'Dubai Stock'!H:H,Final_UAE!B:B)</f>
        <v/>
      </c>
      <c r="H3269" s="8" t="e">
        <v>#N/A</v>
      </c>
      <c r="I3269" s="8" t="n"/>
    </row>
    <row r="3270">
      <c r="A3270" s="4" t="n">
        <v>33834</v>
      </c>
      <c r="B3270" s="4" t="inlineStr">
        <is>
          <t>su60107-bla-000346-0107-54</t>
        </is>
      </c>
      <c r="C3270" s="4" t="inlineStr">
        <is>
          <t>W00031886A</t>
        </is>
      </c>
      <c r="D3270" s="6">
        <f>IF(F3270&gt;=5, F3270-5, IF(F3270&lt;5, 0, F3270))</f>
        <v/>
      </c>
      <c r="E3270">
        <f>VLOOKUP(B3270,[1]Namshi!$A:$B,2,0)</f>
        <v/>
      </c>
      <c r="F3270" s="4">
        <f>SUMIFS('Dubai Stock'!I:I,'Dubai Stock'!H:H,Final_UAE!B:B)</f>
        <v/>
      </c>
      <c r="H3270" s="8" t="e">
        <v>#N/A</v>
      </c>
    </row>
    <row r="3271">
      <c r="A3271" s="4" t="n">
        <v>33834</v>
      </c>
      <c r="B3271" s="4" t="inlineStr">
        <is>
          <t>fw52318-spc-000520-2300-51</t>
        </is>
      </c>
      <c r="C3271" s="4" t="inlineStr">
        <is>
          <t>W00031886A</t>
        </is>
      </c>
      <c r="D3271" s="6">
        <f>IF(F3271&gt;=5, F3271-5, IF(F3271&lt;5, 0, F3271))</f>
        <v/>
      </c>
      <c r="E3271">
        <f>VLOOKUP(B3271,[1]Namshi!$A:$B,2,0)</f>
        <v/>
      </c>
      <c r="F3271" s="4">
        <f>SUMIFS('Dubai Stock'!I:I,'Dubai Stock'!H:H,Final_UAE!B:B)</f>
        <v/>
      </c>
      <c r="H3271" s="8" t="e">
        <v>#N/A</v>
      </c>
      <c r="I3271" s="8" t="n"/>
    </row>
    <row r="3272">
      <c r="A3272" s="4" t="n">
        <v>33834</v>
      </c>
      <c r="B3272" s="4" t="inlineStr">
        <is>
          <t>cost3mo-lay-2022-p02-royal-green-sn0550</t>
        </is>
      </c>
      <c r="C3272" s="4" t="inlineStr">
        <is>
          <t>W00031886A</t>
        </is>
      </c>
      <c r="D3272" s="6">
        <f>IF(F3272&gt;=5, F3272-5, IF(F3272&lt;5, 0, F3272))</f>
        <v/>
      </c>
      <c r="E3272">
        <f>VLOOKUP(B3272,[1]Namshi!$A:$B,2,0)</f>
        <v/>
      </c>
      <c r="F3272" s="4">
        <f>SUMIFS('Dubai Stock'!I:I,'Dubai Stock'!H:H,Final_UAE!B:B)</f>
        <v/>
      </c>
      <c r="H3272" s="8" t="e">
        <v>#N/A</v>
      </c>
      <c r="I3272" s="8" t="n"/>
    </row>
    <row r="3273">
      <c r="A3273" s="4" t="n">
        <v>33834</v>
      </c>
      <c r="B3273" s="4" t="inlineStr">
        <is>
          <t>bc21318-bab-000502-1318-50</t>
        </is>
      </c>
      <c r="C3273" s="4" t="inlineStr">
        <is>
          <t>W00031886A</t>
        </is>
      </c>
      <c r="D3273" s="6">
        <f>IF(F3273&gt;=5, F3273-5, IF(F3273&lt;5, 0, F3273))</f>
        <v/>
      </c>
      <c r="E3273">
        <f>VLOOKUP(B3273,[1]Namshi!$A:$B,2,0)</f>
        <v/>
      </c>
      <c r="F3273" s="4">
        <f>SUMIFS('Dubai Stock'!I:I,'Dubai Stock'!H:H,Final_UAE!B:B)</f>
        <v/>
      </c>
      <c r="H3273" s="8" t="e">
        <v>#N/A</v>
      </c>
    </row>
    <row r="3274">
      <c r="A3274" s="4" t="n">
        <v>33834</v>
      </c>
      <c r="B3274" s="4" t="inlineStr">
        <is>
          <t>sm101406-30s-000303-1406p-52</t>
        </is>
      </c>
      <c r="C3274" s="4" t="inlineStr">
        <is>
          <t>W00031886A</t>
        </is>
      </c>
      <c r="D3274" s="6">
        <f>IF(F3274&gt;=5, F3274-5, IF(F3274&lt;5, 0, F3274))</f>
        <v/>
      </c>
      <c r="E3274">
        <f>VLOOKUP(B3274,[1]Namshi!$A:$B,2,0)</f>
        <v/>
      </c>
      <c r="F3274" s="4">
        <f>SUMIFS('Dubai Stock'!I:I,'Dubai Stock'!H:H,Final_UAE!B:B)</f>
        <v/>
      </c>
      <c r="H3274" s="8" t="e">
        <v>#N/A</v>
      </c>
    </row>
    <row r="3275">
      <c r="A3275" s="4" t="n">
        <v>33834</v>
      </c>
      <c r="B3275" s="4" t="inlineStr">
        <is>
          <t>clstdai-eve-elit-p90-sn0400</t>
        </is>
      </c>
      <c r="C3275" s="4" t="inlineStr">
        <is>
          <t>W00031886A</t>
        </is>
      </c>
      <c r="D3275" s="6">
        <f>IF(F3275&gt;=5, F3275-5, IF(F3275&lt;5, 0, F3275))</f>
        <v/>
      </c>
      <c r="E3275">
        <f>VLOOKUP(B3275,[1]Namshi!$A:$B,2,0)</f>
        <v/>
      </c>
      <c r="F3275" s="4">
        <f>SUMIFS('Dubai Stock'!I:I,'Dubai Stock'!H:H,Final_UAE!B:B)</f>
        <v/>
      </c>
      <c r="H3275" s="8" t="n">
        <v>729</v>
      </c>
      <c r="I3275" s="8" t="n">
        <v>357</v>
      </c>
    </row>
    <row r="3276">
      <c r="A3276" s="4" t="n">
        <v>33834</v>
      </c>
      <c r="B3276" s="4" t="inlineStr">
        <is>
          <t>sw30507-30s-000117-0507-57</t>
        </is>
      </c>
      <c r="C3276" s="4" t="inlineStr">
        <is>
          <t>W00031886A</t>
        </is>
      </c>
      <c r="D3276" s="6">
        <f>IF(F3276&gt;=5, F3276-5, IF(F3276&lt;5, 0, F3276))</f>
        <v/>
      </c>
      <c r="E3276">
        <f>VLOOKUP(B3276,[1]Namshi!$A:$B,2,0)</f>
        <v/>
      </c>
      <c r="F3276" s="4">
        <f>SUMIFS('Dubai Stock'!I:I,'Dubai Stock'!H:H,Final_UAE!B:B)</f>
        <v/>
      </c>
      <c r="H3276" s="8" t="e">
        <v>#N/A</v>
      </c>
    </row>
    <row r="3277">
      <c r="A3277" s="4" t="n">
        <v>33834</v>
      </c>
      <c r="B3277" s="4" t="inlineStr">
        <is>
          <t>bc50218-bab-00537-0218d-46</t>
        </is>
      </c>
      <c r="C3277" s="4" t="inlineStr">
        <is>
          <t>W00031886A</t>
        </is>
      </c>
      <c r="D3277" s="6">
        <f>IF(F3277&gt;=5, F3277-5, IF(F3277&lt;5, 0, F3277))</f>
        <v/>
      </c>
      <c r="E3277">
        <f>VLOOKUP(B3277,[1]Namshi!$A:$B,2,0)</f>
        <v/>
      </c>
      <c r="F3277" s="4">
        <f>SUMIFS('Dubai Stock'!I:I,'Dubai Stock'!H:H,Final_UAE!B:B)</f>
        <v/>
      </c>
      <c r="H3277" s="8" t="e">
        <v>#N/A</v>
      </c>
      <c r="I3277" s="8" t="n"/>
    </row>
    <row r="3278">
      <c r="A3278" s="4" t="n">
        <v>33834</v>
      </c>
      <c r="B3278" s="4" t="inlineStr">
        <is>
          <t>bc50118-bab-00537-0118d-46</t>
        </is>
      </c>
      <c r="C3278" s="4" t="inlineStr">
        <is>
          <t>W00031886A</t>
        </is>
      </c>
      <c r="D3278" s="6">
        <f>IF(F3278&gt;=5, F3278-5, IF(F3278&lt;5, 0, F3278))</f>
        <v/>
      </c>
      <c r="E3278">
        <f>VLOOKUP(B3278,[1]Namshi!$A:$B,2,0)</f>
        <v/>
      </c>
      <c r="F3278" s="4">
        <f>SUMIFS('Dubai Stock'!I:I,'Dubai Stock'!H:H,Final_UAE!B:B)</f>
        <v/>
      </c>
      <c r="H3278" s="8" t="e">
        <v>#N/A</v>
      </c>
      <c r="I3278" s="8" t="n"/>
    </row>
    <row r="3279">
      <c r="A3279" s="4" t="n">
        <v>33834</v>
      </c>
      <c r="B3279" s="4" t="inlineStr">
        <is>
          <t>sm52906-30s-000205-0606-55</t>
        </is>
      </c>
      <c r="C3279" s="4" t="inlineStr">
        <is>
          <t>W00031886A</t>
        </is>
      </c>
      <c r="D3279" s="6">
        <f>IF(F3279&gt;=5, F3279-5, IF(F3279&lt;5, 0, F3279))</f>
        <v/>
      </c>
      <c r="E3279">
        <f>VLOOKUP(B3279,[1]Namshi!$A:$B,2,0)</f>
        <v/>
      </c>
      <c r="F3279" s="4">
        <f>SUMIFS('Dubai Stock'!I:I,'Dubai Stock'!H:H,Final_UAE!B:B)</f>
        <v/>
      </c>
      <c r="H3279" s="8" t="e">
        <v>#N/A</v>
      </c>
    </row>
    <row r="3280">
      <c r="A3280" s="4" t="n">
        <v>33834</v>
      </c>
      <c r="B3280" s="4" t="inlineStr">
        <is>
          <t>clstdai-dai-aqua-p90-sn0325</t>
        </is>
      </c>
      <c r="C3280" s="4" t="inlineStr">
        <is>
          <t>W00031886A</t>
        </is>
      </c>
      <c r="D3280" s="6">
        <f>IF(F3280&gt;=5, F3280-5, IF(F3280&lt;5, 0, F3280))</f>
        <v/>
      </c>
      <c r="E3280">
        <f>VLOOKUP(B3280,[1]Namshi!$A:$B,2,0)</f>
        <v/>
      </c>
      <c r="F3280" s="4">
        <f>SUMIFS('Dubai Stock'!I:I,'Dubai Stock'!H:H,Final_UAE!B:B)</f>
        <v/>
      </c>
      <c r="H3280" s="8" t="e">
        <v>#N/A</v>
      </c>
      <c r="I3280" s="8" t="n"/>
    </row>
    <row r="3281">
      <c r="A3281" s="4" t="n">
        <v>33834</v>
      </c>
      <c r="B3281" s="4" t="inlineStr">
        <is>
          <t>clstdai-acu-mois-p90-sn1200</t>
        </is>
      </c>
      <c r="C3281" s="4" t="inlineStr">
        <is>
          <t>W00031886A</t>
        </is>
      </c>
      <c r="D3281" s="6">
        <f>IF(F3281&gt;=5, F3281-5, IF(F3281&lt;5, 0, F3281))</f>
        <v/>
      </c>
      <c r="E3281">
        <f>VLOOKUP(B3281,[1]Namshi!$A:$B,2,0)</f>
        <v/>
      </c>
      <c r="F3281" s="4">
        <f>SUMIFS('Dubai Stock'!I:I,'Dubai Stock'!H:H,Final_UAE!B:B)</f>
        <v/>
      </c>
      <c r="H3281" s="8" t="e">
        <v>#N/A</v>
      </c>
      <c r="I3281" s="8" t="n"/>
    </row>
    <row r="3282">
      <c r="A3282" s="4" t="n">
        <v>33834</v>
      </c>
      <c r="B3282" s="4" t="inlineStr">
        <is>
          <t>clstdai-btr-oned-p30-sn0450</t>
        </is>
      </c>
      <c r="C3282" s="4" t="inlineStr">
        <is>
          <t>W00031886A</t>
        </is>
      </c>
      <c r="D3282" s="6">
        <f>IF(F3282&gt;=5, F3282-5, IF(F3282&lt;5, 0, F3282))</f>
        <v/>
      </c>
      <c r="E3282">
        <f>VLOOKUP(B3282,[1]Namshi!$A:$B,2,0)</f>
        <v/>
      </c>
      <c r="F3282" s="4">
        <f>SUMIFS('Dubai Stock'!I:I,'Dubai Stock'!H:H,Final_UAE!B:B)</f>
        <v/>
      </c>
      <c r="H3282" s="8" t="e">
        <v>#N/A</v>
      </c>
      <c r="I3282" s="8" t="n"/>
    </row>
    <row r="3283">
      <c r="A3283" s="4" t="n">
        <v>33834</v>
      </c>
      <c r="B3283" s="4" t="inlineStr">
        <is>
          <t>clstdai-lay-cont-p90-dazzle-black-sn0850</t>
        </is>
      </c>
      <c r="C3283" s="4" t="inlineStr">
        <is>
          <t>W00031886A</t>
        </is>
      </c>
      <c r="D3283" s="6">
        <f>IF(F3283&gt;=5, F3283-5, IF(F3283&lt;5, 0, F3283))</f>
        <v/>
      </c>
      <c r="E3283">
        <f>VLOOKUP(B3283,[1]Namshi!$A:$B,2,0)</f>
        <v/>
      </c>
      <c r="F3283" s="4">
        <f>SUMIFS('Dubai Stock'!I:I,'Dubai Stock'!H:H,Final_UAE!B:B)</f>
        <v/>
      </c>
      <c r="H3283" s="8" t="e">
        <v>#N/A</v>
      </c>
      <c r="I3283" s="8" t="n"/>
    </row>
    <row r="3284">
      <c r="A3284" s="4" t="n">
        <v>33834</v>
      </c>
      <c r="B3284" s="4" t="inlineStr">
        <is>
          <t>clstdai-acu-omax-p30-sp0275</t>
        </is>
      </c>
      <c r="C3284" s="4" t="inlineStr">
        <is>
          <t>W00031886A</t>
        </is>
      </c>
      <c r="D3284" s="6">
        <f>IF(F3284&gt;=5, F3284-5, IF(F3284&lt;5, 0, F3284))</f>
        <v/>
      </c>
      <c r="E3284">
        <f>VLOOKUP(B3284,[1]Namshi!$A:$B,2,0)</f>
        <v/>
      </c>
      <c r="F3284" s="4">
        <f>SUMIFS('Dubai Stock'!I:I,'Dubai Stock'!H:H,Final_UAE!B:B)</f>
        <v/>
      </c>
      <c r="H3284" s="8" t="e">
        <v>#N/A</v>
      </c>
      <c r="I3284" s="8" t="n"/>
    </row>
    <row r="3285">
      <c r="A3285" s="4" t="n">
        <v>33834</v>
      </c>
      <c r="B3285" s="4" t="inlineStr">
        <is>
          <t>sw20509-bla-000206-2709-57</t>
        </is>
      </c>
      <c r="C3285" s="4" t="inlineStr">
        <is>
          <t>W00031886A</t>
        </is>
      </c>
      <c r="D3285" s="6">
        <f>IF(F3285&gt;=5, F3285-5, IF(F3285&lt;5, 0, F3285))</f>
        <v/>
      </c>
      <c r="E3285">
        <f>VLOOKUP(B3285,[1]Namshi!$A:$B,2,0)</f>
        <v/>
      </c>
      <c r="F3285" s="4">
        <f>SUMIFS('Dubai Stock'!I:I,'Dubai Stock'!H:H,Final_UAE!B:B)</f>
        <v/>
      </c>
      <c r="H3285" s="8" t="e">
        <v>#N/A</v>
      </c>
    </row>
    <row r="3286">
      <c r="A3286" s="4" t="n">
        <v>33834</v>
      </c>
      <c r="B3286" s="4" t="inlineStr">
        <is>
          <t>sw62904-bla-000241-2904-58</t>
        </is>
      </c>
      <c r="C3286" s="4" t="inlineStr">
        <is>
          <t>W00031886A</t>
        </is>
      </c>
      <c r="D3286" s="6">
        <f>IF(F3286&gt;=5, F3286-5, IF(F3286&lt;5, 0, F3286))</f>
        <v/>
      </c>
      <c r="E3286">
        <f>VLOOKUP(B3286,[1]Namshi!$A:$B,2,0)</f>
        <v/>
      </c>
      <c r="F3286" s="4">
        <f>SUMIFS('Dubai Stock'!I:I,'Dubai Stock'!H:H,Final_UAE!B:B)</f>
        <v/>
      </c>
      <c r="H3286" s="8" t="e">
        <v>#N/A</v>
      </c>
    </row>
    <row r="3287">
      <c r="A3287" s="4" t="n">
        <v>33834</v>
      </c>
      <c r="B3287" s="4" t="inlineStr">
        <is>
          <t>cost3mo-cel-natu-p01-forest-green-sp0300</t>
        </is>
      </c>
      <c r="C3287" s="4" t="inlineStr">
        <is>
          <t>W00031886A</t>
        </is>
      </c>
      <c r="D3287" s="6">
        <f>IF(F3287&gt;=5, F3287-5, IF(F3287&lt;5, 0, F3287))</f>
        <v/>
      </c>
      <c r="E3287">
        <f>VLOOKUP(B3287,[1]Namshi!$A:$B,2,0)</f>
        <v/>
      </c>
      <c r="F3287" s="4">
        <f>SUMIFS('Dubai Stock'!I:I,'Dubai Stock'!H:H,Final_UAE!B:B)</f>
        <v/>
      </c>
      <c r="H3287" s="8" t="e">
        <v>#N/A</v>
      </c>
      <c r="I3287" s="8" t="n"/>
    </row>
    <row r="3288">
      <c r="A3288" s="4" t="n">
        <v>33834</v>
      </c>
      <c r="B3288" s="4" t="inlineStr">
        <is>
          <t>sc50207-bab-000505-2807-43</t>
        </is>
      </c>
      <c r="C3288" s="4" t="inlineStr">
        <is>
          <t>W00031886A</t>
        </is>
      </c>
      <c r="D3288" s="6">
        <f>IF(F3288&gt;=5, F3288-5, IF(F3288&lt;5, 0, F3288))</f>
        <v/>
      </c>
      <c r="E3288">
        <f>VLOOKUP(B3288,[1]Namshi!$A:$B,2,0)</f>
        <v/>
      </c>
      <c r="F3288" s="4">
        <f>SUMIFS('Dubai Stock'!I:I,'Dubai Stock'!H:H,Final_UAE!B:B)</f>
        <v/>
      </c>
      <c r="H3288" s="8" t="e">
        <v>#N/A</v>
      </c>
    </row>
    <row r="3289">
      <c r="A3289" s="4" t="n">
        <v>33834</v>
      </c>
      <c r="B3289" s="4" t="inlineStr">
        <is>
          <t>clstdai-acu-dfrb-p90-sn0175</t>
        </is>
      </c>
      <c r="C3289" s="4" t="inlineStr">
        <is>
          <t>W00031886A</t>
        </is>
      </c>
      <c r="D3289" s="6">
        <f>IF(F3289&gt;=5, F3289-5, IF(F3289&lt;5, 0, F3289))</f>
        <v/>
      </c>
      <c r="E3289">
        <f>VLOOKUP(B3289,[1]Namshi!$A:$B,2,0)</f>
        <v/>
      </c>
      <c r="F3289" s="4">
        <f>SUMIFS('Dubai Stock'!I:I,'Dubai Stock'!H:H,Final_UAE!B:B)</f>
        <v/>
      </c>
      <c r="H3289" s="8" t="e">
        <v>#N/A</v>
      </c>
      <c r="I3289" s="8" t="n"/>
    </row>
    <row r="3290">
      <c r="A3290" s="4" t="n">
        <v>33834</v>
      </c>
      <c r="B3290" s="4" t="inlineStr">
        <is>
          <t>sw30804-bla-000308-0804-61</t>
        </is>
      </c>
      <c r="C3290" s="4" t="inlineStr">
        <is>
          <t>W00031886A</t>
        </is>
      </c>
      <c r="D3290" s="6">
        <f>IF(F3290&gt;=5, F3290-5, IF(F3290&lt;5, 0, F3290))</f>
        <v/>
      </c>
      <c r="E3290">
        <f>VLOOKUP(B3290,[1]Namshi!$A:$B,2,0)</f>
        <v/>
      </c>
      <c r="F3290" s="4">
        <f>SUMIFS('Dubai Stock'!I:I,'Dubai Stock'!H:H,Final_UAE!B:B)</f>
        <v/>
      </c>
      <c r="H3290" s="8" t="e">
        <v>#N/A</v>
      </c>
    </row>
    <row r="3291">
      <c r="A3291" s="4" t="n">
        <v>33834</v>
      </c>
      <c r="B3291" s="4" t="inlineStr">
        <is>
          <t>clstdai-lay-cont-p10-dazzle-black-sn0700</t>
        </is>
      </c>
      <c r="C3291" s="4" t="inlineStr">
        <is>
          <t>W00031886A</t>
        </is>
      </c>
      <c r="D3291" s="6">
        <f>IF(F3291&gt;=5, F3291-5, IF(F3291&lt;5, 0, F3291))</f>
        <v/>
      </c>
      <c r="E3291">
        <f>VLOOKUP(B3291,[1]Namshi!$A:$B,2,0)</f>
        <v/>
      </c>
      <c r="F3291" s="4">
        <f>SUMIFS('Dubai Stock'!I:I,'Dubai Stock'!H:H,Final_UAE!B:B)</f>
        <v/>
      </c>
      <c r="H3291" s="8" t="e">
        <v>#N/A</v>
      </c>
      <c r="I3291" s="8" t="n"/>
    </row>
    <row r="3292">
      <c r="A3292" s="4" t="n">
        <v>33834</v>
      </c>
      <c r="B3292" s="4" t="inlineStr">
        <is>
          <t>fw22618-spc-000830-2618-48</t>
        </is>
      </c>
      <c r="C3292" s="4" t="inlineStr">
        <is>
          <t>W00031886A</t>
        </is>
      </c>
      <c r="D3292" s="6">
        <f>IF(F3292&gt;=5, F3292-5, IF(F3292&lt;5, 0, F3292))</f>
        <v/>
      </c>
      <c r="E3292">
        <f>VLOOKUP(B3292,[1]Namshi!$A:$B,2,0)</f>
        <v/>
      </c>
      <c r="F3292" s="4">
        <f>SUMIFS('Dubai Stock'!I:I,'Dubai Stock'!H:H,Final_UAE!B:B)</f>
        <v/>
      </c>
      <c r="H3292" s="8" t="e">
        <v>#N/A</v>
      </c>
      <c r="I3292" s="8" t="n"/>
    </row>
    <row r="3293">
      <c r="A3293" s="4" t="n">
        <v>33834</v>
      </c>
      <c r="B3293" s="4" t="inlineStr">
        <is>
          <t>bc50218-bab-000503-0218-46</t>
        </is>
      </c>
      <c r="C3293" s="4" t="inlineStr">
        <is>
          <t>W00031886A</t>
        </is>
      </c>
      <c r="D3293" s="6">
        <f>IF(F3293&gt;=5, F3293-5, IF(F3293&lt;5, 0, F3293))</f>
        <v/>
      </c>
      <c r="E3293">
        <f>VLOOKUP(B3293,[1]Namshi!$A:$B,2,0)</f>
        <v/>
      </c>
      <c r="F3293" s="4">
        <f>SUMIFS('Dubai Stock'!I:I,'Dubai Stock'!H:H,Final_UAE!B:B)</f>
        <v/>
      </c>
      <c r="H3293" s="8" t="e">
        <v>#N/A</v>
      </c>
    </row>
    <row r="3294">
      <c r="A3294" s="4" t="n">
        <v>33834</v>
      </c>
      <c r="B3294" s="4" t="inlineStr">
        <is>
          <t>clstdai-dai-tot1-p90-sp0100</t>
        </is>
      </c>
      <c r="C3294" s="4" t="inlineStr">
        <is>
          <t>W00031886A</t>
        </is>
      </c>
      <c r="D3294" s="6">
        <f>IF(F3294&gt;=5, F3294-5, IF(F3294&lt;5, 0, F3294))</f>
        <v/>
      </c>
      <c r="E3294">
        <f>VLOOKUP(B3294,[1]Namshi!$A:$B,2,0)</f>
        <v/>
      </c>
      <c r="F3294" s="4">
        <f>SUMIFS('Dubai Stock'!I:I,'Dubai Stock'!H:H,Final_UAE!B:B)</f>
        <v/>
      </c>
      <c r="H3294" s="8" t="e">
        <v>#N/A</v>
      </c>
      <c r="I3294" s="8" t="n"/>
    </row>
    <row r="3295">
      <c r="A3295" s="4" t="n">
        <v>33834</v>
      </c>
      <c r="B3295" s="4" t="inlineStr">
        <is>
          <t>clstdai-acu-oasy-p30-sn1150</t>
        </is>
      </c>
      <c r="C3295" s="4" t="inlineStr">
        <is>
          <t>W00031886A</t>
        </is>
      </c>
      <c r="D3295" s="6">
        <f>IF(F3295&gt;=5, F3295-5, IF(F3295&lt;5, 0, F3295))</f>
        <v/>
      </c>
      <c r="E3295">
        <f>VLOOKUP(B3295,[1]Namshi!$A:$B,2,0)</f>
        <v/>
      </c>
      <c r="F3295" s="4">
        <f>SUMIFS('Dubai Stock'!I:I,'Dubai Stock'!H:H,Final_UAE!B:B)</f>
        <v/>
      </c>
      <c r="H3295" s="8" t="e">
        <v>#N/A</v>
      </c>
      <c r="I3295" s="8" t="n"/>
    </row>
    <row r="3296">
      <c r="A3296" s="4" t="n">
        <v>33834</v>
      </c>
      <c r="B3296" s="4" t="inlineStr">
        <is>
          <t>clstdai-acu-omax-p30-sp0225</t>
        </is>
      </c>
      <c r="C3296" s="4" t="inlineStr">
        <is>
          <t>W00031886A</t>
        </is>
      </c>
      <c r="D3296" s="6">
        <f>IF(F3296&gt;=5, F3296-5, IF(F3296&lt;5, 0, F3296))</f>
        <v/>
      </c>
      <c r="E3296">
        <f>VLOOKUP(B3296,[1]Namshi!$A:$B,2,0)</f>
        <v/>
      </c>
      <c r="F3296" s="4">
        <f>SUMIFS('Dubai Stock'!I:I,'Dubai Stock'!H:H,Final_UAE!B:B)</f>
        <v/>
      </c>
      <c r="H3296" s="8" t="e">
        <v>#N/A</v>
      </c>
      <c r="I3296" s="8" t="n"/>
    </row>
    <row r="3297">
      <c r="A3297" s="4" t="n">
        <v>33834</v>
      </c>
      <c r="B3297" s="4" t="inlineStr">
        <is>
          <t>sunglasses-30Sundays-30s-00453-0104p</t>
        </is>
      </c>
      <c r="C3297" s="4" t="inlineStr">
        <is>
          <t>W00031886A</t>
        </is>
      </c>
      <c r="D3297" s="6">
        <f>IF(F3297&gt;=5, F3297-5, IF(F3297&lt;5, 0, F3297))</f>
        <v/>
      </c>
      <c r="E3297">
        <f>VLOOKUP(B3297,[1]Namshi!$A:$B,2,0)</f>
        <v/>
      </c>
      <c r="F3297" s="4">
        <f>SUMIFS('Dubai Stock'!I:I,'Dubai Stock'!H:H,Final_UAE!B:B)</f>
        <v/>
      </c>
      <c r="H3297" s="8" t="e">
        <v>#N/A</v>
      </c>
      <c r="I3297" s="8" t="n"/>
    </row>
    <row r="3298">
      <c r="A3298" s="4" t="n">
        <v>33834</v>
      </c>
      <c r="B3298" s="4" t="inlineStr">
        <is>
          <t>costdai-acu-dffr-p30-grayzel-sn0375</t>
        </is>
      </c>
      <c r="C3298" s="4" t="inlineStr">
        <is>
          <t>W00031886A</t>
        </is>
      </c>
      <c r="D3298" s="6">
        <f>IF(F3298&gt;=5, F3298-5, IF(F3298&lt;5, 0, F3298))</f>
        <v/>
      </c>
      <c r="E3298">
        <f>VLOOKUP(B3298,[1]Namshi!$A:$B,2,0)</f>
        <v/>
      </c>
      <c r="F3298" s="4">
        <f>SUMIFS('Dubai Stock'!I:I,'Dubai Stock'!H:H,Final_UAE!B:B)</f>
        <v/>
      </c>
      <c r="H3298" s="8" t="e">
        <v>#N/A</v>
      </c>
      <c r="I3298" s="8" t="n"/>
    </row>
    <row r="3299">
      <c r="A3299" s="4" t="n">
        <v>33834</v>
      </c>
      <c r="B3299" s="4" t="inlineStr">
        <is>
          <t>costdai-acu-dffr-p30-honey-sn0300</t>
        </is>
      </c>
      <c r="C3299" s="4" t="inlineStr">
        <is>
          <t>W00031886A</t>
        </is>
      </c>
      <c r="D3299" s="6">
        <f>IF(F3299&gt;=5, F3299-5, IF(F3299&lt;5, 0, F3299))</f>
        <v/>
      </c>
      <c r="E3299">
        <f>VLOOKUP(B3299,[1]Namshi!$A:$B,2,0)</f>
        <v/>
      </c>
      <c r="F3299" s="4">
        <f>SUMIFS('Dubai Stock'!I:I,'Dubai Stock'!H:H,Final_UAE!B:B)</f>
        <v/>
      </c>
      <c r="H3299" s="8" t="e">
        <v>#N/A</v>
      </c>
      <c r="I3299" s="8" t="n"/>
    </row>
    <row r="3300">
      <c r="A3300" s="4" t="n">
        <v>33834</v>
      </c>
      <c r="B3300" s="4" t="inlineStr">
        <is>
          <t>clstmon-eve-prom-p06-sn0225</t>
        </is>
      </c>
      <c r="C3300" s="4" t="inlineStr">
        <is>
          <t>W00031886A</t>
        </is>
      </c>
      <c r="D3300" s="6">
        <f>IF(F3300&gt;=5, F3300-5, IF(F3300&lt;5, 0, F3300))</f>
        <v/>
      </c>
      <c r="E3300">
        <f>VLOOKUP(B3300,[1]Namshi!$A:$B,2,0)</f>
        <v/>
      </c>
      <c r="F3300" s="4">
        <f>SUMIFS('Dubai Stock'!I:I,'Dubai Stock'!H:H,Final_UAE!B:B)</f>
        <v/>
      </c>
      <c r="H3300" s="8" t="n">
        <v>212</v>
      </c>
      <c r="I3300" s="8" t="n">
        <v>111.3</v>
      </c>
    </row>
    <row r="3301">
      <c r="A3301" s="4" t="n">
        <v>33834</v>
      </c>
      <c r="B3301" s="4" t="inlineStr">
        <is>
          <t>cost3mo-lay-2022-p02-cosmo-gray-sn0600</t>
        </is>
      </c>
      <c r="C3301" s="4" t="inlineStr">
        <is>
          <t>W00031886A</t>
        </is>
      </c>
      <c r="D3301" s="6">
        <f>IF(F3301&gt;=5, F3301-5, IF(F3301&lt;5, 0, F3301))</f>
        <v/>
      </c>
      <c r="E3301">
        <f>VLOOKUP(B3301,[1]Namshi!$A:$B,2,0)</f>
        <v/>
      </c>
      <c r="F3301" s="4">
        <f>SUMIFS('Dubai Stock'!I:I,'Dubai Stock'!H:H,Final_UAE!B:B)</f>
        <v/>
      </c>
      <c r="H3301" s="8" t="e">
        <v>#N/A</v>
      </c>
      <c r="I3301" s="8" t="n"/>
    </row>
    <row r="3302">
      <c r="A3302" s="4" t="n">
        <v>33834</v>
      </c>
      <c r="B3302" s="4" t="inlineStr">
        <is>
          <t>clstdai-acu-mois-p90-sp0425</t>
        </is>
      </c>
      <c r="C3302" s="4" t="inlineStr">
        <is>
          <t>W00031886A</t>
        </is>
      </c>
      <c r="D3302" s="6">
        <f>IF(F3302&gt;=5, F3302-5, IF(F3302&lt;5, 0, F3302))</f>
        <v/>
      </c>
      <c r="E3302">
        <f>VLOOKUP(B3302,[1]Namshi!$A:$B,2,0)</f>
        <v/>
      </c>
      <c r="F3302" s="4">
        <f>SUMIFS('Dubai Stock'!I:I,'Dubai Stock'!H:H,Final_UAE!B:B)</f>
        <v/>
      </c>
      <c r="H3302" s="8" t="e">
        <v>#N/A</v>
      </c>
      <c r="I3302" s="8" t="n"/>
    </row>
    <row r="3303">
      <c r="A3303" s="4" t="n">
        <v>33834</v>
      </c>
      <c r="B3303" s="4" t="inlineStr">
        <is>
          <t>costmon-ama-2022-p02-tan-sn0075</t>
        </is>
      </c>
      <c r="C3303" s="4" t="inlineStr">
        <is>
          <t>W00031886A</t>
        </is>
      </c>
      <c r="D3303" s="6">
        <f>IF(F3303&gt;=5, F3303-5, IF(F3303&lt;5, 0, F3303))</f>
        <v/>
      </c>
      <c r="E3303">
        <f>VLOOKUP(B3303,[1]Namshi!$A:$B,2,0)</f>
        <v/>
      </c>
      <c r="F3303" s="4">
        <f>SUMIFS('Dubai Stock'!I:I,'Dubai Stock'!H:H,Final_UAE!B:B)</f>
        <v/>
      </c>
      <c r="H3303" s="8" t="e">
        <v>#N/A</v>
      </c>
      <c r="I3303" s="8" t="n"/>
    </row>
    <row r="3304">
      <c r="A3304" s="4" t="n">
        <v>33834</v>
      </c>
      <c r="B3304" s="4" t="inlineStr">
        <is>
          <t>sc51306-bab-000504-1306-51</t>
        </is>
      </c>
      <c r="C3304" s="4" t="inlineStr">
        <is>
          <t>W00031886A</t>
        </is>
      </c>
      <c r="D3304" s="6">
        <f>IF(F3304&gt;=5, F3304-5, IF(F3304&lt;5, 0, F3304))</f>
        <v/>
      </c>
      <c r="E3304">
        <f>VLOOKUP(B3304,[1]Namshi!$A:$B,2,0)</f>
        <v/>
      </c>
      <c r="F3304" s="4">
        <f>SUMIFS('Dubai Stock'!I:I,'Dubai Stock'!H:H,Final_UAE!B:B)</f>
        <v/>
      </c>
      <c r="H3304" s="8" t="e">
        <v>#N/A</v>
      </c>
    </row>
    <row r="3305">
      <c r="A3305" s="4" t="n">
        <v>33834</v>
      </c>
      <c r="B3305" s="4" t="inlineStr">
        <is>
          <t>costdai-ama-dail-p10-sugar-sn0150</t>
        </is>
      </c>
      <c r="C3305" s="4" t="inlineStr">
        <is>
          <t>W00031886A</t>
        </is>
      </c>
      <c r="D3305" s="6">
        <f>IF(F3305&gt;=5, F3305-5, IF(F3305&lt;5, 0, F3305))</f>
        <v/>
      </c>
      <c r="E3305">
        <f>VLOOKUP(B3305,[1]Namshi!$A:$B,2,0)</f>
        <v/>
      </c>
      <c r="F3305" s="4">
        <f>SUMIFS('Dubai Stock'!I:I,'Dubai Stock'!H:H,Final_UAE!B:B)</f>
        <v/>
      </c>
      <c r="H3305" s="8" t="e">
        <v>#N/A</v>
      </c>
      <c r="I3305" s="8" t="n"/>
    </row>
    <row r="3306">
      <c r="A3306" s="4" t="n">
        <v>33834</v>
      </c>
      <c r="B3306" s="4" t="inlineStr">
        <is>
          <t>sunglasses-30Sundays-30s-000457-0702</t>
        </is>
      </c>
      <c r="C3306" s="4" t="inlineStr">
        <is>
          <t>W00031886A</t>
        </is>
      </c>
      <c r="D3306" s="6">
        <f>IF(F3306&gt;=5, F3306-5, IF(F3306&lt;5, 0, F3306))</f>
        <v/>
      </c>
      <c r="E3306">
        <f>VLOOKUP(B3306,[1]Namshi!$A:$B,2,0)</f>
        <v/>
      </c>
      <c r="F3306" s="4">
        <f>SUMIFS('Dubai Stock'!I:I,'Dubai Stock'!H:H,Final_UAE!B:B)</f>
        <v/>
      </c>
      <c r="H3306" s="8" t="e">
        <v>#N/A</v>
      </c>
      <c r="I3306" s="8" t="n"/>
    </row>
    <row r="3307">
      <c r="A3307" s="4" t="n">
        <v>33834</v>
      </c>
      <c r="B3307" s="4" t="inlineStr">
        <is>
          <t>sm100106-30s-000408-0106-48</t>
        </is>
      </c>
      <c r="C3307" s="4" t="inlineStr">
        <is>
          <t>W00031886A</t>
        </is>
      </c>
      <c r="D3307" s="6">
        <f>IF(F3307&gt;=5, F3307-5, IF(F3307&lt;5, 0, F3307))</f>
        <v/>
      </c>
      <c r="E3307">
        <f>VLOOKUP(B3307,[1]Namshi!$A:$B,2,0)</f>
        <v/>
      </c>
      <c r="F3307" s="4">
        <f>SUMIFS('Dubai Stock'!I:I,'Dubai Stock'!H:H,Final_UAE!B:B)</f>
        <v/>
      </c>
      <c r="H3307" s="8" t="e">
        <v>#N/A</v>
      </c>
    </row>
    <row r="3308">
      <c r="A3308" s="4" t="n">
        <v>33834</v>
      </c>
      <c r="B3308" s="4" t="inlineStr">
        <is>
          <t>fw30518-spc-000867-2418-53</t>
        </is>
      </c>
      <c r="C3308" s="4" t="inlineStr">
        <is>
          <t>W00031886A</t>
        </is>
      </c>
      <c r="D3308" s="6">
        <f>IF(F3308&gt;=5, F3308-5, IF(F3308&lt;5, 0, F3308))</f>
        <v/>
      </c>
      <c r="E3308">
        <f>VLOOKUP(B3308,[1]Namshi!$A:$B,2,0)</f>
        <v/>
      </c>
      <c r="F3308" s="4">
        <f>SUMIFS('Dubai Stock'!I:I,'Dubai Stock'!H:H,Final_UAE!B:B)</f>
        <v/>
      </c>
      <c r="H3308" s="8" t="e">
        <v>#N/A</v>
      </c>
      <c r="I3308" s="8" t="n"/>
    </row>
    <row r="3309">
      <c r="A3309" s="4" t="n">
        <v>33834</v>
      </c>
      <c r="B3309" s="4" t="inlineStr">
        <is>
          <t>clstbiw-acu-cle-p06-sn0700</t>
        </is>
      </c>
      <c r="C3309" s="4" t="inlineStr">
        <is>
          <t>W00031886A</t>
        </is>
      </c>
      <c r="D3309" s="6">
        <f>IF(F3309&gt;=5, F3309-5, IF(F3309&lt;5, 0, F3309))</f>
        <v/>
      </c>
      <c r="E3309">
        <f>VLOOKUP(B3309,[1]Namshi!$A:$B,2,0)</f>
        <v/>
      </c>
      <c r="F3309" s="4">
        <f>SUMIFS('Dubai Stock'!I:I,'Dubai Stock'!H:H,Final_UAE!B:B)</f>
        <v/>
      </c>
      <c r="H3309" s="8" t="e">
        <v>#N/A</v>
      </c>
      <c r="I3309" s="8" t="n"/>
    </row>
    <row r="3310">
      <c r="A3310" s="4" t="n">
        <v>33834</v>
      </c>
      <c r="B3310" s="4" t="inlineStr">
        <is>
          <t>clstdai-lay-cont-p60-dazzle-brown-sn0450</t>
        </is>
      </c>
      <c r="C3310" s="4" t="inlineStr">
        <is>
          <t>W00031886A</t>
        </is>
      </c>
      <c r="D3310" s="6">
        <f>IF(F3310&gt;=5, F3310-5, IF(F3310&lt;5, 0, F3310))</f>
        <v/>
      </c>
      <c r="E3310">
        <f>VLOOKUP(B3310,[1]Namshi!$A:$B,2,0)</f>
        <v/>
      </c>
      <c r="F3310" s="4">
        <f>SUMIFS('Dubai Stock'!I:I,'Dubai Stock'!H:H,Final_UAE!B:B)</f>
        <v/>
      </c>
      <c r="H3310" s="8" t="e">
        <v>#N/A</v>
      </c>
      <c r="I3310" s="8" t="n"/>
    </row>
    <row r="3311">
      <c r="A3311" s="4" t="n">
        <v>33834</v>
      </c>
      <c r="B3311" s="4" t="inlineStr">
        <is>
          <t>cost3mo-lay-2022-p02-crescent-gray-sn0275</t>
        </is>
      </c>
      <c r="C3311" s="4" t="inlineStr">
        <is>
          <t>W00031886A</t>
        </is>
      </c>
      <c r="D3311" s="6">
        <f>IF(F3311&gt;=5, F3311-5, IF(F3311&lt;5, 0, F3311))</f>
        <v/>
      </c>
      <c r="E3311">
        <f>VLOOKUP(B3311,[1]Namshi!$A:$B,2,0)</f>
        <v/>
      </c>
      <c r="F3311" s="4">
        <f>SUMIFS('Dubai Stock'!I:I,'Dubai Stock'!H:H,Final_UAE!B:B)</f>
        <v/>
      </c>
      <c r="H3311" s="8" t="e">
        <v>#N/A</v>
      </c>
      <c r="I3311" s="8" t="n"/>
    </row>
    <row r="3312">
      <c r="A3312" s="4" t="n">
        <v>33834</v>
      </c>
      <c r="B3312" s="4" t="inlineStr">
        <is>
          <t>clstdai-acu-mois-p90-sp0325</t>
        </is>
      </c>
      <c r="C3312" s="4" t="inlineStr">
        <is>
          <t>W00031886A</t>
        </is>
      </c>
      <c r="D3312" s="6">
        <f>IF(F3312&gt;=5, F3312-5, IF(F3312&lt;5, 0, F3312))</f>
        <v/>
      </c>
      <c r="E3312">
        <f>VLOOKUP(B3312,[1]Namshi!$A:$B,2,0)</f>
        <v/>
      </c>
      <c r="F3312" s="4">
        <f>SUMIFS('Dubai Stock'!I:I,'Dubai Stock'!H:H,Final_UAE!B:B)</f>
        <v/>
      </c>
      <c r="H3312" s="8" t="e">
        <v>#N/A</v>
      </c>
      <c r="I3312" s="8" t="n"/>
    </row>
    <row r="3313">
      <c r="A3313" s="4" t="n">
        <v>33834</v>
      </c>
      <c r="B3313" s="4" t="inlineStr">
        <is>
          <t>fm21218-spc-000871-0218-53</t>
        </is>
      </c>
      <c r="C3313" s="4" t="inlineStr">
        <is>
          <t>W00031886A</t>
        </is>
      </c>
      <c r="D3313" s="6">
        <f>IF(F3313&gt;=5, F3313-5, IF(F3313&lt;5, 0, F3313))</f>
        <v/>
      </c>
      <c r="E3313">
        <f>VLOOKUP(B3313,[1]Namshi!$A:$B,2,0)</f>
        <v/>
      </c>
      <c r="F3313" s="4">
        <f>SUMIFS('Dubai Stock'!I:I,'Dubai Stock'!H:H,Final_UAE!B:B)</f>
        <v/>
      </c>
      <c r="H3313" s="8" t="e">
        <v>#N/A</v>
      </c>
      <c r="I3313" s="8" t="n"/>
    </row>
    <row r="3314">
      <c r="A3314" s="4" t="n">
        <v>33834</v>
      </c>
      <c r="B3314" s="4" t="inlineStr">
        <is>
          <t>clstdai-acu-oasy-p90-sp0150</t>
        </is>
      </c>
      <c r="C3314" s="4" t="inlineStr">
        <is>
          <t>W00031886A</t>
        </is>
      </c>
      <c r="D3314" s="6">
        <f>IF(F3314&gt;=5, F3314-5, IF(F3314&lt;5, 0, F3314))</f>
        <v/>
      </c>
      <c r="E3314">
        <f>VLOOKUP(B3314,[1]Namshi!$A:$B,2,0)</f>
        <v/>
      </c>
      <c r="F3314" s="4">
        <f>SUMIFS('Dubai Stock'!I:I,'Dubai Stock'!H:H,Final_UAE!B:B)</f>
        <v/>
      </c>
      <c r="H3314" s="8" t="e">
        <v>#N/A</v>
      </c>
      <c r="I3314" s="8" t="n"/>
    </row>
    <row r="3315">
      <c r="A3315" s="4" t="n">
        <v>33834</v>
      </c>
      <c r="B3315" s="4" t="inlineStr">
        <is>
          <t>clstdai-acu-mois-p60-sn0150</t>
        </is>
      </c>
      <c r="C3315" s="4" t="inlineStr">
        <is>
          <t>W00031886A</t>
        </is>
      </c>
      <c r="D3315" s="6">
        <f>IF(F3315&gt;=5, F3315-5, IF(F3315&lt;5, 0, F3315))</f>
        <v/>
      </c>
      <c r="E3315">
        <f>VLOOKUP(B3315,[1]Namshi!$A:$B,2,0)</f>
        <v/>
      </c>
      <c r="F3315" s="4">
        <f>SUMIFS('Dubai Stock'!I:I,'Dubai Stock'!H:H,Final_UAE!B:B)</f>
        <v/>
      </c>
      <c r="H3315" s="8" t="e">
        <v>#N/A</v>
      </c>
      <c r="I3315" s="8" t="n"/>
    </row>
    <row r="3316">
      <c r="A3316" s="4" t="n">
        <v>33834</v>
      </c>
      <c r="B3316" s="4" t="inlineStr">
        <is>
          <t>clstdai-acu-omax-p30-sp0800</t>
        </is>
      </c>
      <c r="C3316" s="4" t="inlineStr">
        <is>
          <t>W00031886A</t>
        </is>
      </c>
      <c r="D3316" s="6">
        <f>IF(F3316&gt;=5, F3316-5, IF(F3316&lt;5, 0, F3316))</f>
        <v/>
      </c>
      <c r="E3316">
        <f>VLOOKUP(B3316,[1]Namshi!$A:$B,2,0)</f>
        <v/>
      </c>
      <c r="F3316" s="4">
        <f>SUMIFS('Dubai Stock'!I:I,'Dubai Stock'!H:H,Final_UAE!B:B)</f>
        <v/>
      </c>
      <c r="H3316" s="8" t="e">
        <v>#N/A</v>
      </c>
      <c r="I3316" s="8" t="n"/>
    </row>
    <row r="3317">
      <c r="A3317" s="4" t="n">
        <v>33834</v>
      </c>
      <c r="B3317" s="4" t="inlineStr">
        <is>
          <t>clstbiw-acu-0002-p12-sn0425</t>
        </is>
      </c>
      <c r="C3317" s="4" t="inlineStr">
        <is>
          <t>W00031886A</t>
        </is>
      </c>
      <c r="D3317" s="6">
        <f>IF(F3317&gt;=5, F3317-5, IF(F3317&lt;5, 0, F3317))</f>
        <v/>
      </c>
      <c r="E3317">
        <f>VLOOKUP(B3317,[1]Namshi!$A:$B,2,0)</f>
        <v/>
      </c>
      <c r="F3317" s="4">
        <f>SUMIFS('Dubai Stock'!I:I,'Dubai Stock'!H:H,Final_UAE!B:B)</f>
        <v/>
      </c>
      <c r="H3317" s="8" t="e">
        <v>#N/A</v>
      </c>
      <c r="I3317" s="8" t="n"/>
    </row>
    <row r="3318">
      <c r="A3318" s="4" t="n">
        <v>33834</v>
      </c>
      <c r="B3318" s="4" t="inlineStr">
        <is>
          <t>costdai-ama-dail-p10-sugar-sn0575</t>
        </is>
      </c>
      <c r="C3318" s="4" t="inlineStr">
        <is>
          <t>W00031886A</t>
        </is>
      </c>
      <c r="D3318" s="6">
        <f>IF(F3318&gt;=5, F3318-5, IF(F3318&lt;5, 0, F3318))</f>
        <v/>
      </c>
      <c r="E3318">
        <f>VLOOKUP(B3318,[1]Namshi!$A:$B,2,0)</f>
        <v/>
      </c>
      <c r="F3318" s="4">
        <f>SUMIFS('Dubai Stock'!I:I,'Dubai Stock'!H:H,Final_UAE!B:B)</f>
        <v/>
      </c>
      <c r="H3318" s="8" t="e">
        <v>#N/A</v>
      </c>
      <c r="I3318" s="8" t="n"/>
    </row>
    <row r="3319">
      <c r="A3319" s="4" t="n">
        <v>33834</v>
      </c>
      <c r="B3319" s="4" t="inlineStr">
        <is>
          <t>clstdai-acu-dfrb-p30-sn0550</t>
        </is>
      </c>
      <c r="C3319" s="4" t="inlineStr">
        <is>
          <t>W00031886A</t>
        </is>
      </c>
      <c r="D3319" s="6">
        <f>IF(F3319&gt;=5, F3319-5, IF(F3319&lt;5, 0, F3319))</f>
        <v/>
      </c>
      <c r="E3319">
        <f>VLOOKUP(B3319,[1]Namshi!$A:$B,2,0)</f>
        <v/>
      </c>
      <c r="F3319" s="4">
        <f>SUMIFS('Dubai Stock'!I:I,'Dubai Stock'!H:H,Final_UAE!B:B)</f>
        <v/>
      </c>
      <c r="H3319" s="8" t="e">
        <v>#N/A</v>
      </c>
      <c r="I3319" s="8" t="n"/>
    </row>
    <row r="3320">
      <c r="A3320" s="4" t="n">
        <v>33834</v>
      </c>
      <c r="B3320" s="4" t="inlineStr">
        <is>
          <t>clstdai-eve-pure-p90-sn0150</t>
        </is>
      </c>
      <c r="C3320" s="4" t="inlineStr">
        <is>
          <t>W00031886A</t>
        </is>
      </c>
      <c r="D3320" s="6">
        <f>IF(F3320&gt;=5, F3320-5, IF(F3320&lt;5, 0, F3320))</f>
        <v/>
      </c>
      <c r="E3320">
        <f>VLOOKUP(B3320,[1]Namshi!$A:$B,2,0)</f>
        <v/>
      </c>
      <c r="F3320" s="4">
        <f>SUMIFS('Dubai Stock'!I:I,'Dubai Stock'!H:H,Final_UAE!B:B)</f>
        <v/>
      </c>
      <c r="H3320" s="8" t="n">
        <v>529</v>
      </c>
      <c r="I3320" s="8" t="n">
        <v>259</v>
      </c>
    </row>
    <row r="3321">
      <c r="A3321" s="4" t="n">
        <v>33834</v>
      </c>
      <c r="B3321" s="4" t="inlineStr">
        <is>
          <t>clstbiw-acu-oasy-p06-sn0250</t>
        </is>
      </c>
      <c r="C3321" s="4" t="inlineStr">
        <is>
          <t>W00031886A</t>
        </is>
      </c>
      <c r="D3321" s="6">
        <f>IF(F3321&gt;=5, F3321-5, IF(F3321&lt;5, 0, F3321))</f>
        <v/>
      </c>
      <c r="E3321">
        <f>VLOOKUP(B3321,[1]Namshi!$A:$B,2,0)</f>
        <v/>
      </c>
      <c r="F3321" s="4">
        <f>SUMIFS('Dubai Stock'!I:I,'Dubai Stock'!H:H,Final_UAE!B:B)</f>
        <v/>
      </c>
      <c r="H3321" s="8" t="e">
        <v>#N/A</v>
      </c>
      <c r="I3321" s="8" t="n"/>
    </row>
    <row r="3322">
      <c r="A3322" s="4" t="n">
        <v>33834</v>
      </c>
      <c r="B3322" s="4" t="inlineStr">
        <is>
          <t>costdai-acu-dffr-p10-hazel-sn0175</t>
        </is>
      </c>
      <c r="C3322" s="4" t="inlineStr">
        <is>
          <t>W00031886A</t>
        </is>
      </c>
      <c r="D3322" s="6">
        <f>IF(F3322&gt;=5, F3322-5, IF(F3322&lt;5, 0, F3322))</f>
        <v/>
      </c>
      <c r="E3322">
        <f>VLOOKUP(B3322,[1]Namshi!$A:$B,2,0)</f>
        <v/>
      </c>
      <c r="F3322" s="4">
        <f>SUMIFS('Dubai Stock'!I:I,'Dubai Stock'!H:H,Final_UAE!B:B)</f>
        <v/>
      </c>
      <c r="H3322" s="8" t="e">
        <v>#N/A</v>
      </c>
      <c r="I3322" s="8" t="n"/>
    </row>
    <row r="3323">
      <c r="A3323" s="4" t="n">
        <v>33834</v>
      </c>
      <c r="B3323" s="4" t="inlineStr">
        <is>
          <t>su30506-bla-000272-2906-56</t>
        </is>
      </c>
      <c r="C3323" s="4" t="inlineStr">
        <is>
          <t>W00031886A</t>
        </is>
      </c>
      <c r="D3323" s="6">
        <f>IF(F3323&gt;=5, F3323-5, IF(F3323&lt;5, 0, F3323))</f>
        <v/>
      </c>
      <c r="E3323">
        <f>VLOOKUP(B3323,[1]Namshi!$A:$B,2,0)</f>
        <v/>
      </c>
      <c r="F3323" s="4">
        <f>SUMIFS('Dubai Stock'!I:I,'Dubai Stock'!H:H,Final_UAE!B:B)</f>
        <v/>
      </c>
      <c r="H3323" s="8" t="e">
        <v>#N/A</v>
      </c>
    </row>
    <row r="3324">
      <c r="A3324" s="4" t="n">
        <v>33834</v>
      </c>
      <c r="B3324" s="4" t="inlineStr">
        <is>
          <t>clstdai-acu-omax-p30-sn0550</t>
        </is>
      </c>
      <c r="C3324" s="4" t="inlineStr">
        <is>
          <t>W00031886A</t>
        </is>
      </c>
      <c r="D3324" s="6">
        <f>IF(F3324&gt;=5, F3324-5, IF(F3324&lt;5, 0, F3324))</f>
        <v/>
      </c>
      <c r="E3324">
        <f>VLOOKUP(B3324,[1]Namshi!$A:$B,2,0)</f>
        <v/>
      </c>
      <c r="F3324" s="4">
        <f>SUMIFS('Dubai Stock'!I:I,'Dubai Stock'!H:H,Final_UAE!B:B)</f>
        <v/>
      </c>
      <c r="H3324" s="8" t="e">
        <v>#N/A</v>
      </c>
      <c r="I3324" s="8" t="n"/>
    </row>
    <row r="3325">
      <c r="A3325" s="4" t="n">
        <v>33834</v>
      </c>
      <c r="B3325" s="4" t="inlineStr">
        <is>
          <t>sm61302-30s-000235-1302-46</t>
        </is>
      </c>
      <c r="C3325" s="4" t="inlineStr">
        <is>
          <t>W00031886A</t>
        </is>
      </c>
      <c r="D3325" s="6">
        <f>IF(F3325&gt;=5, F3325-5, IF(F3325&lt;5, 0, F3325))</f>
        <v/>
      </c>
      <c r="E3325">
        <f>VLOOKUP(B3325,[1]Namshi!$A:$B,2,0)</f>
        <v/>
      </c>
      <c r="F3325" s="4">
        <f>SUMIFS('Dubai Stock'!I:I,'Dubai Stock'!H:H,Final_UAE!B:B)</f>
        <v/>
      </c>
      <c r="H3325" s="8" t="e">
        <v>#N/A</v>
      </c>
    </row>
    <row r="3326">
      <c r="A3326" s="4" t="n">
        <v>33834</v>
      </c>
      <c r="B3326" s="4" t="inlineStr">
        <is>
          <t>clstdai-acu-omax-p30-sn0750</t>
        </is>
      </c>
      <c r="C3326" s="4" t="inlineStr">
        <is>
          <t>W00031886A</t>
        </is>
      </c>
      <c r="D3326" s="6">
        <f>IF(F3326&gt;=5, F3326-5, IF(F3326&lt;5, 0, F3326))</f>
        <v/>
      </c>
      <c r="E3326">
        <f>VLOOKUP(B3326,[1]Namshi!$A:$B,2,0)</f>
        <v/>
      </c>
      <c r="F3326" s="4">
        <f>SUMIFS('Dubai Stock'!I:I,'Dubai Stock'!H:H,Final_UAE!B:B)</f>
        <v/>
      </c>
      <c r="H3326" s="8" t="e">
        <v>#N/A</v>
      </c>
      <c r="I3326" s="8" t="n"/>
    </row>
    <row r="3327">
      <c r="A3327" s="4" t="n">
        <v>33834</v>
      </c>
      <c r="B3327" s="4" t="inlineStr">
        <is>
          <t>sacchan-30s-chain137-svr-nova-silver</t>
        </is>
      </c>
      <c r="C3327" s="4" t="inlineStr">
        <is>
          <t>W00031886A</t>
        </is>
      </c>
      <c r="D3327" s="6">
        <f>IF(F3327&gt;=5, F3327-5, IF(F3327&lt;5, 0, F3327))</f>
        <v/>
      </c>
      <c r="E3327">
        <f>VLOOKUP(B3327,[1]Namshi!$A:$B,2,0)</f>
        <v/>
      </c>
      <c r="F3327" s="4">
        <f>SUMIFS('Dubai Stock'!I:I,'Dubai Stock'!H:H,Final_UAE!B:B)</f>
        <v/>
      </c>
      <c r="H3327" s="8" t="e">
        <v>#N/A</v>
      </c>
      <c r="I3327" s="8" t="n"/>
    </row>
    <row r="3328">
      <c r="A3328" s="4" t="n">
        <v>33834</v>
      </c>
      <c r="B3328" s="4" t="inlineStr">
        <is>
          <t>costmon-ama-lens-p02-crocodile-green-sn0500</t>
        </is>
      </c>
      <c r="C3328" s="4" t="inlineStr">
        <is>
          <t>W00031886A</t>
        </is>
      </c>
      <c r="D3328" s="6">
        <f>IF(F3328&gt;=5, F3328-5, IF(F3328&lt;5, 0, F3328))</f>
        <v/>
      </c>
      <c r="E3328">
        <f>VLOOKUP(B3328,[1]Namshi!$A:$B,2,0)</f>
        <v/>
      </c>
      <c r="F3328" s="4">
        <f>SUMIFS('Dubai Stock'!I:I,'Dubai Stock'!H:H,Final_UAE!B:B)</f>
        <v/>
      </c>
      <c r="H3328" s="8" t="e">
        <v>#N/A</v>
      </c>
      <c r="I3328" s="8" t="n"/>
    </row>
    <row r="3329">
      <c r="A3329" s="4" t="n">
        <v>33834</v>
      </c>
      <c r="B3329" s="4" t="inlineStr">
        <is>
          <t>sw102404-30s-000271-2404-49</t>
        </is>
      </c>
      <c r="C3329" s="4" t="inlineStr">
        <is>
          <t>W00031886A</t>
        </is>
      </c>
      <c r="D3329" s="6">
        <f>IF(F3329&gt;=5, F3329-5, IF(F3329&lt;5, 0, F3329))</f>
        <v/>
      </c>
      <c r="E3329">
        <f>VLOOKUP(B3329,[1]Namshi!$A:$B,2,0)</f>
        <v/>
      </c>
      <c r="F3329" s="4">
        <f>SUMIFS('Dubai Stock'!I:I,'Dubai Stock'!H:H,Final_UAE!B:B)</f>
        <v/>
      </c>
      <c r="H3329" s="8" t="e">
        <v>#N/A</v>
      </c>
    </row>
    <row r="3330">
      <c r="A3330" s="4" t="n">
        <v>33834</v>
      </c>
      <c r="B3330" s="4" t="inlineStr">
        <is>
          <t>clstdai-acu-omax-p30-sn0225</t>
        </is>
      </c>
      <c r="C3330" s="4" t="inlineStr">
        <is>
          <t>W00031886A</t>
        </is>
      </c>
      <c r="D3330" s="6">
        <f>IF(F3330&gt;=5, F3330-5, IF(F3330&lt;5, 0, F3330))</f>
        <v/>
      </c>
      <c r="E3330">
        <f>VLOOKUP(B3330,[1]Namshi!$A:$B,2,0)</f>
        <v/>
      </c>
      <c r="F3330" s="4">
        <f>SUMIFS('Dubai Stock'!I:I,'Dubai Stock'!H:H,Final_UAE!B:B)</f>
        <v/>
      </c>
      <c r="H3330" s="8" t="e">
        <v>#N/A</v>
      </c>
      <c r="I3330" s="8" t="n"/>
    </row>
    <row r="3331">
      <c r="A3331" s="4" t="n">
        <v>33834</v>
      </c>
      <c r="B3331" s="4" t="inlineStr">
        <is>
          <t>clstdai-sof-sdai-p30-sn0700</t>
        </is>
      </c>
      <c r="C3331" s="4" t="inlineStr">
        <is>
          <t>W00031886A</t>
        </is>
      </c>
      <c r="D3331" s="6">
        <f>IF(F3331&gt;=5, F3331-5, IF(F3331&lt;5, 0, F3331))</f>
        <v/>
      </c>
      <c r="E3331">
        <f>VLOOKUP(B3331,[1]Namshi!$A:$B,2,0)</f>
        <v/>
      </c>
      <c r="F3331" s="4">
        <f>SUMIFS('Dubai Stock'!I:I,'Dubai Stock'!H:H,Final_UAE!B:B)</f>
        <v/>
      </c>
      <c r="H3331" s="8" t="e">
        <v>#N/A</v>
      </c>
      <c r="I3331" s="8" t="n"/>
    </row>
    <row r="3332">
      <c r="A3332" s="4" t="n">
        <v>33834</v>
      </c>
      <c r="B3332" s="4" t="inlineStr">
        <is>
          <t>clstbiw-acu-0002-p06-sp0325</t>
        </is>
      </c>
      <c r="C3332" s="4" t="inlineStr">
        <is>
          <t>W00031886A</t>
        </is>
      </c>
      <c r="D3332" s="6">
        <f>IF(F3332&gt;=5, F3332-5, IF(F3332&lt;5, 0, F3332))</f>
        <v/>
      </c>
      <c r="E3332">
        <f>VLOOKUP(B3332,[1]Namshi!$A:$B,2,0)</f>
        <v/>
      </c>
      <c r="F3332" s="4">
        <f>SUMIFS('Dubai Stock'!I:I,'Dubai Stock'!H:H,Final_UAE!B:B)</f>
        <v/>
      </c>
      <c r="H3332" s="8" t="e">
        <v>#N/A</v>
      </c>
      <c r="I3332" s="8" t="n"/>
    </row>
    <row r="3333">
      <c r="A3333" s="4" t="n">
        <v>33834</v>
      </c>
      <c r="B3333" s="4" t="inlineStr">
        <is>
          <t>costdai-acu-dffr-p10-blue-sn0150</t>
        </is>
      </c>
      <c r="C3333" s="4" t="inlineStr">
        <is>
          <t>W00031886A</t>
        </is>
      </c>
      <c r="D3333" s="6">
        <f>IF(F3333&gt;=5, F3333-5, IF(F3333&lt;5, 0, F3333))</f>
        <v/>
      </c>
      <c r="E3333">
        <f>VLOOKUP(B3333,[1]Namshi!$A:$B,2,0)</f>
        <v/>
      </c>
      <c r="F3333" s="4">
        <f>SUMIFS('Dubai Stock'!I:I,'Dubai Stock'!H:H,Final_UAE!B:B)</f>
        <v/>
      </c>
      <c r="H3333" s="8" t="e">
        <v>#N/A</v>
      </c>
      <c r="I3333" s="8" t="n"/>
    </row>
    <row r="3334">
      <c r="A3334" s="4" t="n">
        <v>33834</v>
      </c>
      <c r="B3334" s="4" t="inlineStr">
        <is>
          <t>clstdai-acu-mois-p60-sn0075</t>
        </is>
      </c>
      <c r="C3334" s="4" t="inlineStr">
        <is>
          <t>W00031886A</t>
        </is>
      </c>
      <c r="D3334" s="6">
        <f>IF(F3334&gt;=5, F3334-5, IF(F3334&lt;5, 0, F3334))</f>
        <v/>
      </c>
      <c r="E3334">
        <f>VLOOKUP(B3334,[1]Namshi!$A:$B,2,0)</f>
        <v/>
      </c>
      <c r="F3334" s="4">
        <f>SUMIFS('Dubai Stock'!I:I,'Dubai Stock'!H:H,Final_UAE!B:B)</f>
        <v/>
      </c>
      <c r="H3334" s="8" t="e">
        <v>#N/A</v>
      </c>
      <c r="I3334" s="8" t="n"/>
    </row>
    <row r="3335">
      <c r="A3335" s="4" t="n">
        <v>33834</v>
      </c>
      <c r="B3335" s="4" t="inlineStr">
        <is>
          <t>clstdai-bme-1day-p30-sn0325</t>
        </is>
      </c>
      <c r="C3335" s="4" t="inlineStr">
        <is>
          <t>W00031886A</t>
        </is>
      </c>
      <c r="D3335" s="6">
        <f>IF(F3335&gt;=5, F3335-5, IF(F3335&lt;5, 0, F3335))</f>
        <v/>
      </c>
      <c r="E3335">
        <f>VLOOKUP(B3335,[1]Namshi!$A:$B,2,0)</f>
        <v/>
      </c>
      <c r="F3335" s="4">
        <f>SUMIFS('Dubai Stock'!I:I,'Dubai Stock'!H:H,Final_UAE!B:B)</f>
        <v/>
      </c>
      <c r="H3335" s="8" t="e">
        <v>#N/A</v>
      </c>
      <c r="I3335" s="8" t="n"/>
    </row>
    <row r="3336">
      <c r="A3336" s="4" t="n">
        <v>33834</v>
      </c>
      <c r="B3336" s="4" t="inlineStr">
        <is>
          <t>clstdai-eve-pure-p90-sp0450</t>
        </is>
      </c>
      <c r="C3336" s="4" t="inlineStr">
        <is>
          <t>W00031886A</t>
        </is>
      </c>
      <c r="D3336" s="6">
        <f>IF(F3336&gt;=5, F3336-5, IF(F3336&lt;5, 0, F3336))</f>
        <v/>
      </c>
      <c r="E3336">
        <f>VLOOKUP(B3336,[1]Namshi!$A:$B,2,0)</f>
        <v/>
      </c>
      <c r="F3336" s="4">
        <f>SUMIFS('Dubai Stock'!I:I,'Dubai Stock'!H:H,Final_UAE!B:B)</f>
        <v/>
      </c>
      <c r="H3336" s="8" t="n">
        <v>529</v>
      </c>
      <c r="I3336" s="8" t="n">
        <v>259</v>
      </c>
    </row>
    <row r="3337">
      <c r="A3337" s="4" t="n">
        <v>33834</v>
      </c>
      <c r="B3337" s="4" t="inlineStr">
        <is>
          <t>clstdai-acu-mois-p120-sn0300</t>
        </is>
      </c>
      <c r="C3337" s="4" t="inlineStr">
        <is>
          <t>W00031886A</t>
        </is>
      </c>
      <c r="D3337" s="6">
        <f>IF(F3337&gt;=5, F3337-5, IF(F3337&lt;5, 0, F3337))</f>
        <v/>
      </c>
      <c r="E3337">
        <f>VLOOKUP(B3337,[1]Namshi!$A:$B,2,0)</f>
        <v/>
      </c>
      <c r="F3337" s="4">
        <f>SUMIFS('Dubai Stock'!I:I,'Dubai Stock'!H:H,Final_UAE!B:B)</f>
        <v/>
      </c>
      <c r="H3337" s="8" t="e">
        <v>#N/A</v>
      </c>
      <c r="I3337" s="8" t="n"/>
    </row>
    <row r="3338">
      <c r="A3338" s="4" t="n">
        <v>33834</v>
      </c>
      <c r="B3338" s="4" t="inlineStr">
        <is>
          <t>clstdai-eve-elit-p90-sn0150</t>
        </is>
      </c>
      <c r="C3338" s="4" t="inlineStr">
        <is>
          <t>W00031886A</t>
        </is>
      </c>
      <c r="D3338" s="6">
        <f>IF(F3338&gt;=5, F3338-5, IF(F3338&lt;5, 0, F3338))</f>
        <v/>
      </c>
      <c r="E3338">
        <f>VLOOKUP(B3338,[1]Namshi!$A:$B,2,0)</f>
        <v/>
      </c>
      <c r="F3338" s="4">
        <f>SUMIFS('Dubai Stock'!I:I,'Dubai Stock'!H:H,Final_UAE!B:B)</f>
        <v/>
      </c>
      <c r="H3338" s="8" t="n">
        <v>729</v>
      </c>
      <c r="I3338" s="8" t="n">
        <v>357</v>
      </c>
    </row>
    <row r="3339">
      <c r="A3339" s="4" t="n">
        <v>33834</v>
      </c>
      <c r="B3339" s="4" t="inlineStr">
        <is>
          <t>sw32910-bla-000252-2910-54</t>
        </is>
      </c>
      <c r="C3339" s="4" t="inlineStr">
        <is>
          <t>W00031886A</t>
        </is>
      </c>
      <c r="D3339" s="6">
        <f>IF(F3339&gt;=5, F3339-5, IF(F3339&lt;5, 0, F3339))</f>
        <v/>
      </c>
      <c r="E3339">
        <f>VLOOKUP(B3339,[1]Namshi!$A:$B,2,0)</f>
        <v/>
      </c>
      <c r="F3339" s="4">
        <f>SUMIFS('Dubai Stock'!I:I,'Dubai Stock'!H:H,Final_UAE!B:B)</f>
        <v/>
      </c>
      <c r="H3339" s="8" t="e">
        <v>#N/A</v>
      </c>
    </row>
    <row r="3340">
      <c r="A3340" s="4" t="n">
        <v>33834</v>
      </c>
      <c r="B3340" s="4" t="inlineStr">
        <is>
          <t>cltodai-acu-mois-p30-sn0125-cn0075-a010</t>
        </is>
      </c>
      <c r="C3340" s="4" t="inlineStr">
        <is>
          <t>W00031886A</t>
        </is>
      </c>
      <c r="D3340" s="6">
        <f>IF(F3340&gt;=5, F3340-5, IF(F3340&lt;5, 0, F3340))</f>
        <v/>
      </c>
      <c r="E3340">
        <f>VLOOKUP(B3340,[1]Namshi!$A:$B,2,0)</f>
        <v/>
      </c>
      <c r="F3340" s="4">
        <f>SUMIFS('Dubai Stock'!I:I,'Dubai Stock'!H:H,Final_UAE!B:B)</f>
        <v/>
      </c>
      <c r="H3340" s="8" t="e">
        <v>#N/A</v>
      </c>
      <c r="I3340" s="8" t="n"/>
    </row>
    <row r="3341">
      <c r="A3341" s="4" t="n">
        <v>33834</v>
      </c>
      <c r="B3341" s="4" t="inlineStr">
        <is>
          <t>sw70107-bla-000257-0101-57</t>
        </is>
      </c>
      <c r="C3341" s="4" t="inlineStr">
        <is>
          <t>W00031886A</t>
        </is>
      </c>
      <c r="D3341" s="6">
        <f>IF(F3341&gt;=5, F3341-5, IF(F3341&lt;5, 0, F3341))</f>
        <v/>
      </c>
      <c r="E3341">
        <f>VLOOKUP(B3341,[1]Namshi!$A:$B,2,0)</f>
        <v/>
      </c>
      <c r="F3341" s="4">
        <f>SUMIFS('Dubai Stock'!I:I,'Dubai Stock'!H:H,Final_UAE!B:B)</f>
        <v/>
      </c>
      <c r="H3341" s="8" t="e">
        <v>#N/A</v>
      </c>
    </row>
    <row r="3342">
      <c r="A3342" s="4" t="n">
        <v>33834</v>
      </c>
      <c r="B3342" s="4" t="inlineStr">
        <is>
          <t>fw30118-spc-000645-0118-53</t>
        </is>
      </c>
      <c r="C3342" s="4" t="inlineStr">
        <is>
          <t>W00031886A</t>
        </is>
      </c>
      <c r="D3342" s="6">
        <f>IF(F3342&gt;=5, F3342-5, IF(F3342&lt;5, 0, F3342))</f>
        <v/>
      </c>
      <c r="E3342">
        <f>VLOOKUP(B3342,[1]Namshi!$A:$B,2,0)</f>
        <v/>
      </c>
      <c r="F3342" s="4">
        <f>SUMIFS('Dubai Stock'!I:I,'Dubai Stock'!H:H,Final_UAE!B:B)</f>
        <v/>
      </c>
      <c r="H3342" s="8" t="e">
        <v>#N/A</v>
      </c>
      <c r="I3342" s="8" t="n"/>
    </row>
    <row r="3343">
      <c r="A3343" s="4" t="n">
        <v>33834</v>
      </c>
      <c r="B3343" s="4" t="inlineStr">
        <is>
          <t>sw70404-30s-000245-0404-55</t>
        </is>
      </c>
      <c r="C3343" s="4" t="inlineStr">
        <is>
          <t>W00031886A</t>
        </is>
      </c>
      <c r="D3343" s="6">
        <f>IF(F3343&gt;=5, F3343-5, IF(F3343&lt;5, 0, F3343))</f>
        <v/>
      </c>
      <c r="E3343">
        <f>VLOOKUP(B3343,[1]Namshi!$A:$B,2,0)</f>
        <v/>
      </c>
      <c r="F3343" s="4">
        <f>SUMIFS('Dubai Stock'!I:I,'Dubai Stock'!H:H,Final_UAE!B:B)</f>
        <v/>
      </c>
      <c r="H3343" s="8" t="e">
        <v>#N/A</v>
      </c>
    </row>
    <row r="3344">
      <c r="A3344" s="4" t="n">
        <v>33834</v>
      </c>
      <c r="B3344" s="4" t="inlineStr">
        <is>
          <t>sw31210-30s-000243-1210-57</t>
        </is>
      </c>
      <c r="C3344" s="4" t="inlineStr">
        <is>
          <t>W00031886A</t>
        </is>
      </c>
      <c r="D3344" s="6">
        <f>IF(F3344&gt;=5, F3344-5, IF(F3344&lt;5, 0, F3344))</f>
        <v/>
      </c>
      <c r="E3344">
        <f>VLOOKUP(B3344,[1]Namshi!$A:$B,2,0)</f>
        <v/>
      </c>
      <c r="F3344" s="4">
        <f>SUMIFS('Dubai Stock'!I:I,'Dubai Stock'!H:H,Final_UAE!B:B)</f>
        <v/>
      </c>
      <c r="H3344" s="8" t="e">
        <v>#N/A</v>
      </c>
    </row>
    <row r="3345">
      <c r="A3345" s="4" t="n">
        <v>33834</v>
      </c>
      <c r="B3345" s="4" t="inlineStr">
        <is>
          <t>fw60618-spc-000877-0618-51</t>
        </is>
      </c>
      <c r="C3345" s="4" t="inlineStr">
        <is>
          <t>W00031886A</t>
        </is>
      </c>
      <c r="D3345" s="6">
        <f>IF(F3345&gt;=5, F3345-5, IF(F3345&lt;5, 0, F3345))</f>
        <v/>
      </c>
      <c r="E3345">
        <f>VLOOKUP(B3345,[1]Namshi!$A:$B,2,0)</f>
        <v/>
      </c>
      <c r="F3345" s="4">
        <f>SUMIFS('Dubai Stock'!I:I,'Dubai Stock'!H:H,Final_UAE!B:B)</f>
        <v/>
      </c>
      <c r="H3345" s="8" t="e">
        <v>#N/A</v>
      </c>
      <c r="I3345" s="8" t="n"/>
    </row>
    <row r="3346">
      <c r="A3346" s="4" t="n">
        <v>33834</v>
      </c>
      <c r="B3346" s="4" t="inlineStr">
        <is>
          <t>clstdai-acu-oasy-p120-sn1200</t>
        </is>
      </c>
      <c r="C3346" s="4" t="inlineStr">
        <is>
          <t>W00031886A</t>
        </is>
      </c>
      <c r="D3346" s="6">
        <f>IF(F3346&gt;=5, F3346-5, IF(F3346&lt;5, 0, F3346))</f>
        <v/>
      </c>
      <c r="E3346">
        <f>VLOOKUP(B3346,[1]Namshi!$A:$B,2,0)</f>
        <v/>
      </c>
      <c r="F3346" s="4">
        <f>SUMIFS('Dubai Stock'!I:I,'Dubai Stock'!H:H,Final_UAE!B:B)</f>
        <v/>
      </c>
      <c r="H3346" s="8" t="e">
        <v>#N/A</v>
      </c>
      <c r="I3346" s="8" t="n"/>
    </row>
    <row r="3347">
      <c r="A3347" s="4" t="n">
        <v>33834</v>
      </c>
      <c r="B3347" s="4" t="inlineStr">
        <is>
          <t>costdai-acu-dffr-p30-rose-sn0300</t>
        </is>
      </c>
      <c r="C3347" s="4" t="inlineStr">
        <is>
          <t>W00031886A</t>
        </is>
      </c>
      <c r="D3347" s="6">
        <f>IF(F3347&gt;=5, F3347-5, IF(F3347&lt;5, 0, F3347))</f>
        <v/>
      </c>
      <c r="E3347">
        <f>VLOOKUP(B3347,[1]Namshi!$A:$B,2,0)</f>
        <v/>
      </c>
      <c r="F3347" s="4">
        <f>SUMIFS('Dubai Stock'!I:I,'Dubai Stock'!H:H,Final_UAE!B:B)</f>
        <v/>
      </c>
      <c r="H3347" s="8" t="e">
        <v>#N/A</v>
      </c>
      <c r="I3347" s="8" t="n"/>
    </row>
    <row r="3348">
      <c r="A3348" s="4" t="n">
        <v>33834</v>
      </c>
      <c r="B3348" s="4" t="inlineStr">
        <is>
          <t>sw100707-bla-000374-0707-50</t>
        </is>
      </c>
      <c r="C3348" s="4" t="inlineStr">
        <is>
          <t>W00031886A</t>
        </is>
      </c>
      <c r="D3348" s="6">
        <f>IF(F3348&gt;=5, F3348-5, IF(F3348&lt;5, 0, F3348))</f>
        <v/>
      </c>
      <c r="E3348">
        <f>VLOOKUP(B3348,[1]Namshi!$A:$B,2,0)</f>
        <v/>
      </c>
      <c r="F3348" s="4">
        <f>SUMIFS('Dubai Stock'!I:I,'Dubai Stock'!H:H,Final_UAE!B:B)</f>
        <v/>
      </c>
      <c r="H3348" s="8" t="e">
        <v>#N/A</v>
      </c>
    </row>
    <row r="3349">
      <c r="A3349" s="4" t="n">
        <v>33834</v>
      </c>
      <c r="B3349" s="4" t="inlineStr">
        <is>
          <t>cost3mo-lay-2021-p02-polar-gray-sn0300</t>
        </is>
      </c>
      <c r="C3349" s="4" t="inlineStr">
        <is>
          <t>W00031886A</t>
        </is>
      </c>
      <c r="D3349" s="6">
        <f>IF(F3349&gt;=5, F3349-5, IF(F3349&lt;5, 0, F3349))</f>
        <v/>
      </c>
      <c r="E3349">
        <f>VLOOKUP(B3349,[1]Namshi!$A:$B,2,0)</f>
        <v/>
      </c>
      <c r="F3349" s="4">
        <f>SUMIFS('Dubai Stock'!I:I,'Dubai Stock'!H:H,Final_UAE!B:B)</f>
        <v/>
      </c>
      <c r="H3349" s="8" t="e">
        <v>#N/A</v>
      </c>
      <c r="I3349" s="8" t="n"/>
    </row>
    <row r="3350">
      <c r="A3350" s="4" t="n">
        <v>33834</v>
      </c>
      <c r="B3350" s="4" t="inlineStr">
        <is>
          <t>clstdai-acu-mois-p90-sn0175</t>
        </is>
      </c>
      <c r="C3350" s="4" t="inlineStr">
        <is>
          <t>W00031886A</t>
        </is>
      </c>
      <c r="D3350" s="6">
        <f>IF(F3350&gt;=5, F3350-5, IF(F3350&lt;5, 0, F3350))</f>
        <v/>
      </c>
      <c r="E3350">
        <f>VLOOKUP(B3350,[1]Namshi!$A:$B,2,0)</f>
        <v/>
      </c>
      <c r="F3350" s="4">
        <f>SUMIFS('Dubai Stock'!I:I,'Dubai Stock'!H:H,Final_UAE!B:B)</f>
        <v/>
      </c>
      <c r="H3350" s="8" t="e">
        <v>#N/A</v>
      </c>
      <c r="I3350" s="8" t="n"/>
    </row>
    <row r="3351">
      <c r="A3351" s="4" t="n">
        <v>33834</v>
      </c>
      <c r="B3351" s="4" t="inlineStr">
        <is>
          <t>clstdai-lay-cont-p60-dazzle-black-sn0125</t>
        </is>
      </c>
      <c r="C3351" s="4" t="inlineStr">
        <is>
          <t>W00031886A</t>
        </is>
      </c>
      <c r="D3351" s="6">
        <f>IF(F3351&gt;=5, F3351-5, IF(F3351&lt;5, 0, F3351))</f>
        <v/>
      </c>
      <c r="E3351">
        <f>VLOOKUP(B3351,[1]Namshi!$A:$B,2,0)</f>
        <v/>
      </c>
      <c r="F3351" s="4">
        <f>SUMIFS('Dubai Stock'!I:I,'Dubai Stock'!H:H,Final_UAE!B:B)</f>
        <v/>
      </c>
      <c r="H3351" s="8" t="e">
        <v>#N/A</v>
      </c>
      <c r="I3351" s="8" t="n"/>
    </row>
    <row r="3352">
      <c r="A3352" s="4" t="n">
        <v>33834</v>
      </c>
      <c r="B3352" s="4" t="inlineStr">
        <is>
          <t>clstmon-bme-bm55-p06-sn0025</t>
        </is>
      </c>
      <c r="C3352" s="4" t="inlineStr">
        <is>
          <t>W00031886A</t>
        </is>
      </c>
      <c r="D3352" s="6">
        <f>IF(F3352&gt;=5, F3352-5, IF(F3352&lt;5, 0, F3352))</f>
        <v/>
      </c>
      <c r="E3352">
        <f>VLOOKUP(B3352,[1]Namshi!$A:$B,2,0)</f>
        <v/>
      </c>
      <c r="F3352" s="4">
        <f>SUMIFS('Dubai Stock'!I:I,'Dubai Stock'!H:H,Final_UAE!B:B)</f>
        <v/>
      </c>
      <c r="H3352" s="8" t="e">
        <v>#N/A</v>
      </c>
      <c r="I3352" s="8" t="n"/>
    </row>
    <row r="3353">
      <c r="A3353" s="4" t="n">
        <v>33834</v>
      </c>
      <c r="B3353" s="4" t="inlineStr">
        <is>
          <t>clstdai-acu-mois-p30-sp0475</t>
        </is>
      </c>
      <c r="C3353" s="4" t="inlineStr">
        <is>
          <t>W00031886A</t>
        </is>
      </c>
      <c r="D3353" s="6">
        <f>IF(F3353&gt;=5, F3353-5, IF(F3353&lt;5, 0, F3353))</f>
        <v/>
      </c>
      <c r="E3353">
        <f>VLOOKUP(B3353,[1]Namshi!$A:$B,2,0)</f>
        <v/>
      </c>
      <c r="F3353" s="4">
        <f>SUMIFS('Dubai Stock'!I:I,'Dubai Stock'!H:H,Final_UAE!B:B)</f>
        <v/>
      </c>
      <c r="H3353" s="8" t="e">
        <v>#N/A</v>
      </c>
      <c r="I3353" s="8" t="n"/>
    </row>
    <row r="3354">
      <c r="A3354" s="4" t="n">
        <v>33834</v>
      </c>
      <c r="B3354" s="4" t="inlineStr">
        <is>
          <t>fw32918-spc-000809-2918-61</t>
        </is>
      </c>
      <c r="C3354" s="4" t="inlineStr">
        <is>
          <t>W00031886A</t>
        </is>
      </c>
      <c r="D3354" s="6">
        <f>IF(F3354&gt;=5, F3354-5, IF(F3354&lt;5, 0, F3354))</f>
        <v/>
      </c>
      <c r="E3354">
        <f>VLOOKUP(B3354,[1]Namshi!$A:$B,2,0)</f>
        <v/>
      </c>
      <c r="F3354" s="4">
        <f>SUMIFS('Dubai Stock'!I:I,'Dubai Stock'!H:H,Final_UAE!B:B)</f>
        <v/>
      </c>
      <c r="H3354" s="8" t="e">
        <v>#N/A</v>
      </c>
      <c r="I3354" s="8" t="n"/>
    </row>
    <row r="3355">
      <c r="A3355" s="4" t="n">
        <v>33834</v>
      </c>
      <c r="B3355" s="4" t="inlineStr">
        <is>
          <t>clstdai-dai-aqua-p30-sn0250</t>
        </is>
      </c>
      <c r="C3355" s="4" t="inlineStr">
        <is>
          <t>W00031886A</t>
        </is>
      </c>
      <c r="D3355" s="6">
        <f>IF(F3355&gt;=5, F3355-5, IF(F3355&lt;5, 0, F3355))</f>
        <v/>
      </c>
      <c r="E3355">
        <f>VLOOKUP(B3355,[1]Namshi!$A:$B,2,0)</f>
        <v/>
      </c>
      <c r="F3355" s="4">
        <f>SUMIFS('Dubai Stock'!I:I,'Dubai Stock'!H:H,Final_UAE!B:B)</f>
        <v/>
      </c>
      <c r="H3355" s="8" t="e">
        <v>#N/A</v>
      </c>
      <c r="I3355" s="8" t="n"/>
    </row>
    <row r="3356">
      <c r="A3356" s="4" t="n">
        <v>33834</v>
      </c>
      <c r="B3356" s="4" t="inlineStr">
        <is>
          <t>clstdai-bme-1day-p30-sn0100</t>
        </is>
      </c>
      <c r="C3356" s="4" t="inlineStr">
        <is>
          <t>W00031886A</t>
        </is>
      </c>
      <c r="D3356" s="6">
        <f>IF(F3356&gt;=5, F3356-5, IF(F3356&lt;5, 0, F3356))</f>
        <v/>
      </c>
      <c r="E3356">
        <f>VLOOKUP(B3356,[1]Namshi!$A:$B,2,0)</f>
        <v/>
      </c>
      <c r="F3356" s="4">
        <f>SUMIFS('Dubai Stock'!I:I,'Dubai Stock'!H:H,Final_UAE!B:B)</f>
        <v/>
      </c>
      <c r="H3356" s="8" t="e">
        <v>#N/A</v>
      </c>
      <c r="I3356" s="8" t="n"/>
    </row>
    <row r="3357">
      <c r="A3357" s="4" t="n">
        <v>33834</v>
      </c>
      <c r="B3357" s="4" t="inlineStr">
        <is>
          <t>costdai-acu-dffr-p30-grayzel-sn0200</t>
        </is>
      </c>
      <c r="C3357" s="4" t="inlineStr">
        <is>
          <t>W00031886A</t>
        </is>
      </c>
      <c r="D3357" s="6">
        <f>IF(F3357&gt;=5, F3357-5, IF(F3357&lt;5, 0, F3357))</f>
        <v/>
      </c>
      <c r="E3357">
        <f>VLOOKUP(B3357,[1]Namshi!$A:$B,2,0)</f>
        <v/>
      </c>
      <c r="F3357" s="4">
        <f>SUMIFS('Dubai Stock'!I:I,'Dubai Stock'!H:H,Final_UAE!B:B)</f>
        <v/>
      </c>
      <c r="H3357" s="8" t="e">
        <v>#N/A</v>
      </c>
      <c r="I3357" s="8" t="n"/>
    </row>
    <row r="3358">
      <c r="A3358" s="4" t="n">
        <v>33834</v>
      </c>
      <c r="B3358" s="4" t="inlineStr">
        <is>
          <t>fu20618-spc-000662-0618-49</t>
        </is>
      </c>
      <c r="C3358" s="4" t="inlineStr">
        <is>
          <t>W00031886A</t>
        </is>
      </c>
      <c r="D3358" s="6">
        <f>IF(F3358&gt;=5, F3358-5, IF(F3358&lt;5, 0, F3358))</f>
        <v/>
      </c>
      <c r="E3358">
        <f>VLOOKUP(B3358,[1]Namshi!$A:$B,2,0)</f>
        <v/>
      </c>
      <c r="F3358" s="4">
        <f>SUMIFS('Dubai Stock'!I:I,'Dubai Stock'!H:H,Final_UAE!B:B)</f>
        <v/>
      </c>
      <c r="H3358" s="8" t="e">
        <v>#N/A</v>
      </c>
      <c r="I3358" s="8" t="n"/>
    </row>
    <row r="3359">
      <c r="A3359" s="4" t="n">
        <v>33834</v>
      </c>
      <c r="B3359" s="4" t="inlineStr">
        <is>
          <t>clstbiw-acu-oasy-p18-sn0400</t>
        </is>
      </c>
      <c r="C3359" s="4" t="inlineStr">
        <is>
          <t>W00031886A</t>
        </is>
      </c>
      <c r="D3359" s="6">
        <f>IF(F3359&gt;=5, F3359-5, IF(F3359&lt;5, 0, F3359))</f>
        <v/>
      </c>
      <c r="E3359">
        <f>VLOOKUP(B3359,[1]Namshi!$A:$B,2,0)</f>
        <v/>
      </c>
      <c r="F3359" s="4">
        <f>SUMIFS('Dubai Stock'!I:I,'Dubai Stock'!H:H,Final_UAE!B:B)</f>
        <v/>
      </c>
      <c r="H3359" s="8" t="e">
        <v>#N/A</v>
      </c>
      <c r="I3359" s="8" t="n"/>
    </row>
    <row r="3360">
      <c r="A3360" s="4" t="n">
        <v>33834</v>
      </c>
      <c r="B3360" s="4" t="inlineStr">
        <is>
          <t>cltobiw-acu-oasy-p06-sn0050-cn0075-a150</t>
        </is>
      </c>
      <c r="C3360" s="4" t="inlineStr">
        <is>
          <t>W00031886A</t>
        </is>
      </c>
      <c r="D3360" s="6">
        <f>IF(F3360&gt;=5, F3360-5, IF(F3360&lt;5, 0, F3360))</f>
        <v/>
      </c>
      <c r="E3360">
        <f>VLOOKUP(B3360,[1]Namshi!$A:$B,2,0)</f>
        <v/>
      </c>
      <c r="F3360" s="4">
        <f>SUMIFS('Dubai Stock'!I:I,'Dubai Stock'!H:H,Final_UAE!B:B)</f>
        <v/>
      </c>
      <c r="H3360" s="8" t="e">
        <v>#N/A</v>
      </c>
      <c r="I3360" s="8" t="n"/>
    </row>
    <row r="3361">
      <c r="A3361" s="4" t="n">
        <v>33834</v>
      </c>
      <c r="B3361" s="4" t="inlineStr">
        <is>
          <t>clstmon-ava-avai-p06-sn0475</t>
        </is>
      </c>
      <c r="C3361" s="4" t="inlineStr">
        <is>
          <t>W00031886A</t>
        </is>
      </c>
      <c r="D3361" s="6">
        <f>IF(F3361&gt;=5, F3361-5, IF(F3361&lt;5, 0, F3361))</f>
        <v/>
      </c>
      <c r="E3361">
        <f>VLOOKUP(B3361,[1]Namshi!$A:$B,2,0)</f>
        <v/>
      </c>
      <c r="F3361" s="4">
        <f>SUMIFS('Dubai Stock'!I:I,'Dubai Stock'!H:H,Final_UAE!B:B)</f>
        <v/>
      </c>
      <c r="H3361" s="8" t="e">
        <v>#N/A</v>
      </c>
      <c r="I3361" s="8" t="n"/>
    </row>
    <row r="3362">
      <c r="A3362" s="4" t="n">
        <v>33834</v>
      </c>
      <c r="B3362" s="4" t="inlineStr">
        <is>
          <t>cost3mo-lay-2021-p02-skye-blue-sn0350</t>
        </is>
      </c>
      <c r="C3362" s="4" t="inlineStr">
        <is>
          <t>W00031886A</t>
        </is>
      </c>
      <c r="D3362" s="6">
        <f>IF(F3362&gt;=5, F3362-5, IF(F3362&lt;5, 0, F3362))</f>
        <v/>
      </c>
      <c r="E3362">
        <f>VLOOKUP(B3362,[1]Namshi!$A:$B,2,0)</f>
        <v/>
      </c>
      <c r="F3362" s="4">
        <f>SUMIFS('Dubai Stock'!I:I,'Dubai Stock'!H:H,Final_UAE!B:B)</f>
        <v/>
      </c>
      <c r="H3362" s="8" t="e">
        <v>#N/A</v>
      </c>
      <c r="I3362" s="8" t="n"/>
    </row>
    <row r="3363">
      <c r="A3363" s="4" t="n">
        <v>33834</v>
      </c>
      <c r="B3363" s="4" t="inlineStr">
        <is>
          <t>costmon-ama-lens-p02-mocca-sn0200</t>
        </is>
      </c>
      <c r="C3363" s="4" t="inlineStr">
        <is>
          <t>W00031886A</t>
        </is>
      </c>
      <c r="D3363" s="6">
        <f>IF(F3363&gt;=5, F3363-5, IF(F3363&lt;5, 0, F3363))</f>
        <v/>
      </c>
      <c r="E3363">
        <f>VLOOKUP(B3363,[1]Namshi!$A:$B,2,0)</f>
        <v/>
      </c>
      <c r="F3363" s="4">
        <f>SUMIFS('Dubai Stock'!I:I,'Dubai Stock'!H:H,Final_UAE!B:B)</f>
        <v/>
      </c>
      <c r="H3363" s="8" t="e">
        <v>#N/A</v>
      </c>
      <c r="I3363" s="8" t="n"/>
    </row>
    <row r="3364">
      <c r="A3364" s="4" t="n">
        <v>33834</v>
      </c>
      <c r="B3364" s="4" t="inlineStr">
        <is>
          <t>cost3mo-lay-2025-p02-emerald-glow-sn0500</t>
        </is>
      </c>
      <c r="C3364" s="4" t="inlineStr">
        <is>
          <t>W00031886A</t>
        </is>
      </c>
      <c r="D3364" s="6">
        <f>IF(F3364&gt;=5, F3364-5, IF(F3364&lt;5, 0, F3364))</f>
        <v/>
      </c>
      <c r="E3364">
        <f>VLOOKUP(B3364,[1]Namshi!$A:$B,2,0)</f>
        <v/>
      </c>
      <c r="F3364" s="4">
        <f>SUMIFS('Dubai Stock'!I:I,'Dubai Stock'!H:H,Final_UAE!B:B)</f>
        <v/>
      </c>
      <c r="H3364" s="8" t="e">
        <v>#N/A</v>
      </c>
      <c r="I3364" s="8" t="n"/>
    </row>
    <row r="3365">
      <c r="A3365" s="4" t="n">
        <v>33834</v>
      </c>
      <c r="B3365" s="4" t="inlineStr">
        <is>
          <t>clstdai-cti-cla1-p30-sn0425</t>
        </is>
      </c>
      <c r="C3365" s="4" t="inlineStr">
        <is>
          <t>W00031886A</t>
        </is>
      </c>
      <c r="D3365" s="6">
        <f>IF(F3365&gt;=5, F3365-5, IF(F3365&lt;5, 0, F3365))</f>
        <v/>
      </c>
      <c r="E3365">
        <f>VLOOKUP(B3365,[1]Namshi!$A:$B,2,0)</f>
        <v/>
      </c>
      <c r="F3365" s="4">
        <f>SUMIFS('Dubai Stock'!I:I,'Dubai Stock'!H:H,Final_UAE!B:B)</f>
        <v/>
      </c>
      <c r="H3365" s="8" t="e">
        <v>#N/A</v>
      </c>
      <c r="I3365" s="8" t="n"/>
    </row>
    <row r="3366">
      <c r="A3366" s="4" t="n">
        <v>33834</v>
      </c>
      <c r="B3366" s="4" t="inlineStr">
        <is>
          <t>bc50118-bab-000503-0118-46</t>
        </is>
      </c>
      <c r="C3366" s="4" t="inlineStr">
        <is>
          <t>W00031886A</t>
        </is>
      </c>
      <c r="D3366" s="6">
        <f>IF(F3366&gt;=5, F3366-5, IF(F3366&lt;5, 0, F3366))</f>
        <v/>
      </c>
      <c r="E3366">
        <f>VLOOKUP(B3366,[1]Namshi!$A:$B,2,0)</f>
        <v/>
      </c>
      <c r="F3366" s="4">
        <f>SUMIFS('Dubai Stock'!I:I,'Dubai Stock'!H:H,Final_UAE!B:B)</f>
        <v/>
      </c>
      <c r="H3366" s="8" t="e">
        <v>#N/A</v>
      </c>
    </row>
    <row r="3367">
      <c r="A3367" s="4" t="n">
        <v>33834</v>
      </c>
      <c r="B3367" s="4" t="inlineStr">
        <is>
          <t>clstmon-eve-prom-p06-sp0275</t>
        </is>
      </c>
      <c r="C3367" s="4" t="inlineStr">
        <is>
          <t>W00031886A</t>
        </is>
      </c>
      <c r="D3367" s="6">
        <f>IF(F3367&gt;=5, F3367-5, IF(F3367&lt;5, 0, F3367))</f>
        <v/>
      </c>
      <c r="E3367">
        <f>VLOOKUP(B3367,[1]Namshi!$A:$B,2,0)</f>
        <v/>
      </c>
      <c r="F3367" s="4">
        <f>SUMIFS('Dubai Stock'!I:I,'Dubai Stock'!H:H,Final_UAE!B:B)</f>
        <v/>
      </c>
      <c r="H3367" s="8" t="n">
        <v>212</v>
      </c>
      <c r="I3367" s="8" t="n">
        <v>111.3</v>
      </c>
    </row>
    <row r="3368">
      <c r="A3368" s="4" t="n">
        <v>33834</v>
      </c>
      <c r="B3368" s="4" t="inlineStr">
        <is>
          <t>cost3mo-lay-2023-p02-sable-brown-sn0050</t>
        </is>
      </c>
      <c r="C3368" s="4" t="inlineStr">
        <is>
          <t>W00031886A</t>
        </is>
      </c>
      <c r="D3368" s="6">
        <f>IF(F3368&gt;=5, F3368-5, IF(F3368&lt;5, 0, F3368))</f>
        <v/>
      </c>
      <c r="E3368">
        <f>VLOOKUP(B3368,[1]Namshi!$A:$B,2,0)</f>
        <v/>
      </c>
      <c r="F3368" s="4">
        <f>SUMIFS('Dubai Stock'!I:I,'Dubai Stock'!H:H,Final_UAE!B:B)</f>
        <v/>
      </c>
      <c r="H3368" s="8" t="e">
        <v>#N/A</v>
      </c>
      <c r="I3368" s="8" t="n"/>
    </row>
    <row r="3369">
      <c r="A3369" s="4" t="n">
        <v>33834</v>
      </c>
      <c r="B3369" s="4" t="inlineStr">
        <is>
          <t>clstdai-acu-omax-p90-sn0175</t>
        </is>
      </c>
      <c r="C3369" s="4" t="inlineStr">
        <is>
          <t>W00031886A</t>
        </is>
      </c>
      <c r="D3369" s="6">
        <f>IF(F3369&gt;=5, F3369-5, IF(F3369&lt;5, 0, F3369))</f>
        <v/>
      </c>
      <c r="E3369">
        <f>VLOOKUP(B3369,[1]Namshi!$A:$B,2,0)</f>
        <v/>
      </c>
      <c r="F3369" s="4">
        <f>SUMIFS('Dubai Stock'!I:I,'Dubai Stock'!H:H,Final_UAE!B:B)</f>
        <v/>
      </c>
      <c r="H3369" s="8" t="e">
        <v>#N/A</v>
      </c>
      <c r="I3369" s="8" t="n"/>
    </row>
    <row r="3370">
      <c r="A3370" s="4" t="n">
        <v>33834</v>
      </c>
      <c r="B3370" s="4" t="inlineStr">
        <is>
          <t>sw62907-bla-000320-2907-56</t>
        </is>
      </c>
      <c r="C3370" s="4" t="inlineStr">
        <is>
          <t>W00031886A</t>
        </is>
      </c>
      <c r="D3370" s="6">
        <f>IF(F3370&gt;=5, F3370-5, IF(F3370&lt;5, 0, F3370))</f>
        <v/>
      </c>
      <c r="E3370">
        <f>VLOOKUP(B3370,[1]Namshi!$A:$B,2,0)</f>
        <v/>
      </c>
      <c r="F3370" s="4">
        <f>SUMIFS('Dubai Stock'!I:I,'Dubai Stock'!H:H,Final_UAE!B:B)</f>
        <v/>
      </c>
      <c r="H3370" s="8" t="e">
        <v>#N/A</v>
      </c>
    </row>
    <row r="3371">
      <c r="A3371" s="4" t="n">
        <v>33834</v>
      </c>
      <c r="B3371" s="4" t="inlineStr">
        <is>
          <t>sw100107-bla-000329-0107-55</t>
        </is>
      </c>
      <c r="C3371" s="4" t="inlineStr">
        <is>
          <t>W00031886A</t>
        </is>
      </c>
      <c r="D3371" s="6">
        <f>IF(F3371&gt;=5, F3371-5, IF(F3371&lt;5, 0, F3371))</f>
        <v/>
      </c>
      <c r="E3371">
        <f>VLOOKUP(B3371,[1]Namshi!$A:$B,2,0)</f>
        <v/>
      </c>
      <c r="F3371" s="4">
        <f>SUMIFS('Dubai Stock'!I:I,'Dubai Stock'!H:H,Final_UAE!B:B)</f>
        <v/>
      </c>
      <c r="H3371" s="8" t="e">
        <v>#N/A</v>
      </c>
    </row>
    <row r="3372">
      <c r="A3372" s="4" t="n">
        <v>33834</v>
      </c>
      <c r="B3372" s="4" t="inlineStr">
        <is>
          <t>clstdai-acu-oasy-p90-sn1050</t>
        </is>
      </c>
      <c r="C3372" s="4" t="inlineStr">
        <is>
          <t>W00031886A</t>
        </is>
      </c>
      <c r="D3372" s="6">
        <f>IF(F3372&gt;=5, F3372-5, IF(F3372&lt;5, 0, F3372))</f>
        <v/>
      </c>
      <c r="E3372">
        <f>VLOOKUP(B3372,[1]Namshi!$A:$B,2,0)</f>
        <v/>
      </c>
      <c r="F3372" s="4">
        <f>SUMIFS('Dubai Stock'!I:I,'Dubai Stock'!H:H,Final_UAE!B:B)</f>
        <v/>
      </c>
      <c r="H3372" s="8" t="e">
        <v>#N/A</v>
      </c>
      <c r="I3372" s="8" t="n"/>
    </row>
    <row r="3373">
      <c r="A3373" s="4" t="n">
        <v>33834</v>
      </c>
      <c r="B3373" s="4" t="inlineStr">
        <is>
          <t>sm10404-30s-000256-0404-57</t>
        </is>
      </c>
      <c r="C3373" s="4" t="inlineStr">
        <is>
          <t>W00031886A</t>
        </is>
      </c>
      <c r="D3373" s="6">
        <f>IF(F3373&gt;=5, F3373-5, IF(F3373&lt;5, 0, F3373))</f>
        <v/>
      </c>
      <c r="E3373">
        <f>VLOOKUP(B3373,[1]Namshi!$A:$B,2,0)</f>
        <v/>
      </c>
      <c r="F3373" s="4">
        <f>SUMIFS('Dubai Stock'!I:I,'Dubai Stock'!H:H,Final_UAE!B:B)</f>
        <v/>
      </c>
      <c r="H3373" s="8" t="e">
        <v>#N/A</v>
      </c>
    </row>
    <row r="3374">
      <c r="A3374" s="4" t="n">
        <v>33834</v>
      </c>
      <c r="B3374" s="4" t="inlineStr">
        <is>
          <t>clstdai-eve-elit-p90-sn0300</t>
        </is>
      </c>
      <c r="C3374" s="4" t="inlineStr">
        <is>
          <t>W00031886A</t>
        </is>
      </c>
      <c r="D3374" s="6">
        <f>IF(F3374&gt;=5, F3374-5, IF(F3374&lt;5, 0, F3374))</f>
        <v/>
      </c>
      <c r="E3374">
        <f>VLOOKUP(B3374,[1]Namshi!$A:$B,2,0)</f>
        <v/>
      </c>
      <c r="F3374" s="4">
        <f>SUMIFS('Dubai Stock'!I:I,'Dubai Stock'!H:H,Final_UAE!B:B)</f>
        <v/>
      </c>
      <c r="H3374" s="8" t="n">
        <v>729</v>
      </c>
      <c r="I3374" s="8" t="n">
        <v>357</v>
      </c>
    </row>
    <row r="3375">
      <c r="A3375" s="4" t="n">
        <v>33834</v>
      </c>
      <c r="B3375" s="4" t="inlineStr">
        <is>
          <t>clstbiw-acu-oasy-p06-sp0550</t>
        </is>
      </c>
      <c r="C3375" s="4" t="inlineStr">
        <is>
          <t>W00031886A</t>
        </is>
      </c>
      <c r="D3375" s="6">
        <f>IF(F3375&gt;=5, F3375-5, IF(F3375&lt;5, 0, F3375))</f>
        <v/>
      </c>
      <c r="E3375">
        <f>VLOOKUP(B3375,[1]Namshi!$A:$B,2,0)</f>
        <v/>
      </c>
      <c r="F3375" s="4">
        <f>SUMIFS('Dubai Stock'!I:I,'Dubai Stock'!H:H,Final_UAE!B:B)</f>
        <v/>
      </c>
      <c r="H3375" s="8" t="e">
        <v>#N/A</v>
      </c>
      <c r="I3375" s="8" t="n"/>
    </row>
    <row r="3376">
      <c r="A3376" s="4" t="n">
        <v>33834</v>
      </c>
      <c r="B3376" s="4" t="inlineStr">
        <is>
          <t>costdai-acu-dffr-p30-rose-sn0350</t>
        </is>
      </c>
      <c r="C3376" s="4" t="inlineStr">
        <is>
          <t>W00031886A</t>
        </is>
      </c>
      <c r="D3376" s="6">
        <f>IF(F3376&gt;=5, F3376-5, IF(F3376&lt;5, 0, F3376))</f>
        <v/>
      </c>
      <c r="E3376">
        <f>VLOOKUP(B3376,[1]Namshi!$A:$B,2,0)</f>
        <v/>
      </c>
      <c r="F3376" s="4">
        <f>SUMIFS('Dubai Stock'!I:I,'Dubai Stock'!H:H,Final_UAE!B:B)</f>
        <v/>
      </c>
      <c r="H3376" s="8" t="e">
        <v>#N/A</v>
      </c>
      <c r="I3376" s="8" t="n"/>
    </row>
    <row r="3377">
      <c r="A3377" s="4" t="n">
        <v>33834</v>
      </c>
      <c r="B3377" s="4" t="inlineStr">
        <is>
          <t>sc20207-bab-000510-0207d-43</t>
        </is>
      </c>
      <c r="C3377" s="4" t="inlineStr">
        <is>
          <t>W00031886A</t>
        </is>
      </c>
      <c r="D3377" s="6">
        <f>IF(F3377&gt;=5, F3377-5, IF(F3377&lt;5, 0, F3377))</f>
        <v/>
      </c>
      <c r="E3377">
        <f>VLOOKUP(B3377,[1]Namshi!$A:$B,2,0)</f>
        <v/>
      </c>
      <c r="F3377" s="4">
        <f>SUMIFS('Dubai Stock'!I:I,'Dubai Stock'!H:H,Final_UAE!B:B)</f>
        <v/>
      </c>
      <c r="H3377" s="8" t="e">
        <v>#N/A</v>
      </c>
    </row>
    <row r="3378">
      <c r="A3378" s="4" t="n">
        <v>33834</v>
      </c>
      <c r="B3378" s="4" t="inlineStr">
        <is>
          <t>fc50918-bab-000503-0900-46</t>
        </is>
      </c>
      <c r="C3378" s="4" t="inlineStr">
        <is>
          <t>W00031886A</t>
        </is>
      </c>
      <c r="D3378" s="6">
        <f>IF(F3378&gt;=5, F3378-5, IF(F3378&lt;5, 0, F3378))</f>
        <v/>
      </c>
      <c r="E3378">
        <f>VLOOKUP(B3378,[1]Namshi!$A:$B,2,0)</f>
        <v/>
      </c>
      <c r="F3378" s="4">
        <f>SUMIFS('Dubai Stock'!I:I,'Dubai Stock'!H:H,Final_UAE!B:B)</f>
        <v/>
      </c>
      <c r="H3378" s="8" t="e">
        <v>#N/A</v>
      </c>
      <c r="I3378" s="8" t="n"/>
    </row>
    <row r="3379">
      <c r="A3379" s="4" t="n">
        <v>33834</v>
      </c>
      <c r="B3379" s="4" t="inlineStr">
        <is>
          <t>cost3mo-lay-2023-p02-selene-green-sn0375</t>
        </is>
      </c>
      <c r="C3379" s="4" t="inlineStr">
        <is>
          <t>W00031886A</t>
        </is>
      </c>
      <c r="D3379" s="6">
        <f>IF(F3379&gt;=5, F3379-5, IF(F3379&lt;5, 0, F3379))</f>
        <v/>
      </c>
      <c r="E3379">
        <f>VLOOKUP(B3379,[1]Namshi!$A:$B,2,0)</f>
        <v/>
      </c>
      <c r="F3379" s="4">
        <f>SUMIFS('Dubai Stock'!I:I,'Dubai Stock'!H:H,Final_UAE!B:B)</f>
        <v/>
      </c>
      <c r="H3379" s="8" t="e">
        <v>#N/A</v>
      </c>
      <c r="I3379" s="8" t="n"/>
    </row>
    <row r="3380">
      <c r="A3380" s="4" t="n">
        <v>33834</v>
      </c>
      <c r="B3380" s="4" t="inlineStr">
        <is>
          <t>sm12706-30s-000208-2706-56</t>
        </is>
      </c>
      <c r="C3380" s="4" t="inlineStr">
        <is>
          <t>W00031886A</t>
        </is>
      </c>
      <c r="D3380" s="6">
        <f>IF(F3380&gt;=5, F3380-5, IF(F3380&lt;5, 0, F3380))</f>
        <v/>
      </c>
      <c r="E3380">
        <f>VLOOKUP(B3380,[1]Namshi!$A:$B,2,0)</f>
        <v/>
      </c>
      <c r="F3380" s="4">
        <f>SUMIFS('Dubai Stock'!I:I,'Dubai Stock'!H:H,Final_UAE!B:B)</f>
        <v/>
      </c>
      <c r="H3380" s="8" t="e">
        <v>#N/A</v>
      </c>
    </row>
    <row r="3381">
      <c r="A3381" s="4" t="n">
        <v>33834</v>
      </c>
      <c r="B3381" s="4" t="inlineStr">
        <is>
          <t>sw30101-30s-000233-0101-53</t>
        </is>
      </c>
      <c r="C3381" s="4" t="inlineStr">
        <is>
          <t>W00031886A</t>
        </is>
      </c>
      <c r="D3381" s="6">
        <f>IF(F3381&gt;=5, F3381-5, IF(F3381&lt;5, 0, F3381))</f>
        <v/>
      </c>
      <c r="E3381">
        <f>VLOOKUP(B3381,[1]Namshi!$A:$B,2,0)</f>
        <v/>
      </c>
      <c r="F3381" s="4">
        <f>SUMIFS('Dubai Stock'!I:I,'Dubai Stock'!H:H,Final_UAE!B:B)</f>
        <v/>
      </c>
      <c r="H3381" s="8" t="e">
        <v>#N/A</v>
      </c>
    </row>
    <row r="3382">
      <c r="A3382" s="4" t="n">
        <v>33834</v>
      </c>
      <c r="B3382" s="4" t="inlineStr">
        <is>
          <t>clstdai-eve-pure-p30-sn0175</t>
        </is>
      </c>
      <c r="C3382" s="4" t="inlineStr">
        <is>
          <t>W00031886A</t>
        </is>
      </c>
      <c r="D3382" s="6">
        <f>IF(F3382&gt;=5, F3382-5, IF(F3382&lt;5, 0, F3382))</f>
        <v/>
      </c>
      <c r="E3382">
        <f>VLOOKUP(B3382,[1]Namshi!$A:$B,2,0)</f>
        <v/>
      </c>
      <c r="F3382" s="4">
        <f>SUMIFS('Dubai Stock'!I:I,'Dubai Stock'!H:H,Final_UAE!B:B)</f>
        <v/>
      </c>
      <c r="H3382" s="8" t="n">
        <v>186</v>
      </c>
      <c r="I3382" s="8" t="n">
        <v>104.3</v>
      </c>
    </row>
    <row r="3383">
      <c r="A3383" s="4" t="n">
        <v>33834</v>
      </c>
      <c r="B3383" s="4" t="inlineStr">
        <is>
          <t>sw100107-bla-000315-0107-52</t>
        </is>
      </c>
      <c r="C3383" s="4" t="inlineStr">
        <is>
          <t>W00031886A</t>
        </is>
      </c>
      <c r="D3383" s="6">
        <f>IF(F3383&gt;=5, F3383-5, IF(F3383&lt;5, 0, F3383))</f>
        <v/>
      </c>
      <c r="E3383">
        <f>VLOOKUP(B3383,[1]Namshi!$A:$B,2,0)</f>
        <v/>
      </c>
      <c r="F3383" s="4">
        <f>SUMIFS('Dubai Stock'!I:I,'Dubai Stock'!H:H,Final_UAE!B:B)</f>
        <v/>
      </c>
      <c r="H3383" s="8" t="e">
        <v>#N/A</v>
      </c>
    </row>
    <row r="3384">
      <c r="A3384" s="4" t="n">
        <v>33834</v>
      </c>
      <c r="B3384" s="4" t="inlineStr">
        <is>
          <t>clstdai-sof-sdai-p30-sp0275</t>
        </is>
      </c>
      <c r="C3384" s="4" t="inlineStr">
        <is>
          <t>W00031886A</t>
        </is>
      </c>
      <c r="D3384" s="6">
        <f>IF(F3384&gt;=5, F3384-5, IF(F3384&lt;5, 0, F3384))</f>
        <v/>
      </c>
      <c r="E3384">
        <f>VLOOKUP(B3384,[1]Namshi!$A:$B,2,0)</f>
        <v/>
      </c>
      <c r="F3384" s="4">
        <f>SUMIFS('Dubai Stock'!I:I,'Dubai Stock'!H:H,Final_UAE!B:B)</f>
        <v/>
      </c>
      <c r="H3384" s="8" t="e">
        <v>#N/A</v>
      </c>
      <c r="I3384" s="8" t="n"/>
    </row>
    <row r="3385">
      <c r="A3385" s="4" t="n">
        <v>33834</v>
      </c>
      <c r="B3385" s="4" t="inlineStr">
        <is>
          <t>sw101207-bla-000343-1207-55</t>
        </is>
      </c>
      <c r="C3385" s="4" t="inlineStr">
        <is>
          <t>W00031886A</t>
        </is>
      </c>
      <c r="D3385" s="6">
        <f>IF(F3385&gt;=5, F3385-5, IF(F3385&lt;5, 0, F3385))</f>
        <v/>
      </c>
      <c r="E3385">
        <f>VLOOKUP(B3385,[1]Namshi!$A:$B,2,0)</f>
        <v/>
      </c>
      <c r="F3385" s="4">
        <f>SUMIFS('Dubai Stock'!I:I,'Dubai Stock'!H:H,Final_UAE!B:B)</f>
        <v/>
      </c>
      <c r="H3385" s="8" t="e">
        <v>#N/A</v>
      </c>
    </row>
    <row r="3386">
      <c r="A3386" s="4" t="n">
        <v>33834</v>
      </c>
      <c r="B3386" s="4" t="inlineStr">
        <is>
          <t>sm20404-30s-000219-1406-50</t>
        </is>
      </c>
      <c r="C3386" s="4" t="inlineStr">
        <is>
          <t>W00031886A</t>
        </is>
      </c>
      <c r="D3386" s="6">
        <f>IF(F3386&gt;=5, F3386-5, IF(F3386&lt;5, 0, F3386))</f>
        <v/>
      </c>
      <c r="E3386">
        <f>VLOOKUP(B3386,[1]Namshi!$A:$B,2,0)</f>
        <v/>
      </c>
      <c r="F3386" s="4">
        <f>SUMIFS('Dubai Stock'!I:I,'Dubai Stock'!H:H,Final_UAE!B:B)</f>
        <v/>
      </c>
      <c r="H3386" s="8" t="e">
        <v>#N/A</v>
      </c>
    </row>
    <row r="3387">
      <c r="A3387" s="4" t="n">
        <v>33834</v>
      </c>
      <c r="B3387" s="4" t="inlineStr">
        <is>
          <t>sm10107-bla-000342-0107-57</t>
        </is>
      </c>
      <c r="C3387" s="4" t="inlineStr">
        <is>
          <t>W00031886A</t>
        </is>
      </c>
      <c r="D3387" s="6">
        <f>IF(F3387&gt;=5, F3387-5, IF(F3387&lt;5, 0, F3387))</f>
        <v/>
      </c>
      <c r="E3387">
        <f>VLOOKUP(B3387,[1]Namshi!$A:$B,2,0)</f>
        <v/>
      </c>
      <c r="F3387" s="4">
        <f>SUMIFS('Dubai Stock'!I:I,'Dubai Stock'!H:H,Final_UAE!B:B)</f>
        <v/>
      </c>
      <c r="H3387" s="8" t="e">
        <v>#N/A</v>
      </c>
    </row>
    <row r="3388">
      <c r="A3388" s="4" t="n">
        <v>33834</v>
      </c>
      <c r="B3388" s="4" t="inlineStr">
        <is>
          <t>costmon-ama-2022-p02-dream-sn0400</t>
        </is>
      </c>
      <c r="C3388" s="4" t="inlineStr">
        <is>
          <t>W00031886A</t>
        </is>
      </c>
      <c r="D3388" s="6">
        <f>IF(F3388&gt;=5, F3388-5, IF(F3388&lt;5, 0, F3388))</f>
        <v/>
      </c>
      <c r="E3388">
        <f>VLOOKUP(B3388,[1]Namshi!$A:$B,2,0)</f>
        <v/>
      </c>
      <c r="F3388" s="4">
        <f>SUMIFS('Dubai Stock'!I:I,'Dubai Stock'!H:H,Final_UAE!B:B)</f>
        <v/>
      </c>
      <c r="H3388" s="8" t="e">
        <v>#N/A</v>
      </c>
      <c r="I3388" s="8" t="n"/>
    </row>
    <row r="3389">
      <c r="A3389" s="4" t="n">
        <v>33834</v>
      </c>
      <c r="B3389" s="4" t="inlineStr">
        <is>
          <t>clstdai-dai-tot1-p30-sn0125</t>
        </is>
      </c>
      <c r="C3389" s="4" t="inlineStr">
        <is>
          <t>W00031886A</t>
        </is>
      </c>
      <c r="D3389" s="6">
        <f>IF(F3389&gt;=5, F3389-5, IF(F3389&lt;5, 0, F3389))</f>
        <v/>
      </c>
      <c r="E3389">
        <f>VLOOKUP(B3389,[1]Namshi!$A:$B,2,0)</f>
        <v/>
      </c>
      <c r="F3389" s="4">
        <f>SUMIFS('Dubai Stock'!I:I,'Dubai Stock'!H:H,Final_UAE!B:B)</f>
        <v/>
      </c>
      <c r="H3389" s="8" t="e">
        <v>#N/A</v>
      </c>
      <c r="I3389" s="8" t="n"/>
    </row>
    <row r="3390">
      <c r="A3390" s="4" t="n">
        <v>33834</v>
      </c>
      <c r="B3390" s="4" t="inlineStr">
        <is>
          <t>su30702-bla-000272-0702-56</t>
        </is>
      </c>
      <c r="C3390" s="4" t="inlineStr">
        <is>
          <t>W00031886A</t>
        </is>
      </c>
      <c r="D3390" s="6">
        <f>IF(F3390&gt;=5, F3390-5, IF(F3390&lt;5, 0, F3390))</f>
        <v/>
      </c>
      <c r="E3390">
        <f>VLOOKUP(B3390,[1]Namshi!$A:$B,2,0)</f>
        <v/>
      </c>
      <c r="F3390" s="4">
        <f>SUMIFS('Dubai Stock'!I:I,'Dubai Stock'!H:H,Final_UAE!B:B)</f>
        <v/>
      </c>
      <c r="H3390" s="8" t="e">
        <v>#N/A</v>
      </c>
    </row>
    <row r="3391">
      <c r="A3391" s="4" t="n">
        <v>33834</v>
      </c>
      <c r="B3391" s="4" t="inlineStr">
        <is>
          <t>clstmon-eve-prom-p06-sn0125</t>
        </is>
      </c>
      <c r="C3391" s="4" t="inlineStr">
        <is>
          <t>W00031886A</t>
        </is>
      </c>
      <c r="D3391" s="6">
        <f>IF(F3391&gt;=5, F3391-5, IF(F3391&lt;5, 0, F3391))</f>
        <v/>
      </c>
      <c r="E3391">
        <f>VLOOKUP(B3391,[1]Namshi!$A:$B,2,0)</f>
        <v/>
      </c>
      <c r="F3391" s="4">
        <f>SUMIFS('Dubai Stock'!I:I,'Dubai Stock'!H:H,Final_UAE!B:B)</f>
        <v/>
      </c>
      <c r="H3391" s="8" t="n">
        <v>212</v>
      </c>
      <c r="I3391" s="8" t="n">
        <v>111.3</v>
      </c>
    </row>
    <row r="3392">
      <c r="A3392" s="4" t="n">
        <v>33834</v>
      </c>
      <c r="B3392" s="4" t="inlineStr">
        <is>
          <t>cost3mo-lay-lens-p02-golden-brown-sn0350</t>
        </is>
      </c>
      <c r="C3392" s="4" t="inlineStr">
        <is>
          <t>W00031886A</t>
        </is>
      </c>
      <c r="D3392" s="6">
        <f>IF(F3392&gt;=5, F3392-5, IF(F3392&lt;5, 0, F3392))</f>
        <v/>
      </c>
      <c r="E3392">
        <f>VLOOKUP(B3392,[1]Namshi!$A:$B,2,0)</f>
        <v/>
      </c>
      <c r="F3392" s="4">
        <f>SUMIFS('Dubai Stock'!I:I,'Dubai Stock'!H:H,Final_UAE!B:B)</f>
        <v/>
      </c>
      <c r="H3392" s="8" t="e">
        <v>#N/A</v>
      </c>
      <c r="I3392" s="8" t="n"/>
    </row>
    <row r="3393">
      <c r="A3393" s="4" t="n">
        <v>33834</v>
      </c>
      <c r="B3393" s="4" t="inlineStr">
        <is>
          <t>fm40118-spc-000562-0100-50</t>
        </is>
      </c>
      <c r="C3393" s="4" t="inlineStr">
        <is>
          <t>W00031886A</t>
        </is>
      </c>
      <c r="D3393" s="6">
        <f>IF(F3393&gt;=5, F3393-5, IF(F3393&lt;5, 0, F3393))</f>
        <v/>
      </c>
      <c r="E3393">
        <f>VLOOKUP(B3393,[1]Namshi!$A:$B,2,0)</f>
        <v/>
      </c>
      <c r="F3393" s="4">
        <f>SUMIFS('Dubai Stock'!I:I,'Dubai Stock'!H:H,Final_UAE!B:B)</f>
        <v/>
      </c>
      <c r="H3393" s="8" t="e">
        <v>#N/A</v>
      </c>
      <c r="I3393" s="8" t="n"/>
    </row>
    <row r="3394">
      <c r="A3394" s="4" t="n">
        <v>33834</v>
      </c>
      <c r="B3394" s="4" t="inlineStr">
        <is>
          <t>sw30504-bla-000104-2704-59</t>
        </is>
      </c>
      <c r="C3394" s="4" t="inlineStr">
        <is>
          <t>W00031886A</t>
        </is>
      </c>
      <c r="D3394" s="6">
        <f>IF(F3394&gt;=5, F3394-5, IF(F3394&lt;5, 0, F3394))</f>
        <v/>
      </c>
      <c r="E3394">
        <f>VLOOKUP(B3394,[1]Namshi!$A:$B,2,0)</f>
        <v/>
      </c>
      <c r="F3394" s="4">
        <f>SUMIFS('Dubai Stock'!I:I,'Dubai Stock'!H:H,Final_UAE!B:B)</f>
        <v/>
      </c>
      <c r="H3394" s="8" t="e">
        <v>#N/A</v>
      </c>
    </row>
    <row r="3395">
      <c r="A3395" s="4" t="n">
        <v>33834</v>
      </c>
      <c r="B3395" s="4" t="inlineStr">
        <is>
          <t>su100108-bla-000384-0108-55</t>
        </is>
      </c>
      <c r="C3395" s="4" t="inlineStr">
        <is>
          <t>W00031886A</t>
        </is>
      </c>
      <c r="D3395" s="6">
        <f>IF(F3395&gt;=5, F3395-5, IF(F3395&lt;5, 0, F3395))</f>
        <v/>
      </c>
      <c r="E3395">
        <f>VLOOKUP(B3395,[1]Namshi!$A:$B,2,0)</f>
        <v/>
      </c>
      <c r="F3395" s="4">
        <f>SUMIFS('Dubai Stock'!I:I,'Dubai Stock'!H:H,Final_UAE!B:B)</f>
        <v/>
      </c>
      <c r="H3395" s="8" t="e">
        <v>#N/A</v>
      </c>
    </row>
    <row r="3396">
      <c r="A3396" s="4" t="n">
        <v>33834</v>
      </c>
      <c r="B3396" s="4" t="inlineStr">
        <is>
          <t>sw60404-bla-000340-0404-53</t>
        </is>
      </c>
      <c r="C3396" s="4" t="inlineStr">
        <is>
          <t>W00031886A</t>
        </is>
      </c>
      <c r="D3396" s="6">
        <f>IF(F3396&gt;=5, F3396-5, IF(F3396&lt;5, 0, F3396))</f>
        <v/>
      </c>
      <c r="E3396">
        <f>VLOOKUP(B3396,[1]Namshi!$A:$B,2,0)</f>
        <v/>
      </c>
      <c r="F3396" s="4">
        <f>SUMIFS('Dubai Stock'!I:I,'Dubai Stock'!H:H,Final_UAE!B:B)</f>
        <v/>
      </c>
      <c r="H3396" s="8" t="e">
        <v>#N/A</v>
      </c>
    </row>
    <row r="3397">
      <c r="A3397" s="4" t="n">
        <v>33834</v>
      </c>
      <c r="B3397" s="4" t="inlineStr">
        <is>
          <t>sc50904-bab-000506-0904-48</t>
        </is>
      </c>
      <c r="C3397" s="4" t="inlineStr">
        <is>
          <t>W00031886A</t>
        </is>
      </c>
      <c r="D3397" s="6">
        <f>IF(F3397&gt;=5, F3397-5, IF(F3397&lt;5, 0, F3397))</f>
        <v/>
      </c>
      <c r="E3397">
        <f>VLOOKUP(B3397,[1]Namshi!$A:$B,2,0)</f>
        <v/>
      </c>
      <c r="F3397" s="4">
        <f>SUMIFS('Dubai Stock'!I:I,'Dubai Stock'!H:H,Final_UAE!B:B)</f>
        <v/>
      </c>
      <c r="H3397" s="8" t="e">
        <v>#N/A</v>
      </c>
    </row>
    <row r="3398">
      <c r="A3398" s="4" t="n">
        <v>33834</v>
      </c>
      <c r="B3398" s="4" t="inlineStr">
        <is>
          <t>clstdai-acu-omax-p30-sp0300</t>
        </is>
      </c>
      <c r="C3398" s="4" t="inlineStr">
        <is>
          <t>W00031886A</t>
        </is>
      </c>
      <c r="D3398" s="6">
        <f>IF(F3398&gt;=5, F3398-5, IF(F3398&lt;5, 0, F3398))</f>
        <v/>
      </c>
      <c r="E3398">
        <f>VLOOKUP(B3398,[1]Namshi!$A:$B,2,0)</f>
        <v/>
      </c>
      <c r="F3398" s="4">
        <f>SUMIFS('Dubai Stock'!I:I,'Dubai Stock'!H:H,Final_UAE!B:B)</f>
        <v/>
      </c>
      <c r="H3398" s="8" t="e">
        <v>#N/A</v>
      </c>
      <c r="I3398" s="8" t="n"/>
    </row>
    <row r="3399">
      <c r="A3399" s="4" t="n">
        <v>33834</v>
      </c>
      <c r="B3399" s="4" t="inlineStr">
        <is>
          <t>clstdai-acu-dfvi-p30-sn0275</t>
        </is>
      </c>
      <c r="C3399" s="4" t="inlineStr">
        <is>
          <t>W00031886A</t>
        </is>
      </c>
      <c r="D3399" s="6">
        <f>IF(F3399&gt;=5, F3399-5, IF(F3399&lt;5, 0, F3399))</f>
        <v/>
      </c>
      <c r="E3399">
        <f>VLOOKUP(B3399,[1]Namshi!$A:$B,2,0)</f>
        <v/>
      </c>
      <c r="F3399" s="4">
        <f>SUMIFS('Dubai Stock'!I:I,'Dubai Stock'!H:H,Final_UAE!B:B)</f>
        <v/>
      </c>
      <c r="H3399" s="8" t="e">
        <v>#N/A</v>
      </c>
      <c r="I3399" s="8" t="n"/>
    </row>
    <row r="3400">
      <c r="A3400" s="4" t="n">
        <v>33834</v>
      </c>
      <c r="B3400" s="4" t="inlineStr">
        <is>
          <t>clstdai-acu-dfna-p60-sn0375</t>
        </is>
      </c>
      <c r="C3400" s="4" t="inlineStr">
        <is>
          <t>W00031886A</t>
        </is>
      </c>
      <c r="D3400" s="6">
        <f>IF(F3400&gt;=5, F3400-5, IF(F3400&lt;5, 0, F3400))</f>
        <v/>
      </c>
      <c r="E3400">
        <f>VLOOKUP(B3400,[1]Namshi!$A:$B,2,0)</f>
        <v/>
      </c>
      <c r="F3400" s="4">
        <f>SUMIFS('Dubai Stock'!I:I,'Dubai Stock'!H:H,Final_UAE!B:B)</f>
        <v/>
      </c>
      <c r="H3400" s="8" t="e">
        <v>#N/A</v>
      </c>
      <c r="I3400" s="8" t="n"/>
    </row>
    <row r="3401">
      <c r="A3401" s="4" t="n">
        <v>33834</v>
      </c>
      <c r="B3401" s="4" t="inlineStr">
        <is>
          <t>fm40718-spc-000865-0718-52</t>
        </is>
      </c>
      <c r="C3401" s="4" t="inlineStr">
        <is>
          <t>W00031886A</t>
        </is>
      </c>
      <c r="D3401" s="6">
        <f>IF(F3401&gt;=5, F3401-5, IF(F3401&lt;5, 0, F3401))</f>
        <v/>
      </c>
      <c r="E3401">
        <f>VLOOKUP(B3401,[1]Namshi!$A:$B,2,0)</f>
        <v/>
      </c>
      <c r="F3401" s="4">
        <f>SUMIFS('Dubai Stock'!I:I,'Dubai Stock'!H:H,Final_UAE!B:B)</f>
        <v/>
      </c>
      <c r="H3401" s="8" t="e">
        <v>#N/A</v>
      </c>
      <c r="I3401" s="8" t="n"/>
    </row>
    <row r="3402">
      <c r="A3402" s="4" t="n">
        <v>33834</v>
      </c>
      <c r="B3402" s="4" t="inlineStr">
        <is>
          <t>clstdai-acu-oasy-p90-sn0525</t>
        </is>
      </c>
      <c r="C3402" s="4" t="inlineStr">
        <is>
          <t>W00031886A</t>
        </is>
      </c>
      <c r="D3402" s="6">
        <f>IF(F3402&gt;=5, F3402-5, IF(F3402&lt;5, 0, F3402))</f>
        <v/>
      </c>
      <c r="E3402">
        <f>VLOOKUP(B3402,[1]Namshi!$A:$B,2,0)</f>
        <v/>
      </c>
      <c r="F3402" s="4">
        <f>SUMIFS('Dubai Stock'!I:I,'Dubai Stock'!H:H,Final_UAE!B:B)</f>
        <v/>
      </c>
      <c r="H3402" s="8" t="e">
        <v>#N/A</v>
      </c>
      <c r="I3402" s="8" t="n"/>
    </row>
    <row r="3403">
      <c r="A3403" s="4" t="n">
        <v>33834</v>
      </c>
      <c r="B3403" s="4" t="inlineStr">
        <is>
          <t>sm50506-30s-000278-2906-54</t>
        </is>
      </c>
      <c r="C3403" s="4" t="inlineStr">
        <is>
          <t>W00031886A</t>
        </is>
      </c>
      <c r="D3403" s="6">
        <f>IF(F3403&gt;=5, F3403-5, IF(F3403&lt;5, 0, F3403))</f>
        <v/>
      </c>
      <c r="E3403">
        <f>VLOOKUP(B3403,[1]Namshi!$A:$B,2,0)</f>
        <v/>
      </c>
      <c r="F3403" s="4">
        <f>SUMIFS('Dubai Stock'!I:I,'Dubai Stock'!H:H,Final_UAE!B:B)</f>
        <v/>
      </c>
      <c r="H3403" s="8" t="e">
        <v>#N/A</v>
      </c>
    </row>
    <row r="3404">
      <c r="A3404" s="4" t="n">
        <v>33834</v>
      </c>
      <c r="B3404" s="4" t="inlineStr">
        <is>
          <t>clstdai-acu-mois-p30-sn0175</t>
        </is>
      </c>
      <c r="C3404" s="4" t="inlineStr">
        <is>
          <t>W00031886A</t>
        </is>
      </c>
      <c r="D3404" s="6">
        <f>IF(F3404&gt;=5, F3404-5, IF(F3404&lt;5, 0, F3404))</f>
        <v/>
      </c>
      <c r="E3404">
        <f>VLOOKUP(B3404,[1]Namshi!$A:$B,2,0)</f>
        <v/>
      </c>
      <c r="F3404" s="4">
        <f>SUMIFS('Dubai Stock'!I:I,'Dubai Stock'!H:H,Final_UAE!B:B)</f>
        <v/>
      </c>
      <c r="H3404" s="8" t="e">
        <v>#N/A</v>
      </c>
      <c r="I3404" s="8" t="n"/>
    </row>
    <row r="3405">
      <c r="A3405" s="4" t="n">
        <v>33834</v>
      </c>
      <c r="B3405" s="4" t="inlineStr">
        <is>
          <t>clstbiw-acu-0002-p12-sn0350</t>
        </is>
      </c>
      <c r="C3405" s="4" t="inlineStr">
        <is>
          <t>W00031886A</t>
        </is>
      </c>
      <c r="D3405" s="6">
        <f>IF(F3405&gt;=5, F3405-5, IF(F3405&lt;5, 0, F3405))</f>
        <v/>
      </c>
      <c r="E3405">
        <f>VLOOKUP(B3405,[1]Namshi!$A:$B,2,0)</f>
        <v/>
      </c>
      <c r="F3405" s="4">
        <f>SUMIFS('Dubai Stock'!I:I,'Dubai Stock'!H:H,Final_UAE!B:B)</f>
        <v/>
      </c>
      <c r="H3405" s="8" t="e">
        <v>#N/A</v>
      </c>
      <c r="I3405" s="8" t="n"/>
    </row>
    <row r="3406">
      <c r="A3406" s="4" t="n">
        <v>33834</v>
      </c>
      <c r="B3406" s="4" t="inlineStr">
        <is>
          <t>clstbiw-acu-oasy-p06-sp0225</t>
        </is>
      </c>
      <c r="C3406" s="4" t="inlineStr">
        <is>
          <t>W00031886A</t>
        </is>
      </c>
      <c r="D3406" s="6">
        <f>IF(F3406&gt;=5, F3406-5, IF(F3406&lt;5, 0, F3406))</f>
        <v/>
      </c>
      <c r="E3406">
        <f>VLOOKUP(B3406,[1]Namshi!$A:$B,2,0)</f>
        <v/>
      </c>
      <c r="F3406" s="4">
        <f>SUMIFS('Dubai Stock'!I:I,'Dubai Stock'!H:H,Final_UAE!B:B)</f>
        <v/>
      </c>
      <c r="H3406" s="8" t="e">
        <v>#N/A</v>
      </c>
      <c r="I3406" s="8" t="n"/>
    </row>
    <row r="3407">
      <c r="A3407" s="4" t="n">
        <v>33834</v>
      </c>
      <c r="B3407" s="4" t="inlineStr">
        <is>
          <t>clstdai-dai-tot1-p30-sp0475</t>
        </is>
      </c>
      <c r="C3407" s="4" t="inlineStr">
        <is>
          <t>W00031886A</t>
        </is>
      </c>
      <c r="D3407" s="6">
        <f>IF(F3407&gt;=5, F3407-5, IF(F3407&lt;5, 0, F3407))</f>
        <v/>
      </c>
      <c r="E3407">
        <f>VLOOKUP(B3407,[1]Namshi!$A:$B,2,0)</f>
        <v/>
      </c>
      <c r="F3407" s="4">
        <f>SUMIFS('Dubai Stock'!I:I,'Dubai Stock'!H:H,Final_UAE!B:B)</f>
        <v/>
      </c>
      <c r="H3407" s="8" t="e">
        <v>#N/A</v>
      </c>
      <c r="I3407" s="8" t="n"/>
    </row>
    <row r="3408">
      <c r="A3408" s="4" t="n">
        <v>33834</v>
      </c>
      <c r="B3408" s="4" t="inlineStr">
        <is>
          <t>cost3mo-lay-2025-p02-emerald-glow-sn0325</t>
        </is>
      </c>
      <c r="C3408" s="4" t="inlineStr">
        <is>
          <t>W00031886A</t>
        </is>
      </c>
      <c r="D3408" s="6">
        <f>IF(F3408&gt;=5, F3408-5, IF(F3408&lt;5, 0, F3408))</f>
        <v/>
      </c>
      <c r="E3408">
        <f>VLOOKUP(B3408,[1]Namshi!$A:$B,2,0)</f>
        <v/>
      </c>
      <c r="F3408" s="4">
        <f>SUMIFS('Dubai Stock'!I:I,'Dubai Stock'!H:H,Final_UAE!B:B)</f>
        <v/>
      </c>
      <c r="H3408" s="8" t="e">
        <v>#N/A</v>
      </c>
      <c r="I3408" s="8" t="n"/>
    </row>
    <row r="3409">
      <c r="A3409" s="4" t="n">
        <v>33834</v>
      </c>
      <c r="B3409" s="4" t="inlineStr">
        <is>
          <t>clstdai-acu-omax-p30-sn0525</t>
        </is>
      </c>
      <c r="C3409" s="4" t="inlineStr">
        <is>
          <t>W00031886A</t>
        </is>
      </c>
      <c r="D3409" s="6">
        <f>IF(F3409&gt;=5, F3409-5, IF(F3409&lt;5, 0, F3409))</f>
        <v/>
      </c>
      <c r="E3409">
        <f>VLOOKUP(B3409,[1]Namshi!$A:$B,2,0)</f>
        <v/>
      </c>
      <c r="F3409" s="4">
        <f>SUMIFS('Dubai Stock'!I:I,'Dubai Stock'!H:H,Final_UAE!B:B)</f>
        <v/>
      </c>
      <c r="H3409" s="8" t="e">
        <v>#N/A</v>
      </c>
      <c r="I3409" s="8" t="n"/>
    </row>
    <row r="3410">
      <c r="A3410" s="4" t="n">
        <v>33834</v>
      </c>
      <c r="B3410" s="4" t="inlineStr">
        <is>
          <t>sacchan-30s-chain101-blu-fleek-navy-blue</t>
        </is>
      </c>
      <c r="C3410" s="4" t="inlineStr">
        <is>
          <t>W00031886A</t>
        </is>
      </c>
      <c r="D3410" s="6">
        <f>IF(F3410&gt;=5, F3410-5, IF(F3410&lt;5, 0, F3410))</f>
        <v/>
      </c>
      <c r="E3410">
        <f>VLOOKUP(B3410,[1]Namshi!$A:$B,2,0)</f>
        <v/>
      </c>
      <c r="F3410" s="4">
        <f>SUMIFS('Dubai Stock'!I:I,'Dubai Stock'!H:H,Final_UAE!B:B)</f>
        <v/>
      </c>
      <c r="H3410" s="8" t="e">
        <v>#N/A</v>
      </c>
      <c r="I3410" s="8" t="n"/>
    </row>
    <row r="3411">
      <c r="A3411" s="4" t="n">
        <v>33834</v>
      </c>
      <c r="B3411" s="4" t="inlineStr">
        <is>
          <t>clstdai-lay-cont-p30-dazzle-brown-sn0350</t>
        </is>
      </c>
      <c r="C3411" s="4" t="inlineStr">
        <is>
          <t>W00031886A</t>
        </is>
      </c>
      <c r="D3411" s="6">
        <f>IF(F3411&gt;=5, F3411-5, IF(F3411&lt;5, 0, F3411))</f>
        <v/>
      </c>
      <c r="E3411">
        <f>VLOOKUP(B3411,[1]Namshi!$A:$B,2,0)</f>
        <v/>
      </c>
      <c r="F3411" s="4">
        <f>SUMIFS('Dubai Stock'!I:I,'Dubai Stock'!H:H,Final_UAE!B:B)</f>
        <v/>
      </c>
      <c r="H3411" s="8" t="e">
        <v>#N/A</v>
      </c>
      <c r="I3411" s="8" t="n"/>
    </row>
    <row r="3412">
      <c r="A3412" s="4" t="n">
        <v>33834</v>
      </c>
      <c r="B3412" s="4" t="inlineStr">
        <is>
          <t>clstdai-acu-dfna-p90-sn0475</t>
        </is>
      </c>
      <c r="C3412" s="4" t="inlineStr">
        <is>
          <t>W00031886A</t>
        </is>
      </c>
      <c r="D3412" s="6">
        <f>IF(F3412&gt;=5, F3412-5, IF(F3412&lt;5, 0, F3412))</f>
        <v/>
      </c>
      <c r="E3412">
        <f>VLOOKUP(B3412,[1]Namshi!$A:$B,2,0)</f>
        <v/>
      </c>
      <c r="F3412" s="4">
        <f>SUMIFS('Dubai Stock'!I:I,'Dubai Stock'!H:H,Final_UAE!B:B)</f>
        <v/>
      </c>
      <c r="H3412" s="8" t="e">
        <v>#N/A</v>
      </c>
      <c r="I3412" s="8" t="n"/>
    </row>
    <row r="3413">
      <c r="A3413" s="4" t="n">
        <v>33834</v>
      </c>
      <c r="B3413" s="4" t="inlineStr">
        <is>
          <t>clstdai-acu-mois-p30-sn0750</t>
        </is>
      </c>
      <c r="C3413" s="4" t="inlineStr">
        <is>
          <t>W00031886A</t>
        </is>
      </c>
      <c r="D3413" s="6">
        <f>IF(F3413&gt;=5, F3413-5, IF(F3413&lt;5, 0, F3413))</f>
        <v/>
      </c>
      <c r="E3413">
        <f>VLOOKUP(B3413,[1]Namshi!$A:$B,2,0)</f>
        <v/>
      </c>
      <c r="F3413" s="4">
        <f>SUMIFS('Dubai Stock'!I:I,'Dubai Stock'!H:H,Final_UAE!B:B)</f>
        <v/>
      </c>
      <c r="H3413" s="8" t="e">
        <v>#N/A</v>
      </c>
      <c r="I3413" s="8" t="n"/>
    </row>
    <row r="3414">
      <c r="A3414" s="4" t="n">
        <v>33834</v>
      </c>
      <c r="B3414" s="4" t="inlineStr">
        <is>
          <t>costdai-ama-dail-p10-moon-stone-sn0225</t>
        </is>
      </c>
      <c r="C3414" s="4" t="inlineStr">
        <is>
          <t>W00031886A</t>
        </is>
      </c>
      <c r="D3414" s="6">
        <f>IF(F3414&gt;=5, F3414-5, IF(F3414&lt;5, 0, F3414))</f>
        <v/>
      </c>
      <c r="E3414">
        <f>VLOOKUP(B3414,[1]Namshi!$A:$B,2,0)</f>
        <v/>
      </c>
      <c r="F3414" s="4">
        <f>SUMIFS('Dubai Stock'!I:I,'Dubai Stock'!H:H,Final_UAE!B:B)</f>
        <v/>
      </c>
      <c r="H3414" s="8" t="e">
        <v>#N/A</v>
      </c>
      <c r="I3414" s="8" t="n"/>
    </row>
    <row r="3415">
      <c r="A3415" s="4" t="n">
        <v>33834</v>
      </c>
      <c r="B3415" s="4" t="inlineStr">
        <is>
          <t>clstdai-sof-sdai-p30-sn0850</t>
        </is>
      </c>
      <c r="C3415" s="4" t="inlineStr">
        <is>
          <t>W00031886A</t>
        </is>
      </c>
      <c r="D3415" s="6">
        <f>IF(F3415&gt;=5, F3415-5, IF(F3415&lt;5, 0, F3415))</f>
        <v/>
      </c>
      <c r="E3415">
        <f>VLOOKUP(B3415,[1]Namshi!$A:$B,2,0)</f>
        <v/>
      </c>
      <c r="F3415" s="4">
        <f>SUMIFS('Dubai Stock'!I:I,'Dubai Stock'!H:H,Final_UAE!B:B)</f>
        <v/>
      </c>
      <c r="H3415" s="8" t="e">
        <v>#N/A</v>
      </c>
      <c r="I3415" s="8" t="n"/>
    </row>
    <row r="3416">
      <c r="A3416" s="4" t="n">
        <v>33834</v>
      </c>
      <c r="B3416" s="4" t="inlineStr">
        <is>
          <t>fm51318-spc-000652-1318-51</t>
        </is>
      </c>
      <c r="C3416" s="4" t="inlineStr">
        <is>
          <t>W00031886A</t>
        </is>
      </c>
      <c r="D3416" s="6">
        <f>IF(F3416&gt;=5, F3416-5, IF(F3416&lt;5, 0, F3416))</f>
        <v/>
      </c>
      <c r="E3416">
        <f>VLOOKUP(B3416,[1]Namshi!$A:$B,2,0)</f>
        <v/>
      </c>
      <c r="F3416" s="4">
        <f>SUMIFS('Dubai Stock'!I:I,'Dubai Stock'!H:H,Final_UAE!B:B)</f>
        <v/>
      </c>
      <c r="H3416" s="8" t="e">
        <v>#N/A</v>
      </c>
      <c r="I3416" s="8" t="n"/>
    </row>
    <row r="3417">
      <c r="A3417" s="4" t="n">
        <v>33834</v>
      </c>
      <c r="B3417" s="4" t="inlineStr">
        <is>
          <t>clstbiw-acu-cle-p06-sn0375</t>
        </is>
      </c>
      <c r="C3417" s="4" t="inlineStr">
        <is>
          <t>W00031886A</t>
        </is>
      </c>
      <c r="D3417" s="6">
        <f>IF(F3417&gt;=5, F3417-5, IF(F3417&lt;5, 0, F3417))</f>
        <v/>
      </c>
      <c r="E3417">
        <f>VLOOKUP(B3417,[1]Namshi!$A:$B,2,0)</f>
        <v/>
      </c>
      <c r="F3417" s="4">
        <f>SUMIFS('Dubai Stock'!I:I,'Dubai Stock'!H:H,Final_UAE!B:B)</f>
        <v/>
      </c>
      <c r="H3417" s="8" t="e">
        <v>#N/A</v>
      </c>
      <c r="I3417" s="8" t="n"/>
    </row>
    <row r="3418">
      <c r="A3418" s="4" t="n">
        <v>33834</v>
      </c>
      <c r="B3418" s="4" t="inlineStr">
        <is>
          <t>cost3mo-lay-lens-p02-chocolate-brown-sn0150</t>
        </is>
      </c>
      <c r="C3418" s="4" t="inlineStr">
        <is>
          <t>W00031886A</t>
        </is>
      </c>
      <c r="D3418" s="6">
        <f>IF(F3418&gt;=5, F3418-5, IF(F3418&lt;5, 0, F3418))</f>
        <v/>
      </c>
      <c r="E3418">
        <f>VLOOKUP(B3418,[1]Namshi!$A:$B,2,0)</f>
        <v/>
      </c>
      <c r="F3418" s="4">
        <f>SUMIFS('Dubai Stock'!I:I,'Dubai Stock'!H:H,Final_UAE!B:B)</f>
        <v/>
      </c>
      <c r="H3418" s="8" t="e">
        <v>#N/A</v>
      </c>
      <c r="I3418" s="8" t="n"/>
    </row>
    <row r="3419">
      <c r="A3419" s="4" t="n">
        <v>33834</v>
      </c>
      <c r="B3419" s="4" t="inlineStr">
        <is>
          <t>fw60418-spc-000877-0418-51</t>
        </is>
      </c>
      <c r="C3419" s="4" t="inlineStr">
        <is>
          <t>W00031886A</t>
        </is>
      </c>
      <c r="D3419" s="6">
        <f>IF(F3419&gt;=5, F3419-5, IF(F3419&lt;5, 0, F3419))</f>
        <v/>
      </c>
      <c r="E3419">
        <f>VLOOKUP(B3419,[1]Namshi!$A:$B,2,0)</f>
        <v/>
      </c>
      <c r="F3419" s="4">
        <f>SUMIFS('Dubai Stock'!I:I,'Dubai Stock'!H:H,Final_UAE!B:B)</f>
        <v/>
      </c>
      <c r="H3419" s="8" t="e">
        <v>#N/A</v>
      </c>
      <c r="I3419" s="8" t="n"/>
    </row>
    <row r="3420">
      <c r="A3420" s="4" t="n">
        <v>33834</v>
      </c>
      <c r="B3420" s="4" t="inlineStr">
        <is>
          <t>clstdai-acu-omax-p30-sn0050</t>
        </is>
      </c>
      <c r="C3420" s="4" t="inlineStr">
        <is>
          <t>W00031886A</t>
        </is>
      </c>
      <c r="D3420" s="6">
        <f>IF(F3420&gt;=5, F3420-5, IF(F3420&lt;5, 0, F3420))</f>
        <v/>
      </c>
      <c r="E3420">
        <f>VLOOKUP(B3420,[1]Namshi!$A:$B,2,0)</f>
        <v/>
      </c>
      <c r="F3420" s="4">
        <f>SUMIFS('Dubai Stock'!I:I,'Dubai Stock'!H:H,Final_UAE!B:B)</f>
        <v/>
      </c>
      <c r="H3420" s="8" t="e">
        <v>#N/A</v>
      </c>
      <c r="I3420" s="8" t="n"/>
    </row>
    <row r="3421">
      <c r="A3421" s="4" t="n">
        <v>33834</v>
      </c>
      <c r="B3421" s="4" t="inlineStr">
        <is>
          <t>su20506-30s-000280-2906-51</t>
        </is>
      </c>
      <c r="C3421" s="4" t="inlineStr">
        <is>
          <t>W00031886A</t>
        </is>
      </c>
      <c r="D3421" s="6">
        <f>IF(F3421&gt;=5, F3421-5, IF(F3421&lt;5, 0, F3421))</f>
        <v/>
      </c>
      <c r="E3421">
        <f>VLOOKUP(B3421,[1]Namshi!$A:$B,2,0)</f>
        <v/>
      </c>
      <c r="F3421" s="4">
        <f>SUMIFS('Dubai Stock'!I:I,'Dubai Stock'!H:H,Final_UAE!B:B)</f>
        <v/>
      </c>
      <c r="H3421" s="8" t="e">
        <v>#N/A</v>
      </c>
    </row>
    <row r="3422">
      <c r="A3422" s="4" t="n">
        <v>33834</v>
      </c>
      <c r="B3422" s="4" t="inlineStr">
        <is>
          <t>sw31404-30s-000239-0404-54</t>
        </is>
      </c>
      <c r="C3422" s="4" t="inlineStr">
        <is>
          <t>W00031886A</t>
        </is>
      </c>
      <c r="D3422" s="6">
        <f>IF(F3422&gt;=5, F3422-5, IF(F3422&lt;5, 0, F3422))</f>
        <v/>
      </c>
      <c r="E3422">
        <f>VLOOKUP(B3422,[1]Namshi!$A:$B,2,0)</f>
        <v/>
      </c>
      <c r="F3422" s="4">
        <f>SUMIFS('Dubai Stock'!I:I,'Dubai Stock'!H:H,Final_UAE!B:B)</f>
        <v/>
      </c>
      <c r="H3422" s="8" t="e">
        <v>#N/A</v>
      </c>
    </row>
    <row r="3423">
      <c r="A3423" s="4" t="n">
        <v>33834</v>
      </c>
      <c r="B3423" s="4" t="inlineStr">
        <is>
          <t>costmon-ama-2022-p02-dream-sn0300</t>
        </is>
      </c>
      <c r="C3423" s="4" t="inlineStr">
        <is>
          <t>W00031886A</t>
        </is>
      </c>
      <c r="D3423" s="6">
        <f>IF(F3423&gt;=5, F3423-5, IF(F3423&lt;5, 0, F3423))</f>
        <v/>
      </c>
      <c r="E3423">
        <f>VLOOKUP(B3423,[1]Namshi!$A:$B,2,0)</f>
        <v/>
      </c>
      <c r="F3423" s="4">
        <f>SUMIFS('Dubai Stock'!I:I,'Dubai Stock'!H:H,Final_UAE!B:B)</f>
        <v/>
      </c>
      <c r="H3423" s="8" t="e">
        <v>#N/A</v>
      </c>
      <c r="I3423" s="8" t="n"/>
    </row>
    <row r="3424">
      <c r="A3424" s="4" t="n">
        <v>33834</v>
      </c>
      <c r="B3424" s="4" t="inlineStr">
        <is>
          <t>cost3mo-lay-2022-p02-cosmo-gray-sn0350</t>
        </is>
      </c>
      <c r="C3424" s="4" t="inlineStr">
        <is>
          <t>W00031886A</t>
        </is>
      </c>
      <c r="D3424" s="6">
        <f>IF(F3424&gt;=5, F3424-5, IF(F3424&lt;5, 0, F3424))</f>
        <v/>
      </c>
      <c r="E3424">
        <f>VLOOKUP(B3424,[1]Namshi!$A:$B,2,0)</f>
        <v/>
      </c>
      <c r="F3424" s="4">
        <f>SUMIFS('Dubai Stock'!I:I,'Dubai Stock'!H:H,Final_UAE!B:B)</f>
        <v/>
      </c>
      <c r="H3424" s="8" t="e">
        <v>#N/A</v>
      </c>
      <c r="I3424" s="8" t="n"/>
    </row>
    <row r="3425">
      <c r="A3425" s="4" t="n">
        <v>33834</v>
      </c>
      <c r="B3425" s="4" t="inlineStr">
        <is>
          <t>cltobiw-acu-oasy-p06-sn0075-cn0075-a010</t>
        </is>
      </c>
      <c r="C3425" s="4" t="inlineStr">
        <is>
          <t>W00031886A</t>
        </is>
      </c>
      <c r="D3425" s="6">
        <f>IF(F3425&gt;=5, F3425-5, IF(F3425&lt;5, 0, F3425))</f>
        <v/>
      </c>
      <c r="E3425">
        <f>VLOOKUP(B3425,[1]Namshi!$A:$B,2,0)</f>
        <v/>
      </c>
      <c r="F3425" s="4">
        <f>SUMIFS('Dubai Stock'!I:I,'Dubai Stock'!H:H,Final_UAE!B:B)</f>
        <v/>
      </c>
      <c r="H3425" s="8" t="e">
        <v>#N/A</v>
      </c>
      <c r="I3425" s="8" t="n"/>
    </row>
    <row r="3426">
      <c r="A3426" s="4" t="n">
        <v>33834</v>
      </c>
      <c r="B3426" s="4" t="inlineStr">
        <is>
          <t>sw20504-bla-000269-2904-54</t>
        </is>
      </c>
      <c r="C3426" s="4" t="inlineStr">
        <is>
          <t>W00031886A</t>
        </is>
      </c>
      <c r="D3426" s="6">
        <f>IF(F3426&gt;=5, F3426-5, IF(F3426&lt;5, 0, F3426))</f>
        <v/>
      </c>
      <c r="E3426">
        <f>VLOOKUP(B3426,[1]Namshi!$A:$B,2,0)</f>
        <v/>
      </c>
      <c r="F3426" s="4">
        <f>SUMIFS('Dubai Stock'!I:I,'Dubai Stock'!H:H,Final_UAE!B:B)</f>
        <v/>
      </c>
      <c r="H3426" s="8" t="e">
        <v>#N/A</v>
      </c>
    </row>
    <row r="3427">
      <c r="A3427" s="4" t="n">
        <v>33834</v>
      </c>
      <c r="B3427" s="4" t="inlineStr">
        <is>
          <t>clstdai-lay-cont-p90-dazzle-brown-sn0375</t>
        </is>
      </c>
      <c r="C3427" s="4" t="inlineStr">
        <is>
          <t>W00031886A</t>
        </is>
      </c>
      <c r="D3427" s="6">
        <f>IF(F3427&gt;=5, F3427-5, IF(F3427&lt;5, 0, F3427))</f>
        <v/>
      </c>
      <c r="E3427">
        <f>VLOOKUP(B3427,[1]Namshi!$A:$B,2,0)</f>
        <v/>
      </c>
      <c r="F3427" s="4">
        <f>SUMIFS('Dubai Stock'!I:I,'Dubai Stock'!H:H,Final_UAE!B:B)</f>
        <v/>
      </c>
      <c r="H3427" s="8" t="e">
        <v>#N/A</v>
      </c>
      <c r="I3427" s="8" t="n"/>
    </row>
    <row r="3428">
      <c r="A3428" s="4" t="n">
        <v>33834</v>
      </c>
      <c r="B3428" s="4" t="inlineStr">
        <is>
          <t>clstdai-acu-oasy-p30-sp0075</t>
        </is>
      </c>
      <c r="C3428" s="4" t="inlineStr">
        <is>
          <t>W00031886A</t>
        </is>
      </c>
      <c r="D3428" s="6">
        <f>IF(F3428&gt;=5, F3428-5, IF(F3428&lt;5, 0, F3428))</f>
        <v/>
      </c>
      <c r="E3428">
        <f>VLOOKUP(B3428,[1]Namshi!$A:$B,2,0)</f>
        <v/>
      </c>
      <c r="F3428" s="4">
        <f>SUMIFS('Dubai Stock'!I:I,'Dubai Stock'!H:H,Final_UAE!B:B)</f>
        <v/>
      </c>
      <c r="H3428" s="8" t="e">
        <v>#N/A</v>
      </c>
      <c r="I3428" s="8" t="n"/>
    </row>
    <row r="3429">
      <c r="A3429" s="4" t="n">
        <v>33834</v>
      </c>
      <c r="B3429" s="4" t="inlineStr">
        <is>
          <t>sw100504-bla-000266-2904-55</t>
        </is>
      </c>
      <c r="C3429" s="4" t="inlineStr">
        <is>
          <t>W00031886A</t>
        </is>
      </c>
      <c r="D3429" s="6">
        <f>IF(F3429&gt;=5, F3429-5, IF(F3429&lt;5, 0, F3429))</f>
        <v/>
      </c>
      <c r="E3429">
        <f>VLOOKUP(B3429,[1]Namshi!$A:$B,2,0)</f>
        <v/>
      </c>
      <c r="F3429" s="4">
        <f>SUMIFS('Dubai Stock'!I:I,'Dubai Stock'!H:H,Final_UAE!B:B)</f>
        <v/>
      </c>
      <c r="H3429" s="8" t="e">
        <v>#N/A</v>
      </c>
    </row>
    <row r="3430">
      <c r="A3430" s="4" t="n">
        <v>33834</v>
      </c>
      <c r="B3430" s="4" t="inlineStr">
        <is>
          <t>clstmon-sof-sl59-p06-sn0125</t>
        </is>
      </c>
      <c r="C3430" s="4" t="inlineStr">
        <is>
          <t>W00031886A</t>
        </is>
      </c>
      <c r="D3430" s="6">
        <f>IF(F3430&gt;=5, F3430-5, IF(F3430&lt;5, 0, F3430))</f>
        <v/>
      </c>
      <c r="E3430">
        <f>VLOOKUP(B3430,[1]Namshi!$A:$B,2,0)</f>
        <v/>
      </c>
      <c r="F3430" s="4">
        <f>SUMIFS('Dubai Stock'!I:I,'Dubai Stock'!H:H,Final_UAE!B:B)</f>
        <v/>
      </c>
      <c r="H3430" s="8" t="e">
        <v>#N/A</v>
      </c>
      <c r="I3430" s="8" t="n"/>
    </row>
    <row r="3431">
      <c r="A3431" s="4" t="n">
        <v>33834</v>
      </c>
      <c r="B3431" s="4" t="inlineStr">
        <is>
          <t>costdai-acu-dffr-p30-grayzel-sn0325</t>
        </is>
      </c>
      <c r="C3431" s="4" t="inlineStr">
        <is>
          <t>W00031886A</t>
        </is>
      </c>
      <c r="D3431" s="6">
        <f>IF(F3431&gt;=5, F3431-5, IF(F3431&lt;5, 0, F3431))</f>
        <v/>
      </c>
      <c r="E3431">
        <f>VLOOKUP(B3431,[1]Namshi!$A:$B,2,0)</f>
        <v/>
      </c>
      <c r="F3431" s="4">
        <f>SUMIFS('Dubai Stock'!I:I,'Dubai Stock'!H:H,Final_UAE!B:B)</f>
        <v/>
      </c>
      <c r="H3431" s="8" t="e">
        <v>#N/A</v>
      </c>
      <c r="I3431" s="8" t="n"/>
    </row>
    <row r="3432">
      <c r="A3432" s="4" t="n">
        <v>33834</v>
      </c>
      <c r="B3432" s="4" t="inlineStr">
        <is>
          <t>clstdai-btr-oned-p30-sn0250</t>
        </is>
      </c>
      <c r="C3432" s="4" t="inlineStr">
        <is>
          <t>W00031886A</t>
        </is>
      </c>
      <c r="D3432" s="6">
        <f>IF(F3432&gt;=5, F3432-5, IF(F3432&lt;5, 0, F3432))</f>
        <v/>
      </c>
      <c r="E3432">
        <f>VLOOKUP(B3432,[1]Namshi!$A:$B,2,0)</f>
        <v/>
      </c>
      <c r="F3432" s="4">
        <f>SUMIFS('Dubai Stock'!I:I,'Dubai Stock'!H:H,Final_UAE!B:B)</f>
        <v/>
      </c>
      <c r="H3432" s="8" t="e">
        <v>#N/A</v>
      </c>
      <c r="I3432" s="8" t="n"/>
    </row>
    <row r="3433">
      <c r="A3433" s="4" t="n">
        <v>33834</v>
      </c>
      <c r="B3433" s="4" t="inlineStr">
        <is>
          <t>sm40106-30s-000417-0106-49</t>
        </is>
      </c>
      <c r="C3433" s="4" t="inlineStr">
        <is>
          <t>W00031886A</t>
        </is>
      </c>
      <c r="D3433" s="6">
        <f>IF(F3433&gt;=5, F3433-5, IF(F3433&lt;5, 0, F3433))</f>
        <v/>
      </c>
      <c r="E3433">
        <f>VLOOKUP(B3433,[1]Namshi!$A:$B,2,0)</f>
        <v/>
      </c>
      <c r="F3433" s="4">
        <f>SUMIFS('Dubai Stock'!I:I,'Dubai Stock'!H:H,Final_UAE!B:B)</f>
        <v/>
      </c>
      <c r="H3433" s="8" t="e">
        <v>#N/A</v>
      </c>
    </row>
    <row r="3434">
      <c r="A3434" s="4" t="n">
        <v>33834</v>
      </c>
      <c r="B3434" s="4" t="inlineStr">
        <is>
          <t>cost3mo-lay-lens-p02-ocean-blue-sn0050</t>
        </is>
      </c>
      <c r="C3434" s="4" t="inlineStr">
        <is>
          <t>W00031886A</t>
        </is>
      </c>
      <c r="D3434" s="6">
        <f>IF(F3434&gt;=5, F3434-5, IF(F3434&lt;5, 0, F3434))</f>
        <v/>
      </c>
      <c r="E3434">
        <f>VLOOKUP(B3434,[1]Namshi!$A:$B,2,0)</f>
        <v/>
      </c>
      <c r="F3434" s="4">
        <f>SUMIFS('Dubai Stock'!I:I,'Dubai Stock'!H:H,Final_UAE!B:B)</f>
        <v/>
      </c>
      <c r="H3434" s="8" t="e">
        <v>#N/A</v>
      </c>
      <c r="I3434" s="8" t="n"/>
    </row>
    <row r="3435">
      <c r="A3435" s="4" t="n">
        <v>33834</v>
      </c>
      <c r="B3435" s="4" t="inlineStr">
        <is>
          <t>clstbiw-acu-0002-p12-sn0125</t>
        </is>
      </c>
      <c r="C3435" s="4" t="inlineStr">
        <is>
          <t>W00031886A</t>
        </is>
      </c>
      <c r="D3435" s="6">
        <f>IF(F3435&gt;=5, F3435-5, IF(F3435&lt;5, 0, F3435))</f>
        <v/>
      </c>
      <c r="E3435">
        <f>VLOOKUP(B3435,[1]Namshi!$A:$B,2,0)</f>
        <v/>
      </c>
      <c r="F3435" s="4">
        <f>SUMIFS('Dubai Stock'!I:I,'Dubai Stock'!H:H,Final_UAE!B:B)</f>
        <v/>
      </c>
      <c r="H3435" s="8" t="e">
        <v>#N/A</v>
      </c>
      <c r="I3435" s="8" t="n"/>
    </row>
    <row r="3436">
      <c r="A3436" s="4" t="n">
        <v>33834</v>
      </c>
      <c r="B3436" s="4" t="inlineStr">
        <is>
          <t>clstdai-acu-oasy-p30-sn0450</t>
        </is>
      </c>
      <c r="C3436" s="4" t="inlineStr">
        <is>
          <t>W00031886A</t>
        </is>
      </c>
      <c r="D3436" s="6">
        <f>IF(F3436&gt;=5, F3436-5, IF(F3436&lt;5, 0, F3436))</f>
        <v/>
      </c>
      <c r="E3436">
        <f>VLOOKUP(B3436,[1]Namshi!$A:$B,2,0)</f>
        <v/>
      </c>
      <c r="F3436" s="4">
        <f>SUMIFS('Dubai Stock'!I:I,'Dubai Stock'!H:H,Final_UAE!B:B)</f>
        <v/>
      </c>
      <c r="H3436" s="8" t="e">
        <v>#N/A</v>
      </c>
      <c r="I3436" s="8" t="n"/>
    </row>
    <row r="3437">
      <c r="A3437" s="4" t="n">
        <v>33834</v>
      </c>
      <c r="B3437" s="4" t="inlineStr">
        <is>
          <t>clstdai-lay-cont-p90-dazzle-brown-sn0075</t>
        </is>
      </c>
      <c r="C3437" s="4" t="inlineStr">
        <is>
          <t>W00031886A</t>
        </is>
      </c>
      <c r="D3437" s="6">
        <f>IF(F3437&gt;=5, F3437-5, IF(F3437&lt;5, 0, F3437))</f>
        <v/>
      </c>
      <c r="E3437">
        <f>VLOOKUP(B3437,[1]Namshi!$A:$B,2,0)</f>
        <v/>
      </c>
      <c r="F3437" s="4">
        <f>SUMIFS('Dubai Stock'!I:I,'Dubai Stock'!H:H,Final_UAE!B:B)</f>
        <v/>
      </c>
      <c r="H3437" s="8" t="e">
        <v>#N/A</v>
      </c>
      <c r="I3437" s="8" t="n"/>
    </row>
    <row r="3438">
      <c r="A3438" s="4" t="n">
        <v>33834</v>
      </c>
      <c r="B3438" s="4" t="inlineStr">
        <is>
          <t>fm70418-spc-000815-0418-50</t>
        </is>
      </c>
      <c r="C3438" s="4" t="inlineStr">
        <is>
          <t>W00031886A</t>
        </is>
      </c>
      <c r="D3438" s="6">
        <f>IF(F3438&gt;=5, F3438-5, IF(F3438&lt;5, 0, F3438))</f>
        <v/>
      </c>
      <c r="E3438">
        <f>VLOOKUP(B3438,[1]Namshi!$A:$B,2,0)</f>
        <v/>
      </c>
      <c r="F3438" s="4">
        <f>SUMIFS('Dubai Stock'!I:I,'Dubai Stock'!H:H,Final_UAE!B:B)</f>
        <v/>
      </c>
      <c r="H3438" s="8" t="e">
        <v>#N/A</v>
      </c>
      <c r="I3438" s="8" t="n"/>
    </row>
    <row r="3439">
      <c r="A3439" s="4" t="n">
        <v>33834</v>
      </c>
      <c r="B3439" s="4" t="inlineStr">
        <is>
          <t>cost3mo-lay-lens-p02-ocean-blue-sn0525</t>
        </is>
      </c>
      <c r="C3439" s="4" t="inlineStr">
        <is>
          <t>W00031886A</t>
        </is>
      </c>
      <c r="D3439" s="6">
        <f>IF(F3439&gt;=5, F3439-5, IF(F3439&lt;5, 0, F3439))</f>
        <v/>
      </c>
      <c r="E3439">
        <f>VLOOKUP(B3439,[1]Namshi!$A:$B,2,0)</f>
        <v/>
      </c>
      <c r="F3439" s="4">
        <f>SUMIFS('Dubai Stock'!I:I,'Dubai Stock'!H:H,Final_UAE!B:B)</f>
        <v/>
      </c>
      <c r="H3439" s="8" t="e">
        <v>#N/A</v>
      </c>
      <c r="I3439" s="8" t="n"/>
    </row>
    <row r="3440">
      <c r="A3440" s="4" t="n">
        <v>33834</v>
      </c>
      <c r="B3440" s="4" t="inlineStr">
        <is>
          <t>cost3mo-lay-lens-p02-ocean-blue-sn0125</t>
        </is>
      </c>
      <c r="C3440" s="4" t="inlineStr">
        <is>
          <t>W00031886A</t>
        </is>
      </c>
      <c r="D3440" s="6">
        <f>IF(F3440&gt;=5, F3440-5, IF(F3440&lt;5, 0, F3440))</f>
        <v/>
      </c>
      <c r="E3440">
        <f>VLOOKUP(B3440,[1]Namshi!$A:$B,2,0)</f>
        <v/>
      </c>
      <c r="F3440" s="4">
        <f>SUMIFS('Dubai Stock'!I:I,'Dubai Stock'!H:H,Final_UAE!B:B)</f>
        <v/>
      </c>
      <c r="H3440" s="8" t="e">
        <v>#N/A</v>
      </c>
      <c r="I3440" s="8" t="n"/>
    </row>
    <row r="3441">
      <c r="A3441" s="4" t="n">
        <v>33834</v>
      </c>
      <c r="B3441" s="4" t="inlineStr">
        <is>
          <t>sc20207-bab-000509-0207d-48</t>
        </is>
      </c>
      <c r="C3441" s="4" t="inlineStr">
        <is>
          <t>W00031886A</t>
        </is>
      </c>
      <c r="D3441" s="6">
        <f>IF(F3441&gt;=5, F3441-5, IF(F3441&lt;5, 0, F3441))</f>
        <v/>
      </c>
      <c r="E3441">
        <f>VLOOKUP(B3441,[1]Namshi!$A:$B,2,0)</f>
        <v/>
      </c>
      <c r="F3441" s="4">
        <f>SUMIFS('Dubai Stock'!I:I,'Dubai Stock'!H:H,Final_UAE!B:B)</f>
        <v/>
      </c>
      <c r="H3441" s="8" t="e">
        <v>#N/A</v>
      </c>
    </row>
    <row r="3442">
      <c r="A3442" s="4" t="n">
        <v>33834</v>
      </c>
      <c r="B3442" s="4" t="inlineStr">
        <is>
          <t>sacchan-30s-chain115-gld-kali-light-gold</t>
        </is>
      </c>
      <c r="C3442" s="4" t="inlineStr">
        <is>
          <t>W00031886A</t>
        </is>
      </c>
      <c r="D3442" s="6">
        <f>IF(F3442&gt;=5, F3442-5, IF(F3442&lt;5, 0, F3442))</f>
        <v/>
      </c>
      <c r="E3442">
        <f>VLOOKUP(B3442,[1]Namshi!$A:$B,2,0)</f>
        <v/>
      </c>
      <c r="F3442" s="4">
        <f>SUMIFS('Dubai Stock'!I:I,'Dubai Stock'!H:H,Final_UAE!B:B)</f>
        <v/>
      </c>
      <c r="H3442" s="8" t="e">
        <v>#N/A</v>
      </c>
      <c r="I3442" s="8" t="n"/>
    </row>
    <row r="3443">
      <c r="A3443" s="4" t="n">
        <v>33834</v>
      </c>
      <c r="B3443" s="4" t="inlineStr">
        <is>
          <t>clstdai-acu-oasy-p90-sp0200</t>
        </is>
      </c>
      <c r="C3443" s="4" t="inlineStr">
        <is>
          <t>W00031886A</t>
        </is>
      </c>
      <c r="D3443" s="6">
        <f>IF(F3443&gt;=5, F3443-5, IF(F3443&lt;5, 0, F3443))</f>
        <v/>
      </c>
      <c r="E3443">
        <f>VLOOKUP(B3443,[1]Namshi!$A:$B,2,0)</f>
        <v/>
      </c>
      <c r="F3443" s="4">
        <f>SUMIFS('Dubai Stock'!I:I,'Dubai Stock'!H:H,Final_UAE!B:B)</f>
        <v/>
      </c>
      <c r="H3443" s="8" t="e">
        <v>#N/A</v>
      </c>
      <c r="I3443" s="8" t="n"/>
    </row>
    <row r="3444">
      <c r="A3444" s="4" t="n">
        <v>33834</v>
      </c>
      <c r="B3444" s="4" t="inlineStr">
        <is>
          <t>costdai-acu-dffr-p10-grayzel-sn0550</t>
        </is>
      </c>
      <c r="C3444" s="4" t="inlineStr">
        <is>
          <t>W00031886A</t>
        </is>
      </c>
      <c r="D3444" s="6">
        <f>IF(F3444&gt;=5, F3444-5, IF(F3444&lt;5, 0, F3444))</f>
        <v/>
      </c>
      <c r="E3444">
        <f>VLOOKUP(B3444,[1]Namshi!$A:$B,2,0)</f>
        <v/>
      </c>
      <c r="F3444" s="4">
        <f>SUMIFS('Dubai Stock'!I:I,'Dubai Stock'!H:H,Final_UAE!B:B)</f>
        <v/>
      </c>
      <c r="H3444" s="8" t="e">
        <v>#N/A</v>
      </c>
      <c r="I3444" s="8" t="n"/>
    </row>
    <row r="3445">
      <c r="A3445" s="4" t="n">
        <v>33834</v>
      </c>
      <c r="B3445" s="4" t="inlineStr">
        <is>
          <t>clstdai-eve-pure-p90-sn0800</t>
        </is>
      </c>
      <c r="C3445" s="4" t="inlineStr">
        <is>
          <t>W00031886A</t>
        </is>
      </c>
      <c r="D3445" s="6">
        <f>IF(F3445&gt;=5, F3445-5, IF(F3445&lt;5, 0, F3445))</f>
        <v/>
      </c>
      <c r="E3445">
        <f>VLOOKUP(B3445,[1]Namshi!$A:$B,2,0)</f>
        <v/>
      </c>
      <c r="F3445" s="4">
        <f>SUMIFS('Dubai Stock'!I:I,'Dubai Stock'!H:H,Final_UAE!B:B)</f>
        <v/>
      </c>
      <c r="H3445" s="8" t="n">
        <v>529</v>
      </c>
      <c r="I3445" s="8" t="n">
        <v>259</v>
      </c>
    </row>
    <row r="3446">
      <c r="A3446" s="4" t="n">
        <v>33834</v>
      </c>
      <c r="B3446" s="4" t="inlineStr">
        <is>
          <t>clstdai-acu-omax-p90-sn0700</t>
        </is>
      </c>
      <c r="C3446" s="4" t="inlineStr">
        <is>
          <t>W00031886A</t>
        </is>
      </c>
      <c r="D3446" s="6">
        <f>IF(F3446&gt;=5, F3446-5, IF(F3446&lt;5, 0, F3446))</f>
        <v/>
      </c>
      <c r="E3446">
        <f>VLOOKUP(B3446,[1]Namshi!$A:$B,2,0)</f>
        <v/>
      </c>
      <c r="F3446" s="4">
        <f>SUMIFS('Dubai Stock'!I:I,'Dubai Stock'!H:H,Final_UAE!B:B)</f>
        <v/>
      </c>
      <c r="H3446" s="8" t="e">
        <v>#N/A</v>
      </c>
      <c r="I3446" s="8" t="n"/>
    </row>
    <row r="3447">
      <c r="A3447" s="4" t="n">
        <v>33834</v>
      </c>
      <c r="B3447" s="4" t="inlineStr">
        <is>
          <t>cost3mo-lay-2022-p02-sweet-hazel-sp0000</t>
        </is>
      </c>
      <c r="C3447" s="4" t="inlineStr">
        <is>
          <t>W00031886A</t>
        </is>
      </c>
      <c r="D3447" s="6">
        <f>IF(F3447&gt;=5, F3447-5, IF(F3447&lt;5, 0, F3447))</f>
        <v/>
      </c>
      <c r="E3447">
        <f>VLOOKUP(B3447,[1]Namshi!$A:$B,2,0)</f>
        <v/>
      </c>
      <c r="F3447" s="4">
        <f>SUMIFS('Dubai Stock'!I:I,'Dubai Stock'!H:H,Final_UAE!B:B)</f>
        <v/>
      </c>
      <c r="H3447" s="8" t="e">
        <v>#N/A</v>
      </c>
      <c r="I3447" s="8" t="n"/>
    </row>
    <row r="3448">
      <c r="A3448" s="4" t="n">
        <v>33834</v>
      </c>
      <c r="B3448" s="4" t="inlineStr">
        <is>
          <t>clstdai-acu-dfrb-p60-sn0150</t>
        </is>
      </c>
      <c r="C3448" s="4" t="inlineStr">
        <is>
          <t>W00031886A</t>
        </is>
      </c>
      <c r="D3448" s="6">
        <f>IF(F3448&gt;=5, F3448-5, IF(F3448&lt;5, 0, F3448))</f>
        <v/>
      </c>
      <c r="E3448">
        <f>VLOOKUP(B3448,[1]Namshi!$A:$B,2,0)</f>
        <v/>
      </c>
      <c r="F3448" s="4">
        <f>SUMIFS('Dubai Stock'!I:I,'Dubai Stock'!H:H,Final_UAE!B:B)</f>
        <v/>
      </c>
      <c r="H3448" s="8" t="e">
        <v>#N/A</v>
      </c>
      <c r="I3448" s="8" t="n"/>
    </row>
    <row r="3449">
      <c r="A3449" s="4" t="n">
        <v>33834</v>
      </c>
      <c r="B3449" s="4" t="inlineStr">
        <is>
          <t>costdai-acu-dffr-p10-hazel-sn0200</t>
        </is>
      </c>
      <c r="C3449" s="4" t="inlineStr">
        <is>
          <t>W00031886A</t>
        </is>
      </c>
      <c r="D3449" s="6">
        <f>IF(F3449&gt;=5, F3449-5, IF(F3449&lt;5, 0, F3449))</f>
        <v/>
      </c>
      <c r="E3449">
        <f>VLOOKUP(B3449,[1]Namshi!$A:$B,2,0)</f>
        <v/>
      </c>
      <c r="F3449" s="4">
        <f>SUMIFS('Dubai Stock'!I:I,'Dubai Stock'!H:H,Final_UAE!B:B)</f>
        <v/>
      </c>
      <c r="H3449" s="8" t="e">
        <v>#N/A</v>
      </c>
      <c r="I3449" s="8" t="n"/>
    </row>
    <row r="3450">
      <c r="A3450" s="4" t="n">
        <v>33834</v>
      </c>
      <c r="B3450" s="4" t="inlineStr">
        <is>
          <t>clstdai-acu-dfrb-p90-sn0125</t>
        </is>
      </c>
      <c r="C3450" s="4" t="inlineStr">
        <is>
          <t>W00031886A</t>
        </is>
      </c>
      <c r="D3450" s="6">
        <f>IF(F3450&gt;=5, F3450-5, IF(F3450&lt;5, 0, F3450))</f>
        <v/>
      </c>
      <c r="E3450">
        <f>VLOOKUP(B3450,[1]Namshi!$A:$B,2,0)</f>
        <v/>
      </c>
      <c r="F3450" s="4">
        <f>SUMIFS('Dubai Stock'!I:I,'Dubai Stock'!H:H,Final_UAE!B:B)</f>
        <v/>
      </c>
      <c r="H3450" s="8" t="e">
        <v>#N/A</v>
      </c>
      <c r="I3450" s="8" t="n"/>
    </row>
    <row r="3451">
      <c r="A3451" s="4" t="n">
        <v>33834</v>
      </c>
      <c r="B3451" s="4" t="inlineStr">
        <is>
          <t>costmon-ama-2024-p02-chocolate-sp0000</t>
        </is>
      </c>
      <c r="C3451" s="4" t="inlineStr">
        <is>
          <t>W00031886A</t>
        </is>
      </c>
      <c r="D3451" s="6">
        <f>IF(F3451&gt;=5, F3451-5, IF(F3451&lt;5, 0, F3451))</f>
        <v/>
      </c>
      <c r="E3451">
        <f>VLOOKUP(B3451,[1]Namshi!$A:$B,2,0)</f>
        <v/>
      </c>
      <c r="F3451" s="4">
        <f>SUMIFS('Dubai Stock'!I:I,'Dubai Stock'!H:H,Final_UAE!B:B)</f>
        <v/>
      </c>
      <c r="H3451" s="8" t="e">
        <v>#N/A</v>
      </c>
      <c r="I3451" s="8" t="n"/>
    </row>
    <row r="3452">
      <c r="A3452" s="4" t="n">
        <v>33834</v>
      </c>
      <c r="B3452" s="4" t="inlineStr">
        <is>
          <t>cost3mo-lay-2022-p02-sage-gray-sn0450</t>
        </is>
      </c>
      <c r="C3452" s="4" t="inlineStr">
        <is>
          <t>W00031886A</t>
        </is>
      </c>
      <c r="D3452" s="6">
        <f>IF(F3452&gt;=5, F3452-5, IF(F3452&lt;5, 0, F3452))</f>
        <v/>
      </c>
      <c r="E3452">
        <f>VLOOKUP(B3452,[1]Namshi!$A:$B,2,0)</f>
        <v/>
      </c>
      <c r="F3452" s="4">
        <f>SUMIFS('Dubai Stock'!I:I,'Dubai Stock'!H:H,Final_UAE!B:B)</f>
        <v/>
      </c>
      <c r="H3452" s="8" t="e">
        <v>#N/A</v>
      </c>
      <c r="I3452" s="8" t="n"/>
    </row>
    <row r="3453">
      <c r="A3453" s="4" t="n">
        <v>33834</v>
      </c>
      <c r="B3453" s="4" t="inlineStr">
        <is>
          <t>clstdai-acu-dfvi-p30-sn0375</t>
        </is>
      </c>
      <c r="C3453" s="4" t="inlineStr">
        <is>
          <t>W00031886A</t>
        </is>
      </c>
      <c r="D3453" s="6">
        <f>IF(F3453&gt;=5, F3453-5, IF(F3453&lt;5, 0, F3453))</f>
        <v/>
      </c>
      <c r="E3453">
        <f>VLOOKUP(B3453,[1]Namshi!$A:$B,2,0)</f>
        <v/>
      </c>
      <c r="F3453" s="4">
        <f>SUMIFS('Dubai Stock'!I:I,'Dubai Stock'!H:H,Final_UAE!B:B)</f>
        <v/>
      </c>
      <c r="H3453" s="8" t="e">
        <v>#N/A</v>
      </c>
      <c r="I3453" s="8" t="n"/>
    </row>
    <row r="3454">
      <c r="A3454" s="4" t="n">
        <v>33834</v>
      </c>
      <c r="B3454" s="4" t="inlineStr">
        <is>
          <t>ru40118-spc-000850-0118-49-sp0250</t>
        </is>
      </c>
      <c r="C3454" s="4" t="inlineStr">
        <is>
          <t>W00031886A</t>
        </is>
      </c>
      <c r="D3454" s="6">
        <f>IF(F3454&gt;=5, F3454-5, IF(F3454&lt;5, 0, F3454))</f>
        <v/>
      </c>
      <c r="E3454">
        <f>VLOOKUP(B3454,[1]Namshi!$A:$B,2,0)</f>
        <v/>
      </c>
      <c r="F3454" s="4">
        <f>SUMIFS('Dubai Stock'!I:I,'Dubai Stock'!H:H,Final_UAE!B:B)</f>
        <v/>
      </c>
      <c r="H3454" s="8" t="e">
        <v>#N/A</v>
      </c>
      <c r="I3454" s="8" t="n"/>
    </row>
    <row r="3455">
      <c r="A3455" s="4" t="n">
        <v>33834</v>
      </c>
      <c r="B3455" s="4" t="inlineStr">
        <is>
          <t>clstdai-dai-aqua-p30-sp0525</t>
        </is>
      </c>
      <c r="C3455" s="4" t="inlineStr">
        <is>
          <t>W00031886A</t>
        </is>
      </c>
      <c r="D3455" s="6">
        <f>IF(F3455&gt;=5, F3455-5, IF(F3455&lt;5, 0, F3455))</f>
        <v/>
      </c>
      <c r="E3455">
        <f>VLOOKUP(B3455,[1]Namshi!$A:$B,2,0)</f>
        <v/>
      </c>
      <c r="F3455" s="4">
        <f>SUMIFS('Dubai Stock'!I:I,'Dubai Stock'!H:H,Final_UAE!B:B)</f>
        <v/>
      </c>
      <c r="H3455" s="8" t="e">
        <v>#N/A</v>
      </c>
      <c r="I3455" s="8" t="n"/>
    </row>
    <row r="3456">
      <c r="A3456" s="4" t="n">
        <v>33834</v>
      </c>
      <c r="B3456" s="4" t="inlineStr">
        <is>
          <t>costdai-acu-dffr-p30-blue-sn0475</t>
        </is>
      </c>
      <c r="C3456" s="4" t="inlineStr">
        <is>
          <t>W00031886A</t>
        </is>
      </c>
      <c r="D3456" s="6">
        <f>IF(F3456&gt;=5, F3456-5, IF(F3456&lt;5, 0, F3456))</f>
        <v/>
      </c>
      <c r="E3456">
        <f>VLOOKUP(B3456,[1]Namshi!$A:$B,2,0)</f>
        <v/>
      </c>
      <c r="F3456" s="4">
        <f>SUMIFS('Dubai Stock'!I:I,'Dubai Stock'!H:H,Final_UAE!B:B)</f>
        <v/>
      </c>
      <c r="H3456" s="8" t="e">
        <v>#N/A</v>
      </c>
      <c r="I3456" s="8" t="n"/>
    </row>
    <row r="3457">
      <c r="A3457" s="4" t="n">
        <v>33834</v>
      </c>
      <c r="B3457" s="4" t="inlineStr">
        <is>
          <t>clstdai-acu-mois-p120-sn0125</t>
        </is>
      </c>
      <c r="C3457" s="4" t="inlineStr">
        <is>
          <t>W00031886A</t>
        </is>
      </c>
      <c r="D3457" s="6">
        <f>IF(F3457&gt;=5, F3457-5, IF(F3457&lt;5, 0, F3457))</f>
        <v/>
      </c>
      <c r="E3457">
        <f>VLOOKUP(B3457,[1]Namshi!$A:$B,2,0)</f>
        <v/>
      </c>
      <c r="F3457" s="4">
        <f>SUMIFS('Dubai Stock'!I:I,'Dubai Stock'!H:H,Final_UAE!B:B)</f>
        <v/>
      </c>
      <c r="H3457" s="8" t="e">
        <v>#N/A</v>
      </c>
      <c r="I3457" s="8" t="n"/>
    </row>
    <row r="3458">
      <c r="A3458" s="4" t="n">
        <v>33834</v>
      </c>
      <c r="B3458" s="4" t="inlineStr">
        <is>
          <t>costdai-ama-dail-p10-amber-sn0475</t>
        </is>
      </c>
      <c r="C3458" s="4" t="inlineStr">
        <is>
          <t>W00031886A</t>
        </is>
      </c>
      <c r="D3458" s="6">
        <f>IF(F3458&gt;=5, F3458-5, IF(F3458&lt;5, 0, F3458))</f>
        <v/>
      </c>
      <c r="E3458">
        <f>VLOOKUP(B3458,[1]Namshi!$A:$B,2,0)</f>
        <v/>
      </c>
      <c r="F3458" s="4">
        <f>SUMIFS('Dubai Stock'!I:I,'Dubai Stock'!H:H,Final_UAE!B:B)</f>
        <v/>
      </c>
      <c r="H3458" s="8" t="e">
        <v>#N/A</v>
      </c>
      <c r="I3458" s="8" t="n"/>
    </row>
    <row r="3459">
      <c r="A3459" s="4" t="n">
        <v>33834</v>
      </c>
      <c r="B3459" s="4" t="inlineStr">
        <is>
          <t>fw30918-spc-000640-0918-52</t>
        </is>
      </c>
      <c r="C3459" s="4" t="inlineStr">
        <is>
          <t>W00031886A</t>
        </is>
      </c>
      <c r="D3459" s="6">
        <f>IF(F3459&gt;=5, F3459-5, IF(F3459&lt;5, 0, F3459))</f>
        <v/>
      </c>
      <c r="E3459">
        <f>VLOOKUP(B3459,[1]Namshi!$A:$B,2,0)</f>
        <v/>
      </c>
      <c r="F3459" s="4">
        <f>SUMIFS('Dubai Stock'!I:I,'Dubai Stock'!H:H,Final_UAE!B:B)</f>
        <v/>
      </c>
      <c r="H3459" s="8" t="e">
        <v>#N/A</v>
      </c>
      <c r="I3459" s="8" t="n"/>
    </row>
    <row r="3460">
      <c r="A3460" s="4" t="n">
        <v>33834</v>
      </c>
      <c r="B3460" s="4" t="inlineStr">
        <is>
          <t>cost3mo-lay-lens-p02-cloudy-gray-sn0275</t>
        </is>
      </c>
      <c r="C3460" s="4" t="inlineStr">
        <is>
          <t>W00031886A</t>
        </is>
      </c>
      <c r="D3460" s="6">
        <f>IF(F3460&gt;=5, F3460-5, IF(F3460&lt;5, 0, F3460))</f>
        <v/>
      </c>
      <c r="E3460">
        <f>VLOOKUP(B3460,[1]Namshi!$A:$B,2,0)</f>
        <v/>
      </c>
      <c r="F3460" s="4">
        <f>SUMIFS('Dubai Stock'!I:I,'Dubai Stock'!H:H,Final_UAE!B:B)</f>
        <v/>
      </c>
      <c r="H3460" s="8" t="e">
        <v>#N/A</v>
      </c>
      <c r="I3460" s="8" t="n"/>
    </row>
    <row r="3461">
      <c r="A3461" s="4" t="n">
        <v>33834</v>
      </c>
      <c r="B3461" s="4" t="inlineStr">
        <is>
          <t>cost3mo-lay-2021-p02-willow-green-sn0050</t>
        </is>
      </c>
      <c r="C3461" s="4" t="inlineStr">
        <is>
          <t>W00031886A</t>
        </is>
      </c>
      <c r="D3461" s="6">
        <f>IF(F3461&gt;=5, F3461-5, IF(F3461&lt;5, 0, F3461))</f>
        <v/>
      </c>
      <c r="E3461">
        <f>VLOOKUP(B3461,[1]Namshi!$A:$B,2,0)</f>
        <v/>
      </c>
      <c r="F3461" s="4">
        <f>SUMIFS('Dubai Stock'!I:I,'Dubai Stock'!H:H,Final_UAE!B:B)</f>
        <v/>
      </c>
      <c r="H3461" s="8" t="e">
        <v>#N/A</v>
      </c>
      <c r="I3461" s="8" t="n"/>
    </row>
    <row r="3462">
      <c r="A3462" s="4" t="n">
        <v>33834</v>
      </c>
      <c r="B3462" s="4" t="inlineStr">
        <is>
          <t>clstdai-sof-sdai-p90-sn0800</t>
        </is>
      </c>
      <c r="C3462" s="4" t="inlineStr">
        <is>
          <t>W00031886A</t>
        </is>
      </c>
      <c r="D3462" s="6">
        <f>IF(F3462&gt;=5, F3462-5, IF(F3462&lt;5, 0, F3462))</f>
        <v/>
      </c>
      <c r="E3462">
        <f>VLOOKUP(B3462,[1]Namshi!$A:$B,2,0)</f>
        <v/>
      </c>
      <c r="F3462" s="4">
        <f>SUMIFS('Dubai Stock'!I:I,'Dubai Stock'!H:H,Final_UAE!B:B)</f>
        <v/>
      </c>
      <c r="H3462" s="8" t="e">
        <v>#N/A</v>
      </c>
      <c r="I3462" s="8" t="n"/>
    </row>
    <row r="3463">
      <c r="A3463" s="4" t="n">
        <v>33834</v>
      </c>
      <c r="B3463" s="4" t="inlineStr">
        <is>
          <t>sw102904-bla-000280-2904-56</t>
        </is>
      </c>
      <c r="C3463" s="4" t="inlineStr">
        <is>
          <t>W00031886A</t>
        </is>
      </c>
      <c r="D3463" s="6">
        <f>IF(F3463&gt;=5, F3463-5, IF(F3463&lt;5, 0, F3463))</f>
        <v/>
      </c>
      <c r="E3463">
        <f>VLOOKUP(B3463,[1]Namshi!$A:$B,2,0)</f>
        <v/>
      </c>
      <c r="F3463" s="4">
        <f>SUMIFS('Dubai Stock'!I:I,'Dubai Stock'!H:H,Final_UAE!B:B)</f>
        <v/>
      </c>
      <c r="H3463" s="8" t="e">
        <v>#N/A</v>
      </c>
      <c r="I3463" s="8" t="n"/>
    </row>
    <row r="3464">
      <c r="A3464" s="4" t="n">
        <v>33834</v>
      </c>
      <c r="B3464" s="4" t="inlineStr">
        <is>
          <t>clstdai-acu-omax-p90-sp0650</t>
        </is>
      </c>
      <c r="C3464" s="4" t="inlineStr">
        <is>
          <t>W00031886A</t>
        </is>
      </c>
      <c r="D3464" s="6">
        <f>IF(F3464&gt;=5, F3464-5, IF(F3464&lt;5, 0, F3464))</f>
        <v/>
      </c>
      <c r="E3464">
        <f>VLOOKUP(B3464,[1]Namshi!$A:$B,2,0)</f>
        <v/>
      </c>
      <c r="F3464" s="4">
        <f>SUMIFS('Dubai Stock'!I:I,'Dubai Stock'!H:H,Final_UAE!B:B)</f>
        <v/>
      </c>
      <c r="H3464" s="8" t="e">
        <v>#N/A</v>
      </c>
      <c r="I3464" s="8" t="n"/>
    </row>
    <row r="3465">
      <c r="A3465" s="4" t="n">
        <v>33834</v>
      </c>
      <c r="B3465" s="4" t="inlineStr">
        <is>
          <t>cltobiw-acu-oasy-p06-sn0800-cn0075-a010</t>
        </is>
      </c>
      <c r="C3465" s="4" t="inlineStr">
        <is>
          <t>W00031886A</t>
        </is>
      </c>
      <c r="D3465" s="6">
        <f>IF(F3465&gt;=5, F3465-5, IF(F3465&lt;5, 0, F3465))</f>
        <v/>
      </c>
      <c r="E3465">
        <f>VLOOKUP(B3465,[1]Namshi!$A:$B,2,0)</f>
        <v/>
      </c>
      <c r="F3465" s="4">
        <f>SUMIFS('Dubai Stock'!I:I,'Dubai Stock'!H:H,Final_UAE!B:B)</f>
        <v/>
      </c>
      <c r="H3465" s="8" t="e">
        <v>#N/A</v>
      </c>
      <c r="I3465" s="8" t="n"/>
    </row>
    <row r="3466">
      <c r="A3466" s="4" t="n">
        <v>33834</v>
      </c>
      <c r="B3466" s="4" t="inlineStr">
        <is>
          <t>costdai-acu-dffr-p10-honey-sn0050</t>
        </is>
      </c>
      <c r="C3466" s="4" t="inlineStr">
        <is>
          <t>W00031886A</t>
        </is>
      </c>
      <c r="D3466" s="6">
        <f>IF(F3466&gt;=5, F3466-5, IF(F3466&lt;5, 0, F3466))</f>
        <v/>
      </c>
      <c r="E3466">
        <f>VLOOKUP(B3466,[1]Namshi!$A:$B,2,0)</f>
        <v/>
      </c>
      <c r="F3466" s="4">
        <f>SUMIFS('Dubai Stock'!I:I,'Dubai Stock'!H:H,Final_UAE!B:B)</f>
        <v/>
      </c>
      <c r="H3466" s="8" t="e">
        <v>#N/A</v>
      </c>
      <c r="I3466" s="8" t="n"/>
    </row>
    <row r="3467">
      <c r="A3467" s="4" t="n">
        <v>33834</v>
      </c>
      <c r="B3467" s="4" t="inlineStr">
        <is>
          <t>clstdai-acu-dfna-p30-sn0200</t>
        </is>
      </c>
      <c r="C3467" s="4" t="inlineStr">
        <is>
          <t>W00031886A</t>
        </is>
      </c>
      <c r="D3467" s="6">
        <f>IF(F3467&gt;=5, F3467-5, IF(F3467&lt;5, 0, F3467))</f>
        <v/>
      </c>
      <c r="E3467">
        <f>VLOOKUP(B3467,[1]Namshi!$A:$B,2,0)</f>
        <v/>
      </c>
      <c r="F3467" s="4">
        <f>SUMIFS('Dubai Stock'!I:I,'Dubai Stock'!H:H,Final_UAE!B:B)</f>
        <v/>
      </c>
      <c r="H3467" s="8" t="e">
        <v>#N/A</v>
      </c>
      <c r="I3467" s="8" t="n"/>
    </row>
    <row r="3468">
      <c r="A3468" s="4" t="n">
        <v>33834</v>
      </c>
      <c r="B3468" s="4" t="inlineStr">
        <is>
          <t>clstdai-acu-omax-p90-sn1050</t>
        </is>
      </c>
      <c r="C3468" s="4" t="inlineStr">
        <is>
          <t>W00031886A</t>
        </is>
      </c>
      <c r="D3468" s="6">
        <f>IF(F3468&gt;=5, F3468-5, IF(F3468&lt;5, 0, F3468))</f>
        <v/>
      </c>
      <c r="E3468">
        <f>VLOOKUP(B3468,[1]Namshi!$A:$B,2,0)</f>
        <v/>
      </c>
      <c r="F3468" s="4">
        <f>SUMIFS('Dubai Stock'!I:I,'Dubai Stock'!H:H,Final_UAE!B:B)</f>
        <v/>
      </c>
      <c r="H3468" s="8" t="e">
        <v>#N/A</v>
      </c>
      <c r="I3468" s="8" t="n"/>
    </row>
    <row r="3469">
      <c r="A3469" s="4" t="n">
        <v>33834</v>
      </c>
      <c r="B3469" s="4" t="inlineStr">
        <is>
          <t>cost3mo-lay-lens-p02-ocean-blue-sn0200</t>
        </is>
      </c>
      <c r="C3469" s="4" t="inlineStr">
        <is>
          <t>W00031886A</t>
        </is>
      </c>
      <c r="D3469" s="6">
        <f>IF(F3469&gt;=5, F3469-5, IF(F3469&lt;5, 0, F3469))</f>
        <v/>
      </c>
      <c r="E3469">
        <f>VLOOKUP(B3469,[1]Namshi!$A:$B,2,0)</f>
        <v/>
      </c>
      <c r="F3469" s="4">
        <f>SUMIFS('Dubai Stock'!I:I,'Dubai Stock'!H:H,Final_UAE!B:B)</f>
        <v/>
      </c>
      <c r="H3469" s="8" t="e">
        <v>#N/A</v>
      </c>
      <c r="I3469" s="8" t="n"/>
    </row>
    <row r="3470">
      <c r="A3470" s="4" t="n">
        <v>33834</v>
      </c>
      <c r="B3470" s="4" t="inlineStr">
        <is>
          <t>clstdai-acu-omax-p90-sn0650</t>
        </is>
      </c>
      <c r="C3470" s="4" t="inlineStr">
        <is>
          <t>W00031886A</t>
        </is>
      </c>
      <c r="D3470" s="6">
        <f>IF(F3470&gt;=5, F3470-5, IF(F3470&lt;5, 0, F3470))</f>
        <v/>
      </c>
      <c r="E3470">
        <f>VLOOKUP(B3470,[1]Namshi!$A:$B,2,0)</f>
        <v/>
      </c>
      <c r="F3470" s="4">
        <f>SUMIFS('Dubai Stock'!I:I,'Dubai Stock'!H:H,Final_UAE!B:B)</f>
        <v/>
      </c>
      <c r="H3470" s="8" t="e">
        <v>#N/A</v>
      </c>
      <c r="I3470" s="8" t="n"/>
    </row>
    <row r="3471">
      <c r="A3471" s="4" t="n">
        <v>33834</v>
      </c>
      <c r="B3471" s="4" t="inlineStr">
        <is>
          <t>costdai-acu-dffr-p30-hazel-sn0200</t>
        </is>
      </c>
      <c r="C3471" s="4" t="inlineStr">
        <is>
          <t>W00031886A</t>
        </is>
      </c>
      <c r="D3471" s="6">
        <f>IF(F3471&gt;=5, F3471-5, IF(F3471&lt;5, 0, F3471))</f>
        <v/>
      </c>
      <c r="E3471">
        <f>VLOOKUP(B3471,[1]Namshi!$A:$B,2,0)</f>
        <v/>
      </c>
      <c r="F3471" s="4">
        <f>SUMIFS('Dubai Stock'!I:I,'Dubai Stock'!H:H,Final_UAE!B:B)</f>
        <v/>
      </c>
      <c r="H3471" s="8" t="e">
        <v>#N/A</v>
      </c>
      <c r="I3471" s="8" t="n"/>
    </row>
    <row r="3472">
      <c r="A3472" s="4" t="n">
        <v>33834</v>
      </c>
      <c r="B3472" s="4" t="inlineStr">
        <is>
          <t>cost3mo-lay-2024-p02-moon-gray-sn0225</t>
        </is>
      </c>
      <c r="C3472" s="4" t="inlineStr">
        <is>
          <t>W00031886A</t>
        </is>
      </c>
      <c r="D3472" s="6">
        <f>IF(F3472&gt;=5, F3472-5, IF(F3472&lt;5, 0, F3472))</f>
        <v/>
      </c>
      <c r="E3472">
        <f>VLOOKUP(B3472,[1]Namshi!$A:$B,2,0)</f>
        <v/>
      </c>
      <c r="F3472" s="4">
        <f>SUMIFS('Dubai Stock'!I:I,'Dubai Stock'!H:H,Final_UAE!B:B)</f>
        <v/>
      </c>
      <c r="H3472" s="8" t="e">
        <v>#N/A</v>
      </c>
      <c r="I3472" s="8" t="n"/>
    </row>
    <row r="3473">
      <c r="A3473" s="4" t="n">
        <v>33834</v>
      </c>
      <c r="B3473" s="4" t="inlineStr">
        <is>
          <t>sm100702-30s-000304-0702-54</t>
        </is>
      </c>
      <c r="C3473" s="4" t="inlineStr">
        <is>
          <t>W00031886A</t>
        </is>
      </c>
      <c r="D3473" s="6">
        <f>IF(F3473&gt;=5, F3473-5, IF(F3473&lt;5, 0, F3473))</f>
        <v/>
      </c>
      <c r="E3473">
        <f>VLOOKUP(B3473,[1]Namshi!$A:$B,2,0)</f>
        <v/>
      </c>
      <c r="F3473" s="4">
        <f>SUMIFS('Dubai Stock'!I:I,'Dubai Stock'!H:H,Final_UAE!B:B)</f>
        <v/>
      </c>
      <c r="H3473" s="8" t="e">
        <v>#N/A</v>
      </c>
    </row>
    <row r="3474">
      <c r="A3474" s="4" t="n">
        <v>33834</v>
      </c>
      <c r="B3474" s="4" t="inlineStr">
        <is>
          <t>sw30202-30s-000258-0202-54</t>
        </is>
      </c>
      <c r="C3474" s="4" t="inlineStr">
        <is>
          <t>W00031886A</t>
        </is>
      </c>
      <c r="D3474" s="6">
        <f>IF(F3474&gt;=5, F3474-5, IF(F3474&lt;5, 0, F3474))</f>
        <v/>
      </c>
      <c r="E3474">
        <f>VLOOKUP(B3474,[1]Namshi!$A:$B,2,0)</f>
        <v/>
      </c>
      <c r="F3474" s="4">
        <f>SUMIFS('Dubai Stock'!I:I,'Dubai Stock'!H:H,Final_UAE!B:B)</f>
        <v/>
      </c>
      <c r="H3474" s="8" t="e">
        <v>#N/A</v>
      </c>
    </row>
    <row r="3475">
      <c r="A3475" s="4" t="n">
        <v>33834</v>
      </c>
      <c r="B3475" s="4" t="inlineStr">
        <is>
          <t>fu22418-spc-000544-2400-52</t>
        </is>
      </c>
      <c r="C3475" s="4" t="inlineStr">
        <is>
          <t>W00031886A</t>
        </is>
      </c>
      <c r="D3475" s="6">
        <f>IF(F3475&gt;=5, F3475-5, IF(F3475&lt;5, 0, F3475))</f>
        <v/>
      </c>
      <c r="E3475">
        <f>VLOOKUP(B3475,[1]Namshi!$A:$B,2,0)</f>
        <v/>
      </c>
      <c r="F3475" s="4">
        <f>SUMIFS('Dubai Stock'!I:I,'Dubai Stock'!H:H,Final_UAE!B:B)</f>
        <v/>
      </c>
      <c r="H3475" s="8" t="e">
        <v>#N/A</v>
      </c>
      <c r="I3475" s="8" t="n"/>
    </row>
    <row r="3476">
      <c r="A3476" s="4" t="n">
        <v>33834</v>
      </c>
      <c r="B3476" s="4" t="inlineStr">
        <is>
          <t>clstdai-lay-cont-p30-dazzle-black-sn0525</t>
        </is>
      </c>
      <c r="C3476" s="4" t="inlineStr">
        <is>
          <t>W00031886A</t>
        </is>
      </c>
      <c r="D3476" s="6">
        <f>IF(F3476&gt;=5, F3476-5, IF(F3476&lt;5, 0, F3476))</f>
        <v/>
      </c>
      <c r="E3476">
        <f>VLOOKUP(B3476,[1]Namshi!$A:$B,2,0)</f>
        <v/>
      </c>
      <c r="F3476" s="4">
        <f>SUMIFS('Dubai Stock'!I:I,'Dubai Stock'!H:H,Final_UAE!B:B)</f>
        <v/>
      </c>
      <c r="H3476" s="8" t="e">
        <v>#N/A</v>
      </c>
      <c r="I3476" s="8" t="n"/>
    </row>
    <row r="3477">
      <c r="A3477" s="4" t="n">
        <v>33834</v>
      </c>
      <c r="B3477" s="4" t="inlineStr">
        <is>
          <t>cltodai-acu-mois-p30-sn0275-cn0075-a010</t>
        </is>
      </c>
      <c r="C3477" s="4" t="inlineStr">
        <is>
          <t>W00031886A</t>
        </is>
      </c>
      <c r="D3477" s="6">
        <f>IF(F3477&gt;=5, F3477-5, IF(F3477&lt;5, 0, F3477))</f>
        <v/>
      </c>
      <c r="E3477">
        <f>VLOOKUP(B3477,[1]Namshi!$A:$B,2,0)</f>
        <v/>
      </c>
      <c r="F3477" s="4">
        <f>SUMIFS('Dubai Stock'!I:I,'Dubai Stock'!H:H,Final_UAE!B:B)</f>
        <v/>
      </c>
      <c r="H3477" s="8" t="e">
        <v>#N/A</v>
      </c>
      <c r="I3477" s="8" t="n"/>
    </row>
    <row r="3478">
      <c r="A3478" s="4" t="n">
        <v>33834</v>
      </c>
      <c r="B3478" s="4" t="inlineStr">
        <is>
          <t>sw30404-bla-000222-2404-57</t>
        </is>
      </c>
      <c r="C3478" s="4" t="inlineStr">
        <is>
          <t>W00031886A</t>
        </is>
      </c>
      <c r="D3478" s="6">
        <f>IF(F3478&gt;=5, F3478-5, IF(F3478&lt;5, 0, F3478))</f>
        <v/>
      </c>
      <c r="E3478">
        <f>VLOOKUP(B3478,[1]Namshi!$A:$B,2,0)</f>
        <v/>
      </c>
      <c r="F3478" s="4">
        <f>SUMIFS('Dubai Stock'!I:I,'Dubai Stock'!H:H,Final_UAE!B:B)</f>
        <v/>
      </c>
      <c r="H3478" s="8" t="e">
        <v>#N/A</v>
      </c>
    </row>
    <row r="3479">
      <c r="A3479" s="4" t="n">
        <v>33834</v>
      </c>
      <c r="B3479" s="4" t="inlineStr">
        <is>
          <t>sw22306-bla-000106-2306-57</t>
        </is>
      </c>
      <c r="C3479" s="4" t="inlineStr">
        <is>
          <t>W00031886A</t>
        </is>
      </c>
      <c r="D3479" s="6">
        <f>IF(F3479&gt;=5, F3479-5, IF(F3479&lt;5, 0, F3479))</f>
        <v/>
      </c>
      <c r="E3479">
        <f>VLOOKUP(B3479,[1]Namshi!$A:$B,2,0)</f>
        <v/>
      </c>
      <c r="F3479" s="4">
        <f>SUMIFS('Dubai Stock'!I:I,'Dubai Stock'!H:H,Final_UAE!B:B)</f>
        <v/>
      </c>
      <c r="H3479" s="8" t="e">
        <v>#N/A</v>
      </c>
    </row>
    <row r="3480">
      <c r="A3480" s="4" t="n">
        <v>33834</v>
      </c>
      <c r="B3480" s="4" t="inlineStr">
        <is>
          <t>cost3mo-lay-2022-p02-sage-gray-sn0400</t>
        </is>
      </c>
      <c r="C3480" s="4" t="inlineStr">
        <is>
          <t>W00031886A</t>
        </is>
      </c>
      <c r="D3480" s="6">
        <f>IF(F3480&gt;=5, F3480-5, IF(F3480&lt;5, 0, F3480))</f>
        <v/>
      </c>
      <c r="E3480">
        <f>VLOOKUP(B3480,[1]Namshi!$A:$B,2,0)</f>
        <v/>
      </c>
      <c r="F3480" s="4">
        <f>SUMIFS('Dubai Stock'!I:I,'Dubai Stock'!H:H,Final_UAE!B:B)</f>
        <v/>
      </c>
      <c r="H3480" s="8" t="e">
        <v>#N/A</v>
      </c>
      <c r="I3480" s="8" t="n"/>
    </row>
    <row r="3481">
      <c r="A3481" s="4" t="n">
        <v>33834</v>
      </c>
      <c r="B3481" s="4" t="inlineStr">
        <is>
          <t>fw32418-spc-000676-2418-52</t>
        </is>
      </c>
      <c r="C3481" s="4" t="inlineStr">
        <is>
          <t>W00031886A</t>
        </is>
      </c>
      <c r="D3481" s="6">
        <f>IF(F3481&gt;=5, F3481-5, IF(F3481&lt;5, 0, F3481))</f>
        <v/>
      </c>
      <c r="E3481">
        <f>VLOOKUP(B3481,[1]Namshi!$A:$B,2,0)</f>
        <v/>
      </c>
      <c r="F3481" s="4">
        <f>SUMIFS('Dubai Stock'!I:I,'Dubai Stock'!H:H,Final_UAE!B:B)</f>
        <v/>
      </c>
      <c r="H3481" s="8" t="e">
        <v>#N/A</v>
      </c>
      <c r="I3481" s="8" t="n"/>
    </row>
    <row r="3482">
      <c r="A3482" s="4" t="n">
        <v>33834</v>
      </c>
      <c r="B3482" s="4" t="inlineStr">
        <is>
          <t>clstbiw-acu-0002-p12-sn0100</t>
        </is>
      </c>
      <c r="C3482" s="4" t="inlineStr">
        <is>
          <t>W00031886A</t>
        </is>
      </c>
      <c r="D3482" s="6">
        <f>IF(F3482&gt;=5, F3482-5, IF(F3482&lt;5, 0, F3482))</f>
        <v/>
      </c>
      <c r="E3482">
        <f>VLOOKUP(B3482,[1]Namshi!$A:$B,2,0)</f>
        <v/>
      </c>
      <c r="F3482" s="4">
        <f>SUMIFS('Dubai Stock'!I:I,'Dubai Stock'!H:H,Final_UAE!B:B)</f>
        <v/>
      </c>
      <c r="H3482" s="8" t="e">
        <v>#N/A</v>
      </c>
      <c r="I3482" s="8" t="n"/>
    </row>
    <row r="3483">
      <c r="A3483" s="4" t="n">
        <v>33834</v>
      </c>
      <c r="B3483" s="4" t="inlineStr">
        <is>
          <t>clstdai-acu-dfna-p60-sn0550</t>
        </is>
      </c>
      <c r="C3483" s="4" t="inlineStr">
        <is>
          <t>W00031886A</t>
        </is>
      </c>
      <c r="D3483" s="6">
        <f>IF(F3483&gt;=5, F3483-5, IF(F3483&lt;5, 0, F3483))</f>
        <v/>
      </c>
      <c r="E3483">
        <f>VLOOKUP(B3483,[1]Namshi!$A:$B,2,0)</f>
        <v/>
      </c>
      <c r="F3483" s="4">
        <f>SUMIFS('Dubai Stock'!I:I,'Dubai Stock'!H:H,Final_UAE!B:B)</f>
        <v/>
      </c>
      <c r="H3483" s="8" t="e">
        <v>#N/A</v>
      </c>
      <c r="I3483" s="8" t="n"/>
    </row>
    <row r="3484">
      <c r="A3484" s="4" t="n">
        <v>33834</v>
      </c>
      <c r="B3484" s="4" t="inlineStr">
        <is>
          <t>cost3mo-lay-2023-p02-selene-green-sn0300</t>
        </is>
      </c>
      <c r="C3484" s="4" t="inlineStr">
        <is>
          <t>W00031886A</t>
        </is>
      </c>
      <c r="D3484" s="6">
        <f>IF(F3484&gt;=5, F3484-5, IF(F3484&lt;5, 0, F3484))</f>
        <v/>
      </c>
      <c r="E3484">
        <f>VLOOKUP(B3484,[1]Namshi!$A:$B,2,0)</f>
        <v/>
      </c>
      <c r="F3484" s="4">
        <f>SUMIFS('Dubai Stock'!I:I,'Dubai Stock'!H:H,Final_UAE!B:B)</f>
        <v/>
      </c>
      <c r="H3484" s="8" t="e">
        <v>#N/A</v>
      </c>
      <c r="I3484" s="8" t="n"/>
    </row>
    <row r="3485">
      <c r="A3485" s="4" t="n">
        <v>33834</v>
      </c>
      <c r="B3485" s="4" t="inlineStr">
        <is>
          <t>clstdai-acu-mois-p60-sn0475</t>
        </is>
      </c>
      <c r="C3485" s="4" t="inlineStr">
        <is>
          <t>W00031886A</t>
        </is>
      </c>
      <c r="D3485" s="6">
        <f>IF(F3485&gt;=5, F3485-5, IF(F3485&lt;5, 0, F3485))</f>
        <v/>
      </c>
      <c r="E3485">
        <f>VLOOKUP(B3485,[1]Namshi!$A:$B,2,0)</f>
        <v/>
      </c>
      <c r="F3485" s="4">
        <f>SUMIFS('Dubai Stock'!I:I,'Dubai Stock'!H:H,Final_UAE!B:B)</f>
        <v/>
      </c>
      <c r="H3485" s="8" t="e">
        <v>#N/A</v>
      </c>
      <c r="I3485" s="8" t="n"/>
    </row>
    <row r="3486">
      <c r="A3486" s="4" t="n">
        <v>33834</v>
      </c>
      <c r="B3486" s="4" t="inlineStr">
        <is>
          <t>clstdai-acu-dfna-p30-sn0325</t>
        </is>
      </c>
      <c r="C3486" s="4" t="inlineStr">
        <is>
          <t>W00031886A</t>
        </is>
      </c>
      <c r="D3486" s="6">
        <f>IF(F3486&gt;=5, F3486-5, IF(F3486&lt;5, 0, F3486))</f>
        <v/>
      </c>
      <c r="E3486">
        <f>VLOOKUP(B3486,[1]Namshi!$A:$B,2,0)</f>
        <v/>
      </c>
      <c r="F3486" s="4">
        <f>SUMIFS('Dubai Stock'!I:I,'Dubai Stock'!H:H,Final_UAE!B:B)</f>
        <v/>
      </c>
      <c r="H3486" s="8" t="e">
        <v>#N/A</v>
      </c>
      <c r="I3486" s="8" t="n"/>
    </row>
    <row r="3487">
      <c r="A3487" s="4" t="n">
        <v>33834</v>
      </c>
      <c r="B3487" s="4" t="inlineStr">
        <is>
          <t>clstdai-acu-mois-p60-sn1100</t>
        </is>
      </c>
      <c r="C3487" s="4" t="inlineStr">
        <is>
          <t>W00031886A</t>
        </is>
      </c>
      <c r="D3487" s="6">
        <f>IF(F3487&gt;=5, F3487-5, IF(F3487&lt;5, 0, F3487))</f>
        <v/>
      </c>
      <c r="E3487">
        <f>VLOOKUP(B3487,[1]Namshi!$A:$B,2,0)</f>
        <v/>
      </c>
      <c r="F3487" s="4">
        <f>SUMIFS('Dubai Stock'!I:I,'Dubai Stock'!H:H,Final_UAE!B:B)</f>
        <v/>
      </c>
      <c r="H3487" s="8" t="e">
        <v>#N/A</v>
      </c>
      <c r="I3487" s="8" t="n"/>
    </row>
    <row r="3488">
      <c r="A3488" s="4" t="n">
        <v>33834</v>
      </c>
      <c r="B3488" s="4" t="inlineStr">
        <is>
          <t>clstdai-cti-cla1-p30-sn0450</t>
        </is>
      </c>
      <c r="C3488" s="4" t="inlineStr">
        <is>
          <t>W00031886A</t>
        </is>
      </c>
      <c r="D3488" s="6">
        <f>IF(F3488&gt;=5, F3488-5, IF(F3488&lt;5, 0, F3488))</f>
        <v/>
      </c>
      <c r="E3488">
        <f>VLOOKUP(B3488,[1]Namshi!$A:$B,2,0)</f>
        <v/>
      </c>
      <c r="F3488" s="4">
        <f>SUMIFS('Dubai Stock'!I:I,'Dubai Stock'!H:H,Final_UAE!B:B)</f>
        <v/>
      </c>
      <c r="H3488" s="8" t="e">
        <v>#N/A</v>
      </c>
      <c r="I3488" s="8" t="n"/>
    </row>
    <row r="3489">
      <c r="A3489" s="4" t="n">
        <v>33834</v>
      </c>
      <c r="B3489" s="4" t="inlineStr">
        <is>
          <t>clstdai-acu-mois-p60-sn0175</t>
        </is>
      </c>
      <c r="C3489" s="4" t="inlineStr">
        <is>
          <t>W00031886A</t>
        </is>
      </c>
      <c r="D3489" s="6">
        <f>IF(F3489&gt;=5, F3489-5, IF(F3489&lt;5, 0, F3489))</f>
        <v/>
      </c>
      <c r="E3489">
        <f>VLOOKUP(B3489,[1]Namshi!$A:$B,2,0)</f>
        <v/>
      </c>
      <c r="F3489" s="4">
        <f>SUMIFS('Dubai Stock'!I:I,'Dubai Stock'!H:H,Final_UAE!B:B)</f>
        <v/>
      </c>
      <c r="H3489" s="8" t="e">
        <v>#N/A</v>
      </c>
      <c r="I3489" s="8" t="n"/>
    </row>
    <row r="3490">
      <c r="A3490" s="4" t="n">
        <v>33834</v>
      </c>
      <c r="B3490" s="4" t="inlineStr">
        <is>
          <t>clstmon-sof-sl59-p06-sn0575</t>
        </is>
      </c>
      <c r="C3490" s="4" t="inlineStr">
        <is>
          <t>W00031886A</t>
        </is>
      </c>
      <c r="D3490" s="6">
        <f>IF(F3490&gt;=5, F3490-5, IF(F3490&lt;5, 0, F3490))</f>
        <v/>
      </c>
      <c r="E3490">
        <f>VLOOKUP(B3490,[1]Namshi!$A:$B,2,0)</f>
        <v/>
      </c>
      <c r="F3490" s="4">
        <f>SUMIFS('Dubai Stock'!I:I,'Dubai Stock'!H:H,Final_UAE!B:B)</f>
        <v/>
      </c>
      <c r="H3490" s="8" t="e">
        <v>#N/A</v>
      </c>
      <c r="I3490" s="8" t="n"/>
    </row>
    <row r="3491">
      <c r="A3491" s="4" t="n">
        <v>33834</v>
      </c>
      <c r="B3491" s="4" t="inlineStr">
        <is>
          <t>clstdai-acu-mois-p30-sn1100</t>
        </is>
      </c>
      <c r="C3491" s="4" t="inlineStr">
        <is>
          <t>W00031886A</t>
        </is>
      </c>
      <c r="D3491" s="6">
        <f>IF(F3491&gt;=5, F3491-5, IF(F3491&lt;5, 0, F3491))</f>
        <v/>
      </c>
      <c r="E3491">
        <f>VLOOKUP(B3491,[1]Namshi!$A:$B,2,0)</f>
        <v/>
      </c>
      <c r="F3491" s="4">
        <f>SUMIFS('Dubai Stock'!I:I,'Dubai Stock'!H:H,Final_UAE!B:B)</f>
        <v/>
      </c>
      <c r="H3491" s="8" t="e">
        <v>#N/A</v>
      </c>
      <c r="I3491" s="8" t="n"/>
    </row>
    <row r="3492">
      <c r="A3492" s="4" t="n">
        <v>33834</v>
      </c>
      <c r="B3492" s="4" t="inlineStr">
        <is>
          <t>clstdai-eve-elit-p30-sp0075</t>
        </is>
      </c>
      <c r="C3492" s="4" t="inlineStr">
        <is>
          <t>W00031886A</t>
        </is>
      </c>
      <c r="D3492" s="6">
        <f>IF(F3492&gt;=5, F3492-5, IF(F3492&lt;5, 0, F3492))</f>
        <v/>
      </c>
      <c r="E3492">
        <f>VLOOKUP(B3492,[1]Namshi!$A:$B,2,0)</f>
        <v/>
      </c>
      <c r="F3492" s="4">
        <f>SUMIFS('Dubai Stock'!I:I,'Dubai Stock'!H:H,Final_UAE!B:B)</f>
        <v/>
      </c>
      <c r="H3492" s="8" t="n">
        <v>261</v>
      </c>
      <c r="I3492" s="8" t="n">
        <v>146.3</v>
      </c>
    </row>
    <row r="3493">
      <c r="A3493" s="4" t="n">
        <v>33834</v>
      </c>
      <c r="B3493" s="4" t="inlineStr">
        <is>
          <t>clstdai-cti-cla1-p30-sn0375</t>
        </is>
      </c>
      <c r="C3493" s="4" t="inlineStr">
        <is>
          <t>W00031886A</t>
        </is>
      </c>
      <c r="D3493" s="6">
        <f>IF(F3493&gt;=5, F3493-5, IF(F3493&lt;5, 0, F3493))</f>
        <v/>
      </c>
      <c r="E3493">
        <f>VLOOKUP(B3493,[1]Namshi!$A:$B,2,0)</f>
        <v/>
      </c>
      <c r="F3493" s="4">
        <f>SUMIFS('Dubai Stock'!I:I,'Dubai Stock'!H:H,Final_UAE!B:B)</f>
        <v/>
      </c>
      <c r="H3493" s="8" t="e">
        <v>#N/A</v>
      </c>
      <c r="I3493" s="8" t="n"/>
    </row>
    <row r="3494">
      <c r="A3494" s="4" t="n">
        <v>33834</v>
      </c>
      <c r="B3494" s="4" t="inlineStr">
        <is>
          <t>clstdai-acu-oasy-p90-sp0325</t>
        </is>
      </c>
      <c r="C3494" s="4" t="inlineStr">
        <is>
          <t>W00031886A</t>
        </is>
      </c>
      <c r="D3494" s="6">
        <f>IF(F3494&gt;=5, F3494-5, IF(F3494&lt;5, 0, F3494))</f>
        <v/>
      </c>
      <c r="E3494">
        <f>VLOOKUP(B3494,[1]Namshi!$A:$B,2,0)</f>
        <v/>
      </c>
      <c r="F3494" s="4">
        <f>SUMIFS('Dubai Stock'!I:I,'Dubai Stock'!H:H,Final_UAE!B:B)</f>
        <v/>
      </c>
      <c r="H3494" s="8" t="e">
        <v>#N/A</v>
      </c>
      <c r="I3494" s="8" t="n"/>
    </row>
    <row r="3495">
      <c r="A3495" s="4" t="n">
        <v>33834</v>
      </c>
      <c r="B3495" s="4" t="inlineStr">
        <is>
          <t>clstdai-dai-tot1-p90-sp0125</t>
        </is>
      </c>
      <c r="C3495" s="4" t="inlineStr">
        <is>
          <t>W00031886A</t>
        </is>
      </c>
      <c r="D3495" s="6">
        <f>IF(F3495&gt;=5, F3495-5, IF(F3495&lt;5, 0, F3495))</f>
        <v/>
      </c>
      <c r="E3495">
        <f>VLOOKUP(B3495,[1]Namshi!$A:$B,2,0)</f>
        <v/>
      </c>
      <c r="F3495" s="4">
        <f>SUMIFS('Dubai Stock'!I:I,'Dubai Stock'!H:H,Final_UAE!B:B)</f>
        <v/>
      </c>
      <c r="H3495" s="8" t="e">
        <v>#N/A</v>
      </c>
      <c r="I3495" s="8" t="n"/>
    </row>
    <row r="3496">
      <c r="A3496" s="4" t="n">
        <v>33834</v>
      </c>
      <c r="B3496" s="4" t="inlineStr">
        <is>
          <t>clstdai-acu-dfrb-p60-sn0700</t>
        </is>
      </c>
      <c r="C3496" s="4" t="inlineStr">
        <is>
          <t>W00031886A</t>
        </is>
      </c>
      <c r="D3496" s="6">
        <f>IF(F3496&gt;=5, F3496-5, IF(F3496&lt;5, 0, F3496))</f>
        <v/>
      </c>
      <c r="E3496">
        <f>VLOOKUP(B3496,[1]Namshi!$A:$B,2,0)</f>
        <v/>
      </c>
      <c r="F3496" s="4">
        <f>SUMIFS('Dubai Stock'!I:I,'Dubai Stock'!H:H,Final_UAE!B:B)</f>
        <v/>
      </c>
      <c r="H3496" s="8" t="e">
        <v>#N/A</v>
      </c>
      <c r="I3496" s="8" t="n"/>
    </row>
    <row r="3497">
      <c r="A3497" s="4" t="n">
        <v>33834</v>
      </c>
      <c r="B3497" s="4" t="inlineStr">
        <is>
          <t>cost3mo-lay-lens-p02-platinum-gray-sn0075</t>
        </is>
      </c>
      <c r="C3497" s="4" t="inlineStr">
        <is>
          <t>W00031886A</t>
        </is>
      </c>
      <c r="D3497" s="6">
        <f>IF(F3497&gt;=5, F3497-5, IF(F3497&lt;5, 0, F3497))</f>
        <v/>
      </c>
      <c r="E3497">
        <f>VLOOKUP(B3497,[1]Namshi!$A:$B,2,0)</f>
        <v/>
      </c>
      <c r="F3497" s="4">
        <f>SUMIFS('Dubai Stock'!I:I,'Dubai Stock'!H:H,Final_UAE!B:B)</f>
        <v/>
      </c>
      <c r="H3497" s="8" t="e">
        <v>#N/A</v>
      </c>
      <c r="I3497" s="8" t="n"/>
    </row>
    <row r="3498">
      <c r="A3498" s="4" t="n">
        <v>33834</v>
      </c>
      <c r="B3498" s="4" t="inlineStr">
        <is>
          <t>sw20107-30s-000107-0107-50</t>
        </is>
      </c>
      <c r="C3498" s="4" t="inlineStr">
        <is>
          <t>W00031886A</t>
        </is>
      </c>
      <c r="D3498" s="6">
        <f>IF(F3498&gt;=5, F3498-5, IF(F3498&lt;5, 0, F3498))</f>
        <v/>
      </c>
      <c r="E3498">
        <f>VLOOKUP(B3498,[1]Namshi!$A:$B,2,0)</f>
        <v/>
      </c>
      <c r="F3498" s="4">
        <f>SUMIFS('Dubai Stock'!I:I,'Dubai Stock'!H:H,Final_UAE!B:B)</f>
        <v/>
      </c>
      <c r="H3498" s="8" t="e">
        <v>#N/A</v>
      </c>
    </row>
    <row r="3499">
      <c r="A3499" s="4" t="n">
        <v>33834</v>
      </c>
      <c r="B3499" s="4" t="inlineStr">
        <is>
          <t>sm100107-bla-000379-0107-53</t>
        </is>
      </c>
      <c r="C3499" s="4" t="inlineStr">
        <is>
          <t>W00031886A</t>
        </is>
      </c>
      <c r="D3499" s="6">
        <f>IF(F3499&gt;=5, F3499-5, IF(F3499&lt;5, 0, F3499))</f>
        <v/>
      </c>
      <c r="E3499">
        <f>VLOOKUP(B3499,[1]Namshi!$A:$B,2,0)</f>
        <v/>
      </c>
      <c r="F3499" s="4">
        <f>SUMIFS('Dubai Stock'!I:I,'Dubai Stock'!H:H,Final_UAE!B:B)</f>
        <v/>
      </c>
      <c r="H3499" s="8" t="e">
        <v>#N/A</v>
      </c>
    </row>
    <row r="3500">
      <c r="A3500" s="4" t="n">
        <v>33834</v>
      </c>
      <c r="B3500" s="4" t="inlineStr">
        <is>
          <t>clstdai-dai-tot1-p90-sn0200</t>
        </is>
      </c>
      <c r="C3500" s="4" t="inlineStr">
        <is>
          <t>W00031886A</t>
        </is>
      </c>
      <c r="D3500" s="6">
        <f>IF(F3500&gt;=5, F3500-5, IF(F3500&lt;5, 0, F3500))</f>
        <v/>
      </c>
      <c r="E3500">
        <f>VLOOKUP(B3500,[1]Namshi!$A:$B,2,0)</f>
        <v/>
      </c>
      <c r="F3500" s="4">
        <f>SUMIFS('Dubai Stock'!I:I,'Dubai Stock'!H:H,Final_UAE!B:B)</f>
        <v/>
      </c>
      <c r="H3500" s="8" t="e">
        <v>#N/A</v>
      </c>
      <c r="I3500" s="8" t="n"/>
    </row>
    <row r="3501">
      <c r="A3501" s="4" t="n">
        <v>33834</v>
      </c>
      <c r="B3501" s="4" t="inlineStr">
        <is>
          <t>costdai-acu-dffr-p30-honey-sn0600</t>
        </is>
      </c>
      <c r="C3501" s="4" t="inlineStr">
        <is>
          <t>W00031886A</t>
        </is>
      </c>
      <c r="D3501" s="6">
        <f>IF(F3501&gt;=5, F3501-5, IF(F3501&lt;5, 0, F3501))</f>
        <v/>
      </c>
      <c r="E3501">
        <f>VLOOKUP(B3501,[1]Namshi!$A:$B,2,0)</f>
        <v/>
      </c>
      <c r="F3501" s="4">
        <f>SUMIFS('Dubai Stock'!I:I,'Dubai Stock'!H:H,Final_UAE!B:B)</f>
        <v/>
      </c>
      <c r="H3501" s="8" t="e">
        <v>#N/A</v>
      </c>
      <c r="I3501" s="8" t="n"/>
    </row>
    <row r="3502">
      <c r="A3502" s="4" t="n">
        <v>33834</v>
      </c>
      <c r="B3502" s="4" t="inlineStr">
        <is>
          <t>costmon-ama-2022-p02-cocoa-sn0350</t>
        </is>
      </c>
      <c r="C3502" s="4" t="inlineStr">
        <is>
          <t>W00031886A</t>
        </is>
      </c>
      <c r="D3502" s="6">
        <f>IF(F3502&gt;=5, F3502-5, IF(F3502&lt;5, 0, F3502))</f>
        <v/>
      </c>
      <c r="E3502">
        <f>VLOOKUP(B3502,[1]Namshi!$A:$B,2,0)</f>
        <v/>
      </c>
      <c r="F3502" s="4">
        <f>SUMIFS('Dubai Stock'!I:I,'Dubai Stock'!H:H,Final_UAE!B:B)</f>
        <v/>
      </c>
      <c r="H3502" s="8" t="e">
        <v>#N/A</v>
      </c>
      <c r="I3502" s="8" t="n"/>
    </row>
    <row r="3503">
      <c r="A3503" s="4" t="n">
        <v>33834</v>
      </c>
      <c r="B3503" s="4" t="inlineStr">
        <is>
          <t>costdai-ama-dail-p10-honey-sn0050</t>
        </is>
      </c>
      <c r="C3503" s="4" t="inlineStr">
        <is>
          <t>W00031886A</t>
        </is>
      </c>
      <c r="D3503" s="6">
        <f>IF(F3503&gt;=5, F3503-5, IF(F3503&lt;5, 0, F3503))</f>
        <v/>
      </c>
      <c r="E3503">
        <f>VLOOKUP(B3503,[1]Namshi!$A:$B,2,0)</f>
        <v/>
      </c>
      <c r="F3503" s="4">
        <f>SUMIFS('Dubai Stock'!I:I,'Dubai Stock'!H:H,Final_UAE!B:B)</f>
        <v/>
      </c>
      <c r="H3503" s="8" t="e">
        <v>#N/A</v>
      </c>
      <c r="I3503" s="8" t="n"/>
    </row>
    <row r="3504">
      <c r="A3504" s="4" t="n">
        <v>33834</v>
      </c>
      <c r="B3504" s="4" t="inlineStr">
        <is>
          <t>clstdai-lay-cont-p10-dazzle-brown-sn0025</t>
        </is>
      </c>
      <c r="C3504" s="4" t="inlineStr">
        <is>
          <t>W00031886A</t>
        </is>
      </c>
      <c r="D3504" s="6">
        <f>IF(F3504&gt;=5, F3504-5, IF(F3504&lt;5, 0, F3504))</f>
        <v/>
      </c>
      <c r="E3504">
        <f>VLOOKUP(B3504,[1]Namshi!$A:$B,2,0)</f>
        <v/>
      </c>
      <c r="F3504" s="4">
        <f>SUMIFS('Dubai Stock'!I:I,'Dubai Stock'!H:H,Final_UAE!B:B)</f>
        <v/>
      </c>
      <c r="H3504" s="8" t="e">
        <v>#N/A</v>
      </c>
      <c r="I3504" s="8" t="n"/>
    </row>
    <row r="3505">
      <c r="A3505" s="4" t="n">
        <v>33834</v>
      </c>
      <c r="B3505" s="4" t="inlineStr">
        <is>
          <t>ru40118-spc-00930-0118-46-sp0100</t>
        </is>
      </c>
      <c r="C3505" s="4" t="inlineStr">
        <is>
          <t>W00031886A</t>
        </is>
      </c>
      <c r="D3505" s="6">
        <f>IF(F3505&gt;=5, F3505-5, IF(F3505&lt;5, 0, F3505))</f>
        <v/>
      </c>
      <c r="E3505">
        <f>VLOOKUP(B3505,[1]Namshi!$A:$B,2,0)</f>
        <v/>
      </c>
      <c r="F3505" s="4">
        <f>SUMIFS('Dubai Stock'!I:I,'Dubai Stock'!H:H,Final_UAE!B:B)</f>
        <v/>
      </c>
      <c r="H3505" s="8" t="e">
        <v>#N/A</v>
      </c>
      <c r="I3505" s="8" t="n"/>
    </row>
    <row r="3506">
      <c r="A3506" s="4" t="n">
        <v>33834</v>
      </c>
      <c r="B3506" s="4" t="inlineStr">
        <is>
          <t>sm100404-30s-000284-0304-60</t>
        </is>
      </c>
      <c r="C3506" s="4" t="inlineStr">
        <is>
          <t>W00031886A</t>
        </is>
      </c>
      <c r="D3506" s="6">
        <f>IF(F3506&gt;=5, F3506-5, IF(F3506&lt;5, 0, F3506))</f>
        <v/>
      </c>
      <c r="E3506">
        <f>VLOOKUP(B3506,[1]Namshi!$A:$B,2,0)</f>
        <v/>
      </c>
      <c r="F3506" s="4">
        <f>SUMIFS('Dubai Stock'!I:I,'Dubai Stock'!H:H,Final_UAE!B:B)</f>
        <v/>
      </c>
      <c r="H3506" s="8" t="e">
        <v>#N/A</v>
      </c>
    </row>
    <row r="3507">
      <c r="A3507" s="4" t="n">
        <v>33834</v>
      </c>
      <c r="B3507" s="4" t="inlineStr">
        <is>
          <t>sm40101-30s-000297-0101-54</t>
        </is>
      </c>
      <c r="C3507" s="4" t="inlineStr">
        <is>
          <t>W00031886A</t>
        </is>
      </c>
      <c r="D3507" s="6">
        <f>IF(F3507&gt;=5, F3507-5, IF(F3507&lt;5, 0, F3507))</f>
        <v/>
      </c>
      <c r="E3507">
        <f>VLOOKUP(B3507,[1]Namshi!$A:$B,2,0)</f>
        <v/>
      </c>
      <c r="F3507" s="4">
        <f>SUMIFS('Dubai Stock'!I:I,'Dubai Stock'!H:H,Final_UAE!B:B)</f>
        <v/>
      </c>
      <c r="H3507" s="8" t="e">
        <v>#N/A</v>
      </c>
    </row>
    <row r="3508">
      <c r="A3508" s="4" t="n">
        <v>33834</v>
      </c>
      <c r="B3508" s="4" t="inlineStr">
        <is>
          <t>sm10702-30s-000208-0702-57</t>
        </is>
      </c>
      <c r="C3508" s="4" t="inlineStr">
        <is>
          <t>W00031886A</t>
        </is>
      </c>
      <c r="D3508" s="6">
        <f>IF(F3508&gt;=5, F3508-5, IF(F3508&lt;5, 0, F3508))</f>
        <v/>
      </c>
      <c r="E3508">
        <f>VLOOKUP(B3508,[1]Namshi!$A:$B,2,0)</f>
        <v/>
      </c>
      <c r="F3508" s="4">
        <f>SUMIFS('Dubai Stock'!I:I,'Dubai Stock'!H:H,Final_UAE!B:B)</f>
        <v/>
      </c>
      <c r="H3508" s="8" t="e">
        <v>#N/A</v>
      </c>
    </row>
    <row r="3509">
      <c r="A3509" s="4" t="n">
        <v>33834</v>
      </c>
      <c r="B3509" s="4" t="inlineStr">
        <is>
          <t>sw20707-30s-000226-0707-54</t>
        </is>
      </c>
      <c r="C3509" s="4" t="inlineStr">
        <is>
          <t>W00031886A</t>
        </is>
      </c>
      <c r="D3509" s="6">
        <f>IF(F3509&gt;=5, F3509-5, IF(F3509&lt;5, 0, F3509))</f>
        <v/>
      </c>
      <c r="E3509">
        <f>VLOOKUP(B3509,[1]Namshi!$A:$B,2,0)</f>
        <v/>
      </c>
      <c r="F3509" s="4">
        <f>SUMIFS('Dubai Stock'!I:I,'Dubai Stock'!H:H,Final_UAE!B:B)</f>
        <v/>
      </c>
      <c r="H3509" s="8" t="e">
        <v>#N/A</v>
      </c>
    </row>
    <row r="3510">
      <c r="A3510" s="4" t="n">
        <v>33834</v>
      </c>
      <c r="B3510" s="4" t="inlineStr">
        <is>
          <t>costdai-acu-dffr-p30-honey-sn0350</t>
        </is>
      </c>
      <c r="C3510" s="4" t="inlineStr">
        <is>
          <t>W00031886A</t>
        </is>
      </c>
      <c r="D3510" s="6">
        <f>IF(F3510&gt;=5, F3510-5, IF(F3510&lt;5, 0, F3510))</f>
        <v/>
      </c>
      <c r="E3510">
        <f>VLOOKUP(B3510,[1]Namshi!$A:$B,2,0)</f>
        <v/>
      </c>
      <c r="F3510" s="4">
        <f>SUMIFS('Dubai Stock'!I:I,'Dubai Stock'!H:H,Final_UAE!B:B)</f>
        <v/>
      </c>
      <c r="H3510" s="8" t="e">
        <v>#N/A</v>
      </c>
      <c r="I3510" s="8" t="n"/>
    </row>
    <row r="3511">
      <c r="A3511" s="4" t="n">
        <v>33834</v>
      </c>
      <c r="B3511" s="4" t="inlineStr">
        <is>
          <t>clstdai-lay-cont-p30-dazzle-brown-sn1000</t>
        </is>
      </c>
      <c r="C3511" s="4" t="inlineStr">
        <is>
          <t>W00031886A</t>
        </is>
      </c>
      <c r="D3511" s="6">
        <f>IF(F3511&gt;=5, F3511-5, IF(F3511&lt;5, 0, F3511))</f>
        <v/>
      </c>
      <c r="E3511">
        <f>VLOOKUP(B3511,[1]Namshi!$A:$B,2,0)</f>
        <v/>
      </c>
      <c r="F3511" s="4">
        <f>SUMIFS('Dubai Stock'!I:I,'Dubai Stock'!H:H,Final_UAE!B:B)</f>
        <v/>
      </c>
      <c r="H3511" s="8" t="e">
        <v>#N/A</v>
      </c>
      <c r="I3511" s="8" t="n"/>
    </row>
    <row r="3512">
      <c r="A3512" s="4" t="n">
        <v>33834</v>
      </c>
      <c r="B3512" s="4" t="inlineStr">
        <is>
          <t>fu62418-spc-000571-2400-51</t>
        </is>
      </c>
      <c r="C3512" s="4" t="inlineStr">
        <is>
          <t>W00031886A</t>
        </is>
      </c>
      <c r="D3512" s="6">
        <f>IF(F3512&gt;=5, F3512-5, IF(F3512&lt;5, 0, F3512))</f>
        <v/>
      </c>
      <c r="E3512">
        <f>VLOOKUP(B3512,[1]Namshi!$A:$B,2,0)</f>
        <v/>
      </c>
      <c r="F3512" s="4">
        <f>SUMIFS('Dubai Stock'!I:I,'Dubai Stock'!H:H,Final_UAE!B:B)</f>
        <v/>
      </c>
      <c r="H3512" s="8" t="e">
        <v>#N/A</v>
      </c>
      <c r="I3512" s="8" t="n"/>
    </row>
    <row r="3513">
      <c r="A3513" s="4" t="n">
        <v>33834</v>
      </c>
      <c r="B3513" s="4" t="inlineStr">
        <is>
          <t>clstdai-acu-mois-p120-sn0075</t>
        </is>
      </c>
      <c r="C3513" s="4" t="inlineStr">
        <is>
          <t>W00031886A</t>
        </is>
      </c>
      <c r="D3513" s="6">
        <f>IF(F3513&gt;=5, F3513-5, IF(F3513&lt;5, 0, F3513))</f>
        <v/>
      </c>
      <c r="E3513">
        <f>VLOOKUP(B3513,[1]Namshi!$A:$B,2,0)</f>
        <v/>
      </c>
      <c r="F3513" s="4">
        <f>SUMIFS('Dubai Stock'!I:I,'Dubai Stock'!H:H,Final_UAE!B:B)</f>
        <v/>
      </c>
      <c r="H3513" s="8" t="e">
        <v>#N/A</v>
      </c>
      <c r="I3513" s="8" t="n"/>
    </row>
    <row r="3514">
      <c r="A3514" s="4" t="n">
        <v>33834</v>
      </c>
      <c r="B3514" s="4" t="inlineStr">
        <is>
          <t>sacchan-30s-chain122-svr-isla-silver</t>
        </is>
      </c>
      <c r="C3514" s="4" t="inlineStr">
        <is>
          <t>W00031886A</t>
        </is>
      </c>
      <c r="D3514" s="6">
        <f>IF(F3514&gt;=5, F3514-5, IF(F3514&lt;5, 0, F3514))</f>
        <v/>
      </c>
      <c r="E3514">
        <f>VLOOKUP(B3514,[1]Namshi!$A:$B,2,0)</f>
        <v/>
      </c>
      <c r="F3514" s="4">
        <f>SUMIFS('Dubai Stock'!I:I,'Dubai Stock'!H:H,Final_UAE!B:B)</f>
        <v/>
      </c>
      <c r="H3514" s="8" t="e">
        <v>#N/A</v>
      </c>
      <c r="I3514" s="8" t="n"/>
    </row>
    <row r="3515">
      <c r="A3515" s="4" t="n">
        <v>33834</v>
      </c>
      <c r="B3515" s="4" t="inlineStr">
        <is>
          <t>clstdai-lay-cont-p90-dazzle-black-sn0250</t>
        </is>
      </c>
      <c r="C3515" s="4" t="inlineStr">
        <is>
          <t>W00031886A</t>
        </is>
      </c>
      <c r="D3515" s="6">
        <f>IF(F3515&gt;=5, F3515-5, IF(F3515&lt;5, 0, F3515))</f>
        <v/>
      </c>
      <c r="E3515">
        <f>VLOOKUP(B3515,[1]Namshi!$A:$B,2,0)</f>
        <v/>
      </c>
      <c r="F3515" s="4">
        <f>SUMIFS('Dubai Stock'!I:I,'Dubai Stock'!H:H,Final_UAE!B:B)</f>
        <v/>
      </c>
      <c r="H3515" s="8" t="e">
        <v>#N/A</v>
      </c>
      <c r="I3515" s="8" t="n"/>
    </row>
    <row r="3516">
      <c r="A3516" s="4" t="n">
        <v>33834</v>
      </c>
      <c r="B3516" s="4" t="inlineStr">
        <is>
          <t>clstbiw-acu-0002-p06-sp0150</t>
        </is>
      </c>
      <c r="C3516" s="4" t="inlineStr">
        <is>
          <t>W00031886A</t>
        </is>
      </c>
      <c r="D3516" s="6">
        <f>IF(F3516&gt;=5, F3516-5, IF(F3516&lt;5, 0, F3516))</f>
        <v/>
      </c>
      <c r="E3516">
        <f>VLOOKUP(B3516,[1]Namshi!$A:$B,2,0)</f>
        <v/>
      </c>
      <c r="F3516" s="4">
        <f>SUMIFS('Dubai Stock'!I:I,'Dubai Stock'!H:H,Final_UAE!B:B)</f>
        <v/>
      </c>
      <c r="H3516" s="8" t="e">
        <v>#N/A</v>
      </c>
      <c r="I3516" s="8" t="n"/>
    </row>
    <row r="3517">
      <c r="A3517" s="4" t="n">
        <v>33834</v>
      </c>
      <c r="B3517" s="4" t="inlineStr">
        <is>
          <t>clstdai-acu-dfvi-p30-sn0550</t>
        </is>
      </c>
      <c r="C3517" s="4" t="inlineStr">
        <is>
          <t>W00031886A</t>
        </is>
      </c>
      <c r="D3517" s="6">
        <f>IF(F3517&gt;=5, F3517-5, IF(F3517&lt;5, 0, F3517))</f>
        <v/>
      </c>
      <c r="E3517">
        <f>VLOOKUP(B3517,[1]Namshi!$A:$B,2,0)</f>
        <v/>
      </c>
      <c r="F3517" s="4">
        <f>SUMIFS('Dubai Stock'!I:I,'Dubai Stock'!H:H,Final_UAE!B:B)</f>
        <v/>
      </c>
      <c r="H3517" s="8" t="e">
        <v>#N/A</v>
      </c>
      <c r="I3517" s="8" t="n"/>
    </row>
    <row r="3518">
      <c r="A3518" s="4" t="n">
        <v>33834</v>
      </c>
      <c r="B3518" s="4" t="inlineStr">
        <is>
          <t>costdai-acu-dffr-p30-blue-sn0125</t>
        </is>
      </c>
      <c r="C3518" s="4" t="inlineStr">
        <is>
          <t>W00031886A</t>
        </is>
      </c>
      <c r="D3518" s="6">
        <f>IF(F3518&gt;=5, F3518-5, IF(F3518&lt;5, 0, F3518))</f>
        <v/>
      </c>
      <c r="E3518">
        <f>VLOOKUP(B3518,[1]Namshi!$A:$B,2,0)</f>
        <v/>
      </c>
      <c r="F3518" s="4">
        <f>SUMIFS('Dubai Stock'!I:I,'Dubai Stock'!H:H,Final_UAE!B:B)</f>
        <v/>
      </c>
      <c r="H3518" s="8" t="e">
        <v>#N/A</v>
      </c>
      <c r="I3518" s="8" t="n"/>
    </row>
    <row r="3519">
      <c r="A3519" s="4" t="n">
        <v>33834</v>
      </c>
      <c r="B3519" s="4" t="inlineStr">
        <is>
          <t>cost3mo-lay-lens-p02-ocean-blue-sn0425</t>
        </is>
      </c>
      <c r="C3519" s="4" t="inlineStr">
        <is>
          <t>W00031886A</t>
        </is>
      </c>
      <c r="D3519" s="6">
        <f>IF(F3519&gt;=5, F3519-5, IF(F3519&lt;5, 0, F3519))</f>
        <v/>
      </c>
      <c r="E3519">
        <f>VLOOKUP(B3519,[1]Namshi!$A:$B,2,0)</f>
        <v/>
      </c>
      <c r="F3519" s="4">
        <f>SUMIFS('Dubai Stock'!I:I,'Dubai Stock'!H:H,Final_UAE!B:B)</f>
        <v/>
      </c>
      <c r="H3519" s="8" t="e">
        <v>#N/A</v>
      </c>
      <c r="I3519" s="8" t="n"/>
    </row>
    <row r="3520">
      <c r="A3520" s="4" t="n">
        <v>33834</v>
      </c>
      <c r="B3520" s="4" t="inlineStr">
        <is>
          <t>su61207-bla-000319-1207-54</t>
        </is>
      </c>
      <c r="C3520" s="4" t="inlineStr">
        <is>
          <t>W00031886A</t>
        </is>
      </c>
      <c r="D3520" s="6">
        <f>IF(F3520&gt;=5, F3520-5, IF(F3520&lt;5, 0, F3520))</f>
        <v/>
      </c>
      <c r="E3520">
        <f>VLOOKUP(B3520,[1]Namshi!$A:$B,2,0)</f>
        <v/>
      </c>
      <c r="F3520" s="4">
        <f>SUMIFS('Dubai Stock'!I:I,'Dubai Stock'!H:H,Final_UAE!B:B)</f>
        <v/>
      </c>
      <c r="H3520" s="8" t="e">
        <v>#N/A</v>
      </c>
    </row>
    <row r="3521">
      <c r="A3521" s="4" t="n">
        <v>33834</v>
      </c>
      <c r="B3521" s="4" t="inlineStr">
        <is>
          <t>sm20106-30s-000207-0106p-52</t>
        </is>
      </c>
      <c r="C3521" s="4" t="inlineStr">
        <is>
          <t>W00031886A</t>
        </is>
      </c>
      <c r="D3521" s="6">
        <f>IF(F3521&gt;=5, F3521-5, IF(F3521&lt;5, 0, F3521))</f>
        <v/>
      </c>
      <c r="E3521">
        <f>VLOOKUP(B3521,[1]Namshi!$A:$B,2,0)</f>
        <v/>
      </c>
      <c r="F3521" s="4">
        <f>SUMIFS('Dubai Stock'!I:I,'Dubai Stock'!H:H,Final_UAE!B:B)</f>
        <v/>
      </c>
      <c r="H3521" s="8" t="e">
        <v>#N/A</v>
      </c>
    </row>
    <row r="3522">
      <c r="A3522" s="4" t="n">
        <v>33834</v>
      </c>
      <c r="B3522" s="4" t="inlineStr">
        <is>
          <t>clstdai-lay-cont-p10-dazzle-brown-sn0275</t>
        </is>
      </c>
      <c r="C3522" s="4" t="inlineStr">
        <is>
          <t>W00031886A</t>
        </is>
      </c>
      <c r="D3522" s="6">
        <f>IF(F3522&gt;=5, F3522-5, IF(F3522&lt;5, 0, F3522))</f>
        <v/>
      </c>
      <c r="E3522">
        <f>VLOOKUP(B3522,[1]Namshi!$A:$B,2,0)</f>
        <v/>
      </c>
      <c r="F3522" s="4">
        <f>SUMIFS('Dubai Stock'!I:I,'Dubai Stock'!H:H,Final_UAE!B:B)</f>
        <v/>
      </c>
      <c r="H3522" s="8" t="e">
        <v>#N/A</v>
      </c>
      <c r="I3522" s="8" t="n"/>
    </row>
    <row r="3523">
      <c r="A3523" s="4" t="n">
        <v>33834</v>
      </c>
      <c r="B3523" s="4" t="inlineStr">
        <is>
          <t>sc50907-bab-000526-0907-43</t>
        </is>
      </c>
      <c r="C3523" s="4" t="inlineStr">
        <is>
          <t>W00031886A</t>
        </is>
      </c>
      <c r="D3523" s="6">
        <f>IF(F3523&gt;=5, F3523-5, IF(F3523&lt;5, 0, F3523))</f>
        <v/>
      </c>
      <c r="E3523">
        <f>VLOOKUP(B3523,[1]Namshi!$A:$B,2,0)</f>
        <v/>
      </c>
      <c r="F3523" s="4">
        <f>SUMIFS('Dubai Stock'!I:I,'Dubai Stock'!H:H,Final_UAE!B:B)</f>
        <v/>
      </c>
      <c r="H3523" s="8" t="e">
        <v>#N/A</v>
      </c>
    </row>
    <row r="3524">
      <c r="A3524" s="4" t="n">
        <v>33834</v>
      </c>
      <c r="B3524" s="4" t="inlineStr">
        <is>
          <t>clstdai-eve-elit-p90-sp0150</t>
        </is>
      </c>
      <c r="C3524" s="4" t="inlineStr">
        <is>
          <t>W00031886A</t>
        </is>
      </c>
      <c r="D3524" s="6">
        <f>IF(F3524&gt;=5, F3524-5, IF(F3524&lt;5, 0, F3524))</f>
        <v/>
      </c>
      <c r="E3524">
        <f>VLOOKUP(B3524,[1]Namshi!$A:$B,2,0)</f>
        <v/>
      </c>
      <c r="F3524" s="4">
        <f>SUMIFS('Dubai Stock'!I:I,'Dubai Stock'!H:H,Final_UAE!B:B)</f>
        <v/>
      </c>
      <c r="H3524" s="8" t="n">
        <v>729</v>
      </c>
      <c r="I3524" s="8" t="n">
        <v>357</v>
      </c>
    </row>
    <row r="3525">
      <c r="A3525" s="4" t="n">
        <v>33834</v>
      </c>
      <c r="B3525" s="4" t="inlineStr">
        <is>
          <t>costmon-ama-lens-p02-mocca-sn0500</t>
        </is>
      </c>
      <c r="C3525" s="4" t="inlineStr">
        <is>
          <t>W00031886A</t>
        </is>
      </c>
      <c r="D3525" s="6">
        <f>IF(F3525&gt;=5, F3525-5, IF(F3525&lt;5, 0, F3525))</f>
        <v/>
      </c>
      <c r="E3525">
        <f>VLOOKUP(B3525,[1]Namshi!$A:$B,2,0)</f>
        <v/>
      </c>
      <c r="F3525" s="4">
        <f>SUMIFS('Dubai Stock'!I:I,'Dubai Stock'!H:H,Final_UAE!B:B)</f>
        <v/>
      </c>
      <c r="H3525" s="8" t="e">
        <v>#N/A</v>
      </c>
      <c r="I3525" s="8" t="n"/>
    </row>
    <row r="3526">
      <c r="A3526" s="4" t="n">
        <v>33834</v>
      </c>
      <c r="B3526" s="4" t="inlineStr">
        <is>
          <t>cltodai-acu-mois-p30-sn0325-cn0075-a060</t>
        </is>
      </c>
      <c r="C3526" s="4" t="inlineStr">
        <is>
          <t>W00031886A</t>
        </is>
      </c>
      <c r="D3526" s="6">
        <f>IF(F3526&gt;=5, F3526-5, IF(F3526&lt;5, 0, F3526))</f>
        <v/>
      </c>
      <c r="E3526">
        <f>VLOOKUP(B3526,[1]Namshi!$A:$B,2,0)</f>
        <v/>
      </c>
      <c r="F3526" s="4">
        <f>SUMIFS('Dubai Stock'!I:I,'Dubai Stock'!H:H,Final_UAE!B:B)</f>
        <v/>
      </c>
      <c r="H3526" s="8" t="e">
        <v>#N/A</v>
      </c>
      <c r="I3526" s="8" t="n"/>
    </row>
    <row r="3527">
      <c r="A3527" s="4" t="n">
        <v>33834</v>
      </c>
      <c r="B3527" s="4" t="inlineStr">
        <is>
          <t>sw22904-30s-000226-2904-54</t>
        </is>
      </c>
      <c r="C3527" s="4" t="inlineStr">
        <is>
          <t>W00031886A</t>
        </is>
      </c>
      <c r="D3527" s="6">
        <f>IF(F3527&gt;=5, F3527-5, IF(F3527&lt;5, 0, F3527))</f>
        <v/>
      </c>
      <c r="E3527">
        <f>VLOOKUP(B3527,[1]Namshi!$A:$B,2,0)</f>
        <v/>
      </c>
      <c r="F3527" s="4">
        <f>SUMIFS('Dubai Stock'!I:I,'Dubai Stock'!H:H,Final_UAE!B:B)</f>
        <v/>
      </c>
      <c r="H3527" s="8" t="e">
        <v>#N/A</v>
      </c>
    </row>
    <row r="3528">
      <c r="A3528" s="4" t="n">
        <v>33834</v>
      </c>
      <c r="B3528" s="4" t="inlineStr">
        <is>
          <t>costdai-acu-dffr-p30-rose-sn0600</t>
        </is>
      </c>
      <c r="C3528" s="4" t="inlineStr">
        <is>
          <t>W00031886A</t>
        </is>
      </c>
      <c r="D3528" s="6">
        <f>IF(F3528&gt;=5, F3528-5, IF(F3528&lt;5, 0, F3528))</f>
        <v/>
      </c>
      <c r="E3528">
        <f>VLOOKUP(B3528,[1]Namshi!$A:$B,2,0)</f>
        <v/>
      </c>
      <c r="F3528" s="4">
        <f>SUMIFS('Dubai Stock'!I:I,'Dubai Stock'!H:H,Final_UAE!B:B)</f>
        <v/>
      </c>
      <c r="H3528" s="8" t="e">
        <v>#N/A</v>
      </c>
      <c r="I3528" s="8" t="n"/>
    </row>
    <row r="3529">
      <c r="A3529" s="4" t="n">
        <v>33834</v>
      </c>
      <c r="B3529" s="4" t="inlineStr">
        <is>
          <t>clstdai-acu-mois-p30-sp0325</t>
        </is>
      </c>
      <c r="C3529" s="4" t="inlineStr">
        <is>
          <t>W00031886A</t>
        </is>
      </c>
      <c r="D3529" s="6">
        <f>IF(F3529&gt;=5, F3529-5, IF(F3529&lt;5, 0, F3529))</f>
        <v/>
      </c>
      <c r="E3529">
        <f>VLOOKUP(B3529,[1]Namshi!$A:$B,2,0)</f>
        <v/>
      </c>
      <c r="F3529" s="4">
        <f>SUMIFS('Dubai Stock'!I:I,'Dubai Stock'!H:H,Final_UAE!B:B)</f>
        <v/>
      </c>
      <c r="H3529" s="8" t="e">
        <v>#N/A</v>
      </c>
      <c r="I3529" s="8" t="n"/>
    </row>
    <row r="3530">
      <c r="A3530" s="4" t="n">
        <v>33834</v>
      </c>
      <c r="B3530" s="4" t="inlineStr">
        <is>
          <t>sc50207-bab-000506-2807-48</t>
        </is>
      </c>
      <c r="C3530" s="4" t="inlineStr">
        <is>
          <t>W00031886A</t>
        </is>
      </c>
      <c r="D3530" s="6">
        <f>IF(F3530&gt;=5, F3530-5, IF(F3530&lt;5, 0, F3530))</f>
        <v/>
      </c>
      <c r="E3530">
        <f>VLOOKUP(B3530,[1]Namshi!$A:$B,2,0)</f>
        <v/>
      </c>
      <c r="F3530" s="4">
        <f>SUMIFS('Dubai Stock'!I:I,'Dubai Stock'!H:H,Final_UAE!B:B)</f>
        <v/>
      </c>
      <c r="H3530" s="8" t="e">
        <v>#N/A</v>
      </c>
    </row>
    <row r="3531">
      <c r="A3531" s="4" t="n">
        <v>33834</v>
      </c>
      <c r="B3531" s="4" t="inlineStr">
        <is>
          <t>clstdai-lay-cont-p10-dazzle-black-sn0100</t>
        </is>
      </c>
      <c r="C3531" s="4" t="inlineStr">
        <is>
          <t>W00031886A</t>
        </is>
      </c>
      <c r="D3531" s="6">
        <f>IF(F3531&gt;=5, F3531-5, IF(F3531&lt;5, 0, F3531))</f>
        <v/>
      </c>
      <c r="E3531">
        <f>VLOOKUP(B3531,[1]Namshi!$A:$B,2,0)</f>
        <v/>
      </c>
      <c r="F3531" s="4">
        <f>SUMIFS('Dubai Stock'!I:I,'Dubai Stock'!H:H,Final_UAE!B:B)</f>
        <v/>
      </c>
      <c r="H3531" s="8" t="e">
        <v>#N/A</v>
      </c>
      <c r="I3531" s="8" t="n"/>
    </row>
    <row r="3532">
      <c r="A3532" s="4" t="n">
        <v>33834</v>
      </c>
      <c r="B3532" s="4" t="inlineStr">
        <is>
          <t>costmon-ama-2024-p02-barbie-brown-sn0175</t>
        </is>
      </c>
      <c r="C3532" s="4" t="inlineStr">
        <is>
          <t>W00031886A</t>
        </is>
      </c>
      <c r="D3532" s="6">
        <f>IF(F3532&gt;=5, F3532-5, IF(F3532&lt;5, 0, F3532))</f>
        <v/>
      </c>
      <c r="E3532">
        <f>VLOOKUP(B3532,[1]Namshi!$A:$B,2,0)</f>
        <v/>
      </c>
      <c r="F3532" s="4">
        <f>SUMIFS('Dubai Stock'!I:I,'Dubai Stock'!H:H,Final_UAE!B:B)</f>
        <v/>
      </c>
      <c r="H3532" s="8" t="e">
        <v>#N/A</v>
      </c>
      <c r="I3532" s="8" t="n"/>
    </row>
    <row r="3533">
      <c r="A3533" s="4" t="n">
        <v>33834</v>
      </c>
      <c r="B3533" s="4" t="inlineStr">
        <is>
          <t>clstbiw-acu-0002-p06-sp0750</t>
        </is>
      </c>
      <c r="C3533" s="4" t="inlineStr">
        <is>
          <t>W00031886A</t>
        </is>
      </c>
      <c r="D3533" s="6">
        <f>IF(F3533&gt;=5, F3533-5, IF(F3533&lt;5, 0, F3533))</f>
        <v/>
      </c>
      <c r="E3533">
        <f>VLOOKUP(B3533,[1]Namshi!$A:$B,2,0)</f>
        <v/>
      </c>
      <c r="F3533" s="4">
        <f>SUMIFS('Dubai Stock'!I:I,'Dubai Stock'!H:H,Final_UAE!B:B)</f>
        <v/>
      </c>
      <c r="H3533" s="8" t="e">
        <v>#N/A</v>
      </c>
      <c r="I3533" s="8" t="n"/>
    </row>
    <row r="3534">
      <c r="A3534" s="4" t="n">
        <v>33834</v>
      </c>
      <c r="B3534" s="4" t="inlineStr">
        <is>
          <t>bc20118-bab-000502-0118-50</t>
        </is>
      </c>
      <c r="C3534" s="4" t="inlineStr">
        <is>
          <t>W00031886A</t>
        </is>
      </c>
      <c r="D3534" s="6">
        <f>IF(F3534&gt;=5, F3534-5, IF(F3534&lt;5, 0, F3534))</f>
        <v/>
      </c>
      <c r="E3534">
        <f>VLOOKUP(B3534,[1]Namshi!$A:$B,2,0)</f>
        <v/>
      </c>
      <c r="F3534" s="4">
        <f>SUMIFS('Dubai Stock'!I:I,'Dubai Stock'!H:H,Final_UAE!B:B)</f>
        <v/>
      </c>
      <c r="H3534" s="8" t="e">
        <v>#N/A</v>
      </c>
    </row>
    <row r="3535">
      <c r="A3535" s="4" t="n">
        <v>33834</v>
      </c>
      <c r="B3535" s="4" t="inlineStr">
        <is>
          <t>clstdai-bme-1day-p30-sn0800</t>
        </is>
      </c>
      <c r="C3535" s="4" t="inlineStr">
        <is>
          <t>W00031886A</t>
        </is>
      </c>
      <c r="D3535" s="6">
        <f>IF(F3535&gt;=5, F3535-5, IF(F3535&lt;5, 0, F3535))</f>
        <v/>
      </c>
      <c r="E3535">
        <f>VLOOKUP(B3535,[1]Namshi!$A:$B,2,0)</f>
        <v/>
      </c>
      <c r="F3535" s="4">
        <f>SUMIFS('Dubai Stock'!I:I,'Dubai Stock'!H:H,Final_UAE!B:B)</f>
        <v/>
      </c>
      <c r="H3535" s="8" t="e">
        <v>#N/A</v>
      </c>
      <c r="I3535" s="8" t="n"/>
    </row>
    <row r="3536">
      <c r="A3536" s="4" t="n">
        <v>33834</v>
      </c>
      <c r="B3536" s="4" t="inlineStr">
        <is>
          <t>clstdai-dai-aqua-p30-sn0275</t>
        </is>
      </c>
      <c r="C3536" s="4" t="inlineStr">
        <is>
          <t>W00031886A</t>
        </is>
      </c>
      <c r="D3536" s="6">
        <f>IF(F3536&gt;=5, F3536-5, IF(F3536&lt;5, 0, F3536))</f>
        <v/>
      </c>
      <c r="E3536">
        <f>VLOOKUP(B3536,[1]Namshi!$A:$B,2,0)</f>
        <v/>
      </c>
      <c r="F3536" s="4">
        <f>SUMIFS('Dubai Stock'!I:I,'Dubai Stock'!H:H,Final_UAE!B:B)</f>
        <v/>
      </c>
      <c r="H3536" s="8" t="e">
        <v>#N/A</v>
      </c>
      <c r="I3536" s="8" t="n"/>
    </row>
    <row r="3537">
      <c r="A3537" s="4" t="n">
        <v>33834</v>
      </c>
      <c r="B3537" s="4" t="inlineStr">
        <is>
          <t>sc50904-bab-000504-0904-51</t>
        </is>
      </c>
      <c r="C3537" s="4" t="inlineStr">
        <is>
          <t>W00031886A</t>
        </is>
      </c>
      <c r="D3537" s="6">
        <f>IF(F3537&gt;=5, F3537-5, IF(F3537&lt;5, 0, F3537))</f>
        <v/>
      </c>
      <c r="E3537">
        <f>VLOOKUP(B3537,[1]Namshi!$A:$B,2,0)</f>
        <v/>
      </c>
      <c r="F3537" s="4">
        <f>SUMIFS('Dubai Stock'!I:I,'Dubai Stock'!H:H,Final_UAE!B:B)</f>
        <v/>
      </c>
      <c r="H3537" s="8" t="e">
        <v>#N/A</v>
      </c>
    </row>
    <row r="3538">
      <c r="A3538" s="4" t="n">
        <v>33834</v>
      </c>
      <c r="B3538" s="4" t="inlineStr">
        <is>
          <t>clstdai-eve-pure-p30-sn0300</t>
        </is>
      </c>
      <c r="C3538" s="4" t="inlineStr">
        <is>
          <t>W00031886A</t>
        </is>
      </c>
      <c r="D3538" s="6">
        <f>IF(F3538&gt;=5, F3538-5, IF(F3538&lt;5, 0, F3538))</f>
        <v/>
      </c>
      <c r="E3538">
        <f>VLOOKUP(B3538,[1]Namshi!$A:$B,2,0)</f>
        <v/>
      </c>
      <c r="F3538" s="4">
        <f>SUMIFS('Dubai Stock'!I:I,'Dubai Stock'!H:H,Final_UAE!B:B)</f>
        <v/>
      </c>
      <c r="H3538" s="8" t="n">
        <v>186</v>
      </c>
      <c r="I3538" s="8" t="n">
        <v>104.3</v>
      </c>
    </row>
    <row r="3539">
      <c r="A3539" s="4" t="n">
        <v>33834</v>
      </c>
      <c r="B3539" s="4" t="inlineStr">
        <is>
          <t>sw100107-bla-000280-0107-56</t>
        </is>
      </c>
      <c r="C3539" s="4" t="inlineStr">
        <is>
          <t>W00031886A</t>
        </is>
      </c>
      <c r="D3539" s="6">
        <f>IF(F3539&gt;=5, F3539-5, IF(F3539&lt;5, 0, F3539))</f>
        <v/>
      </c>
      <c r="E3539">
        <f>VLOOKUP(B3539,[1]Namshi!$A:$B,2,0)</f>
        <v/>
      </c>
      <c r="F3539" s="4">
        <f>SUMIFS('Dubai Stock'!I:I,'Dubai Stock'!H:H,Final_UAE!B:B)</f>
        <v/>
      </c>
      <c r="H3539" s="8" t="e">
        <v>#N/A</v>
      </c>
      <c r="I3539" s="8" t="n"/>
    </row>
    <row r="3540">
      <c r="A3540" s="4" t="n">
        <v>33834</v>
      </c>
      <c r="B3540" s="4" t="inlineStr">
        <is>
          <t>sw50504-30s-000244-2904-57</t>
        </is>
      </c>
      <c r="C3540" s="4" t="inlineStr">
        <is>
          <t>W00031886A</t>
        </is>
      </c>
      <c r="D3540" s="6">
        <f>IF(F3540&gt;=5, F3540-5, IF(F3540&lt;5, 0, F3540))</f>
        <v/>
      </c>
      <c r="E3540">
        <f>VLOOKUP(B3540,[1]Namshi!$A:$B,2,0)</f>
        <v/>
      </c>
      <c r="F3540" s="4">
        <f>SUMIFS('Dubai Stock'!I:I,'Dubai Stock'!H:H,Final_UAE!B:B)</f>
        <v/>
      </c>
      <c r="H3540" s="8" t="e">
        <v>#N/A</v>
      </c>
    </row>
    <row r="3541">
      <c r="A3541" s="4" t="n">
        <v>33834</v>
      </c>
      <c r="B3541" s="4" t="inlineStr">
        <is>
          <t>fw31518-spc-000817-1518-54</t>
        </is>
      </c>
      <c r="C3541" s="4" t="inlineStr">
        <is>
          <t>W00031886A</t>
        </is>
      </c>
      <c r="D3541" s="6">
        <f>IF(F3541&gt;=5, F3541-5, IF(F3541&lt;5, 0, F3541))</f>
        <v/>
      </c>
      <c r="E3541">
        <f>VLOOKUP(B3541,[1]Namshi!$A:$B,2,0)</f>
        <v/>
      </c>
      <c r="F3541" s="4">
        <f>SUMIFS('Dubai Stock'!I:I,'Dubai Stock'!H:H,Final_UAE!B:B)</f>
        <v/>
      </c>
      <c r="H3541" s="8" t="e">
        <v>#N/A</v>
      </c>
      <c r="I3541" s="8" t="n"/>
    </row>
    <row r="3542">
      <c r="A3542" s="4" t="n">
        <v>33834</v>
      </c>
      <c r="B3542" s="4" t="inlineStr">
        <is>
          <t>cost3mo-lay-2023-p02-sable-brown-sn0175</t>
        </is>
      </c>
      <c r="C3542" s="4" t="inlineStr">
        <is>
          <t>W00031886A</t>
        </is>
      </c>
      <c r="D3542" s="6">
        <f>IF(F3542&gt;=5, F3542-5, IF(F3542&lt;5, 0, F3542))</f>
        <v/>
      </c>
      <c r="E3542">
        <f>VLOOKUP(B3542,[1]Namshi!$A:$B,2,0)</f>
        <v/>
      </c>
      <c r="F3542" s="4">
        <f>SUMIFS('Dubai Stock'!I:I,'Dubai Stock'!H:H,Final_UAE!B:B)</f>
        <v/>
      </c>
      <c r="H3542" s="8" t="e">
        <v>#N/A</v>
      </c>
      <c r="I3542" s="8" t="n"/>
    </row>
    <row r="3543">
      <c r="A3543" s="4" t="n">
        <v>33834</v>
      </c>
      <c r="B3543" s="4" t="inlineStr">
        <is>
          <t>sacchan-30s-myra-rose-gold</t>
        </is>
      </c>
      <c r="C3543" s="4" t="inlineStr">
        <is>
          <t>W00031886A</t>
        </is>
      </c>
      <c r="D3543" s="6">
        <f>IF(F3543&gt;=5, F3543-5, IF(F3543&lt;5, 0, F3543))</f>
        <v/>
      </c>
      <c r="E3543">
        <f>VLOOKUP(B3543,[1]Namshi!$A:$B,2,0)</f>
        <v/>
      </c>
      <c r="F3543" s="4">
        <f>SUMIFS('Dubai Stock'!I:I,'Dubai Stock'!H:H,Final_UAE!B:B)</f>
        <v/>
      </c>
      <c r="H3543" s="8" t="e">
        <v>#N/A</v>
      </c>
      <c r="I3543" s="8" t="n"/>
    </row>
    <row r="3544">
      <c r="A3544" s="4" t="n">
        <v>33834</v>
      </c>
      <c r="B3544" s="4" t="inlineStr">
        <is>
          <t>fw50418-spc-000704-0418-50</t>
        </is>
      </c>
      <c r="C3544" s="4" t="inlineStr">
        <is>
          <t>W00031886A</t>
        </is>
      </c>
      <c r="D3544" s="6">
        <f>IF(F3544&gt;=5, F3544-5, IF(F3544&lt;5, 0, F3544))</f>
        <v/>
      </c>
      <c r="E3544">
        <f>VLOOKUP(B3544,[1]Namshi!$A:$B,2,0)</f>
        <v/>
      </c>
      <c r="F3544" s="4">
        <f>SUMIFS('Dubai Stock'!I:I,'Dubai Stock'!H:H,Final_UAE!B:B)</f>
        <v/>
      </c>
      <c r="H3544" s="8" t="e">
        <v>#N/A</v>
      </c>
      <c r="I3544" s="8" t="n"/>
    </row>
    <row r="3545">
      <c r="A3545" s="4" t="n">
        <v>33834</v>
      </c>
      <c r="B3545" s="4" t="inlineStr">
        <is>
          <t>clstdai-acu-dfrb-p90-sn0400</t>
        </is>
      </c>
      <c r="C3545" s="4" t="inlineStr">
        <is>
          <t>W00031886A</t>
        </is>
      </c>
      <c r="D3545" s="6">
        <f>IF(F3545&gt;=5, F3545-5, IF(F3545&lt;5, 0, F3545))</f>
        <v/>
      </c>
      <c r="E3545">
        <f>VLOOKUP(B3545,[1]Namshi!$A:$B,2,0)</f>
        <v/>
      </c>
      <c r="F3545" s="4">
        <f>SUMIFS('Dubai Stock'!I:I,'Dubai Stock'!H:H,Final_UAE!B:B)</f>
        <v/>
      </c>
      <c r="H3545" s="8" t="e">
        <v>#N/A</v>
      </c>
      <c r="I3545" s="8" t="n"/>
    </row>
    <row r="3546">
      <c r="A3546" s="4" t="n">
        <v>33834</v>
      </c>
      <c r="B3546" s="4" t="inlineStr">
        <is>
          <t>fu72918-spc-000506-2900-50</t>
        </is>
      </c>
      <c r="C3546" s="4" t="inlineStr">
        <is>
          <t>W00031886A</t>
        </is>
      </c>
      <c r="D3546" s="6">
        <f>IF(F3546&gt;=5, F3546-5, IF(F3546&lt;5, 0, F3546))</f>
        <v/>
      </c>
      <c r="E3546">
        <f>VLOOKUP(B3546,[1]Namshi!$A:$B,2,0)</f>
        <v/>
      </c>
      <c r="F3546" s="4">
        <f>SUMIFS('Dubai Stock'!I:I,'Dubai Stock'!H:H,Final_UAE!B:B)</f>
        <v/>
      </c>
      <c r="H3546" s="8" t="e">
        <v>#N/A</v>
      </c>
      <c r="I3546" s="8" t="n"/>
    </row>
    <row r="3547">
      <c r="A3547" s="4" t="n">
        <v>33834</v>
      </c>
      <c r="B3547" s="4" t="inlineStr">
        <is>
          <t>clstdai-eve-elit-p30-sp0425</t>
        </is>
      </c>
      <c r="C3547" s="4" t="inlineStr">
        <is>
          <t>W00031886A</t>
        </is>
      </c>
      <c r="D3547" s="6">
        <f>IF(F3547&gt;=5, F3547-5, IF(F3547&lt;5, 0, F3547))</f>
        <v/>
      </c>
      <c r="E3547">
        <f>VLOOKUP(B3547,[1]Namshi!$A:$B,2,0)</f>
        <v/>
      </c>
      <c r="F3547" s="4">
        <f>SUMIFS('Dubai Stock'!I:I,'Dubai Stock'!H:H,Final_UAE!B:B)</f>
        <v/>
      </c>
      <c r="H3547" s="8" t="n">
        <v>261</v>
      </c>
      <c r="I3547" s="8" t="n">
        <v>146.3</v>
      </c>
    </row>
    <row r="3548">
      <c r="A3548" s="4" t="n">
        <v>33834</v>
      </c>
      <c r="B3548" s="4" t="inlineStr">
        <is>
          <t>sc52006-bab-000506-2006-48</t>
        </is>
      </c>
      <c r="C3548" s="4" t="inlineStr">
        <is>
          <t>W00031886A</t>
        </is>
      </c>
      <c r="D3548" s="6">
        <f>IF(F3548&gt;=5, F3548-5, IF(F3548&lt;5, 0, F3548))</f>
        <v/>
      </c>
      <c r="E3548">
        <f>VLOOKUP(B3548,[1]Namshi!$A:$B,2,0)</f>
        <v/>
      </c>
      <c r="F3548" s="4">
        <f>SUMIFS('Dubai Stock'!I:I,'Dubai Stock'!H:H,Final_UAE!B:B)</f>
        <v/>
      </c>
      <c r="H3548" s="8" t="e">
        <v>#N/A</v>
      </c>
    </row>
    <row r="3549">
      <c r="A3549" s="4" t="n">
        <v>33834</v>
      </c>
      <c r="B3549" s="4" t="inlineStr">
        <is>
          <t>clstdai-eve-elit-p30-sn0050</t>
        </is>
      </c>
      <c r="C3549" s="4" t="inlineStr">
        <is>
          <t>W00031886A</t>
        </is>
      </c>
      <c r="D3549" s="6">
        <f>IF(F3549&gt;=5, F3549-5, IF(F3549&lt;5, 0, F3549))</f>
        <v/>
      </c>
      <c r="E3549">
        <f>VLOOKUP(B3549,[1]Namshi!$A:$B,2,0)</f>
        <v/>
      </c>
      <c r="F3549" s="4">
        <f>SUMIFS('Dubai Stock'!I:I,'Dubai Stock'!H:H,Final_UAE!B:B)</f>
        <v/>
      </c>
      <c r="H3549" s="8" t="n">
        <v>261</v>
      </c>
      <c r="I3549" s="8" t="n">
        <v>146.3</v>
      </c>
    </row>
    <row r="3550">
      <c r="A3550" s="4" t="n">
        <v>33834</v>
      </c>
      <c r="B3550" s="4" t="inlineStr">
        <is>
          <t>clstdai-acu-omax-p90-sp0400</t>
        </is>
      </c>
      <c r="C3550" s="4" t="inlineStr">
        <is>
          <t>W00031886A</t>
        </is>
      </c>
      <c r="D3550" s="6">
        <f>IF(F3550&gt;=5, F3550-5, IF(F3550&lt;5, 0, F3550))</f>
        <v/>
      </c>
      <c r="E3550">
        <f>VLOOKUP(B3550,[1]Namshi!$A:$B,2,0)</f>
        <v/>
      </c>
      <c r="F3550" s="4">
        <f>SUMIFS('Dubai Stock'!I:I,'Dubai Stock'!H:H,Final_UAE!B:B)</f>
        <v/>
      </c>
      <c r="H3550" s="8" t="e">
        <v>#N/A</v>
      </c>
      <c r="I3550" s="8" t="n"/>
    </row>
    <row r="3551">
      <c r="A3551" s="4" t="n">
        <v>33834</v>
      </c>
      <c r="B3551" s="4" t="inlineStr">
        <is>
          <t>clstbiw-acu-oasy-p18-sn0225</t>
        </is>
      </c>
      <c r="C3551" s="4" t="inlineStr">
        <is>
          <t>W00031886A</t>
        </is>
      </c>
      <c r="D3551" s="6">
        <f>IF(F3551&gt;=5, F3551-5, IF(F3551&lt;5, 0, F3551))</f>
        <v/>
      </c>
      <c r="E3551">
        <f>VLOOKUP(B3551,[1]Namshi!$A:$B,2,0)</f>
        <v/>
      </c>
      <c r="F3551" s="4">
        <f>SUMIFS('Dubai Stock'!I:I,'Dubai Stock'!H:H,Final_UAE!B:B)</f>
        <v/>
      </c>
      <c r="H3551" s="8" t="e">
        <v>#N/A</v>
      </c>
      <c r="I3551" s="8" t="n"/>
    </row>
    <row r="3552">
      <c r="A3552" s="4" t="n">
        <v>33834</v>
      </c>
      <c r="B3552" s="4" t="inlineStr">
        <is>
          <t>sm100406-30s-000410-0406-55</t>
        </is>
      </c>
      <c r="C3552" s="4" t="inlineStr">
        <is>
          <t>W00031886A</t>
        </is>
      </c>
      <c r="D3552" s="6">
        <f>IF(F3552&gt;=5, F3552-5, IF(F3552&lt;5, 0, F3552))</f>
        <v/>
      </c>
      <c r="E3552">
        <f>VLOOKUP(B3552,[1]Namshi!$A:$B,2,0)</f>
        <v/>
      </c>
      <c r="F3552" s="4">
        <f>SUMIFS('Dubai Stock'!I:I,'Dubai Stock'!H:H,Final_UAE!B:B)</f>
        <v/>
      </c>
      <c r="H3552" s="8" t="e">
        <v>#N/A</v>
      </c>
      <c r="I3552" s="8" t="n"/>
    </row>
    <row r="3553">
      <c r="A3553" s="4" t="n">
        <v>33834</v>
      </c>
      <c r="B3553" s="4" t="inlineStr">
        <is>
          <t>su10706-bla-000239-0706-59</t>
        </is>
      </c>
      <c r="C3553" s="4" t="inlineStr">
        <is>
          <t>W00031886A</t>
        </is>
      </c>
      <c r="D3553" s="6">
        <f>IF(F3553&gt;=5, F3553-5, IF(F3553&lt;5, 0, F3553))</f>
        <v/>
      </c>
      <c r="E3553">
        <f>VLOOKUP(B3553,[1]Namshi!$A:$B,2,0)</f>
        <v/>
      </c>
      <c r="F3553" s="4">
        <f>SUMIFS('Dubai Stock'!I:I,'Dubai Stock'!H:H,Final_UAE!B:B)</f>
        <v/>
      </c>
      <c r="H3553" s="8" t="e">
        <v>#N/A</v>
      </c>
    </row>
    <row r="3554">
      <c r="A3554" s="4" t="n">
        <v>33834</v>
      </c>
      <c r="B3554" s="4" t="inlineStr">
        <is>
          <t>sw50207-30s-000429-0207-48</t>
        </is>
      </c>
      <c r="C3554" s="4" t="inlineStr">
        <is>
          <t>W00031886A</t>
        </is>
      </c>
      <c r="D3554" s="6">
        <f>IF(F3554&gt;=5, F3554-5, IF(F3554&lt;5, 0, F3554))</f>
        <v/>
      </c>
      <c r="E3554">
        <f>VLOOKUP(B3554,[1]Namshi!$A:$B,2,0)</f>
        <v/>
      </c>
      <c r="F3554" s="4">
        <f>SUMIFS('Dubai Stock'!I:I,'Dubai Stock'!H:H,Final_UAE!B:B)</f>
        <v/>
      </c>
      <c r="H3554" s="8" t="e">
        <v>#N/A</v>
      </c>
    </row>
    <row r="3555">
      <c r="A3555" s="4" t="n">
        <v>33834</v>
      </c>
      <c r="B3555" s="4" t="inlineStr">
        <is>
          <t>cost3mo-lay-2021-p02-skye-blue-sn0450</t>
        </is>
      </c>
      <c r="C3555" s="4" t="inlineStr">
        <is>
          <t>W00031886A</t>
        </is>
      </c>
      <c r="D3555" s="6">
        <f>IF(F3555&gt;=5, F3555-5, IF(F3555&lt;5, 0, F3555))</f>
        <v/>
      </c>
      <c r="E3555">
        <f>VLOOKUP(B3555,[1]Namshi!$A:$B,2,0)</f>
        <v/>
      </c>
      <c r="F3555" s="4">
        <f>SUMIFS('Dubai Stock'!I:I,'Dubai Stock'!H:H,Final_UAE!B:B)</f>
        <v/>
      </c>
      <c r="H3555" s="8" t="e">
        <v>#N/A</v>
      </c>
      <c r="I3555" s="8" t="n"/>
    </row>
    <row r="3556">
      <c r="A3556" s="4" t="n">
        <v>33834</v>
      </c>
      <c r="B3556" s="4" t="inlineStr">
        <is>
          <t>costmon-ama-2022-p02-cocoa-sn0125</t>
        </is>
      </c>
      <c r="C3556" s="4" t="inlineStr">
        <is>
          <t>W00031886A</t>
        </is>
      </c>
      <c r="D3556" s="6">
        <f>IF(F3556&gt;=5, F3556-5, IF(F3556&lt;5, 0, F3556))</f>
        <v/>
      </c>
      <c r="E3556">
        <f>VLOOKUP(B3556,[1]Namshi!$A:$B,2,0)</f>
        <v/>
      </c>
      <c r="F3556" s="4">
        <f>SUMIFS('Dubai Stock'!I:I,'Dubai Stock'!H:H,Final_UAE!B:B)</f>
        <v/>
      </c>
      <c r="H3556" s="8" t="e">
        <v>#N/A</v>
      </c>
      <c r="I3556" s="8" t="n"/>
    </row>
    <row r="3557">
      <c r="A3557" s="4" t="n">
        <v>33834</v>
      </c>
      <c r="B3557" s="4" t="inlineStr">
        <is>
          <t>sw30107-30s-000441-0107-49</t>
        </is>
      </c>
      <c r="C3557" s="4" t="inlineStr">
        <is>
          <t>W00031886A</t>
        </is>
      </c>
      <c r="D3557" s="6">
        <f>IF(F3557&gt;=5, F3557-5, IF(F3557&lt;5, 0, F3557))</f>
        <v/>
      </c>
      <c r="E3557">
        <f>VLOOKUP(B3557,[1]Namshi!$A:$B,2,0)</f>
        <v/>
      </c>
      <c r="F3557" s="4">
        <f>SUMIFS('Dubai Stock'!I:I,'Dubai Stock'!H:H,Final_UAE!B:B)</f>
        <v/>
      </c>
      <c r="H3557" s="8" t="e">
        <v>#N/A</v>
      </c>
    </row>
    <row r="3558">
      <c r="A3558" s="4" t="n">
        <v>33834</v>
      </c>
      <c r="B3558" s="4" t="inlineStr">
        <is>
          <t>sw30107-bla-000273-0107-57</t>
        </is>
      </c>
      <c r="C3558" s="4" t="inlineStr">
        <is>
          <t>W00031886A</t>
        </is>
      </c>
      <c r="D3558" s="6">
        <f>IF(F3558&gt;=5, F3558-5, IF(F3558&lt;5, 0, F3558))</f>
        <v/>
      </c>
      <c r="E3558">
        <f>VLOOKUP(B3558,[1]Namshi!$A:$B,2,0)</f>
        <v/>
      </c>
      <c r="F3558" s="4">
        <f>SUMIFS('Dubai Stock'!I:I,'Dubai Stock'!H:H,Final_UAE!B:B)</f>
        <v/>
      </c>
      <c r="H3558" s="8" t="e">
        <v>#N/A</v>
      </c>
    </row>
    <row r="3559">
      <c r="A3559" s="4" t="n">
        <v>33834</v>
      </c>
      <c r="B3559" s="4" t="inlineStr">
        <is>
          <t>sm10102-bla-000375-0102-57</t>
        </is>
      </c>
      <c r="C3559" s="4" t="inlineStr">
        <is>
          <t>W00031886A</t>
        </is>
      </c>
      <c r="D3559" s="6">
        <f>IF(F3559&gt;=5, F3559-5, IF(F3559&lt;5, 0, F3559))</f>
        <v/>
      </c>
      <c r="E3559">
        <f>VLOOKUP(B3559,[1]Namshi!$A:$B,2,0)</f>
        <v/>
      </c>
      <c r="F3559" s="4">
        <f>SUMIFS('Dubai Stock'!I:I,'Dubai Stock'!H:H,Final_UAE!B:B)</f>
        <v/>
      </c>
      <c r="H3559" s="8" t="e">
        <v>#N/A</v>
      </c>
    </row>
    <row r="3560">
      <c r="A3560" s="4" t="n">
        <v>33834</v>
      </c>
      <c r="B3560" s="4" t="inlineStr">
        <is>
          <t>su101707-30s-000445-1707-51</t>
        </is>
      </c>
      <c r="C3560" s="4" t="inlineStr">
        <is>
          <t>W00031886A</t>
        </is>
      </c>
      <c r="D3560" s="6">
        <f>IF(F3560&gt;=5, F3560-5, IF(F3560&lt;5, 0, F3560))</f>
        <v/>
      </c>
      <c r="E3560">
        <f>VLOOKUP(B3560,[1]Namshi!$A:$B,2,0)</f>
        <v/>
      </c>
      <c r="F3560" s="4">
        <f>SUMIFS('Dubai Stock'!I:I,'Dubai Stock'!H:H,Final_UAE!B:B)</f>
        <v/>
      </c>
      <c r="H3560" s="8" t="e">
        <v>#N/A</v>
      </c>
    </row>
    <row r="3561">
      <c r="A3561" s="4" t="n">
        <v>33834</v>
      </c>
      <c r="B3561" s="4" t="inlineStr">
        <is>
          <t>fw102918-spc-000866-2918-49</t>
        </is>
      </c>
      <c r="C3561" s="4" t="inlineStr">
        <is>
          <t>W00031886A</t>
        </is>
      </c>
      <c r="D3561" s="6">
        <f>IF(F3561&gt;=5, F3561-5, IF(F3561&lt;5, 0, F3561))</f>
        <v/>
      </c>
      <c r="E3561">
        <f>VLOOKUP(B3561,[1]Namshi!$A:$B,2,0)</f>
        <v/>
      </c>
      <c r="F3561" s="4">
        <f>SUMIFS('Dubai Stock'!I:I,'Dubai Stock'!H:H,Final_UAE!B:B)</f>
        <v/>
      </c>
      <c r="H3561" s="8" t="e">
        <v>#N/A</v>
      </c>
      <c r="I3561" s="8" t="n"/>
    </row>
    <row r="3562">
      <c r="A3562" s="4" t="n">
        <v>33834</v>
      </c>
      <c r="B3562" s="4" t="inlineStr">
        <is>
          <t>sc51306-bab-000506-1306-48</t>
        </is>
      </c>
      <c r="C3562" s="4" t="inlineStr">
        <is>
          <t>W00031886A</t>
        </is>
      </c>
      <c r="D3562" s="6">
        <f>IF(F3562&gt;=5, F3562-5, IF(F3562&lt;5, 0, F3562))</f>
        <v/>
      </c>
      <c r="E3562">
        <f>VLOOKUP(B3562,[1]Namshi!$A:$B,2,0)</f>
        <v/>
      </c>
      <c r="F3562" s="4">
        <f>SUMIFS('Dubai Stock'!I:I,'Dubai Stock'!H:H,Final_UAE!B:B)</f>
        <v/>
      </c>
      <c r="H3562" s="8" t="e">
        <v>#N/A</v>
      </c>
    </row>
    <row r="3563">
      <c r="A3563" s="4" t="n">
        <v>33834</v>
      </c>
      <c r="B3563" s="4" t="inlineStr">
        <is>
          <t>cost3mo-lay-lens-p02-cloudy-gray-sn0600</t>
        </is>
      </c>
      <c r="C3563" s="4" t="inlineStr">
        <is>
          <t>W00031886A</t>
        </is>
      </c>
      <c r="D3563" s="6">
        <f>IF(F3563&gt;=5, F3563-5, IF(F3563&lt;5, 0, F3563))</f>
        <v/>
      </c>
      <c r="E3563">
        <f>VLOOKUP(B3563,[1]Namshi!$A:$B,2,0)</f>
        <v/>
      </c>
      <c r="F3563" s="4">
        <f>SUMIFS('Dubai Stock'!I:I,'Dubai Stock'!H:H,Final_UAE!B:B)</f>
        <v/>
      </c>
      <c r="H3563" s="8" t="e">
        <v>#N/A</v>
      </c>
      <c r="I3563" s="8" t="n"/>
    </row>
    <row r="3564">
      <c r="A3564" s="4" t="n">
        <v>33834</v>
      </c>
      <c r="B3564" s="4" t="inlineStr">
        <is>
          <t>clstdai-acu-mois-p60-sn0350</t>
        </is>
      </c>
      <c r="C3564" s="4" t="inlineStr">
        <is>
          <t>W00031886A</t>
        </is>
      </c>
      <c r="D3564" s="6">
        <f>IF(F3564&gt;=5, F3564-5, IF(F3564&lt;5, 0, F3564))</f>
        <v/>
      </c>
      <c r="E3564">
        <f>VLOOKUP(B3564,[1]Namshi!$A:$B,2,0)</f>
        <v/>
      </c>
      <c r="F3564" s="4">
        <f>SUMIFS('Dubai Stock'!I:I,'Dubai Stock'!H:H,Final_UAE!B:B)</f>
        <v/>
      </c>
      <c r="H3564" s="8" t="e">
        <v>#N/A</v>
      </c>
      <c r="I3564" s="8" t="n"/>
    </row>
    <row r="3565">
      <c r="A3565" s="4" t="n">
        <v>33834</v>
      </c>
      <c r="B3565" s="4" t="inlineStr">
        <is>
          <t>sm102906-30s-000444-2906-53</t>
        </is>
      </c>
      <c r="C3565" s="4" t="inlineStr">
        <is>
          <t>W00031886A</t>
        </is>
      </c>
      <c r="D3565" s="6">
        <f>IF(F3565&gt;=5, F3565-5, IF(F3565&lt;5, 0, F3565))</f>
        <v/>
      </c>
      <c r="E3565">
        <f>VLOOKUP(B3565,[1]Namshi!$A:$B,2,0)</f>
        <v/>
      </c>
      <c r="F3565" s="4">
        <f>SUMIFS('Dubai Stock'!I:I,'Dubai Stock'!H:H,Final_UAE!B:B)</f>
        <v/>
      </c>
      <c r="H3565" s="8" t="e">
        <v>#N/A</v>
      </c>
    </row>
    <row r="3566">
      <c r="A3566" s="4" t="n">
        <v>33834</v>
      </c>
      <c r="B3566" s="4" t="inlineStr">
        <is>
          <t>fw22418-spc-000659-2418-49</t>
        </is>
      </c>
      <c r="C3566" s="4" t="inlineStr">
        <is>
          <t>W00031886A</t>
        </is>
      </c>
      <c r="D3566" s="6">
        <f>IF(F3566&gt;=5, F3566-5, IF(F3566&lt;5, 0, F3566))</f>
        <v/>
      </c>
      <c r="E3566">
        <f>VLOOKUP(B3566,[1]Namshi!$A:$B,2,0)</f>
        <v/>
      </c>
      <c r="F3566" s="4">
        <f>SUMIFS('Dubai Stock'!I:I,'Dubai Stock'!H:H,Final_UAE!B:B)</f>
        <v/>
      </c>
      <c r="H3566" s="8" t="e">
        <v>#N/A</v>
      </c>
      <c r="I3566" s="8" t="n"/>
    </row>
    <row r="3567">
      <c r="A3567" s="4" t="n">
        <v>33834</v>
      </c>
      <c r="B3567" s="4" t="inlineStr">
        <is>
          <t>costmon-ama-2022-p02-tiger-eyes-sn0325</t>
        </is>
      </c>
      <c r="C3567" s="4" t="inlineStr">
        <is>
          <t>W00031886A</t>
        </is>
      </c>
      <c r="D3567" s="6">
        <f>IF(F3567&gt;=5, F3567-5, IF(F3567&lt;5, 0, F3567))</f>
        <v/>
      </c>
      <c r="E3567">
        <f>VLOOKUP(B3567,[1]Namshi!$A:$B,2,0)</f>
        <v/>
      </c>
      <c r="F3567" s="4">
        <f>SUMIFS('Dubai Stock'!I:I,'Dubai Stock'!H:H,Final_UAE!B:B)</f>
        <v/>
      </c>
      <c r="H3567" s="8" t="e">
        <v>#N/A</v>
      </c>
      <c r="I3567" s="8" t="n"/>
    </row>
    <row r="3568">
      <c r="A3568" s="4" t="n">
        <v>33834</v>
      </c>
      <c r="B3568" s="4" t="inlineStr">
        <is>
          <t>sw50101-bla-000235-0101-56</t>
        </is>
      </c>
      <c r="C3568" s="4" t="inlineStr">
        <is>
          <t>W00031886A</t>
        </is>
      </c>
      <c r="D3568" s="6">
        <f>IF(F3568&gt;=5, F3568-5, IF(F3568&lt;5, 0, F3568))</f>
        <v/>
      </c>
      <c r="E3568">
        <f>VLOOKUP(B3568,[1]Namshi!$A:$B,2,0)</f>
        <v/>
      </c>
      <c r="F3568" s="4">
        <f>SUMIFS('Dubai Stock'!I:I,'Dubai Stock'!H:H,Final_UAE!B:B)</f>
        <v/>
      </c>
      <c r="H3568" s="8" t="e">
        <v>#N/A</v>
      </c>
    </row>
    <row r="3569">
      <c r="A3569" s="4" t="n">
        <v>33834</v>
      </c>
      <c r="B3569" s="4" t="inlineStr">
        <is>
          <t>cost3mo-lay-2021-p02-willow-green-sn0200</t>
        </is>
      </c>
      <c r="C3569" s="4" t="inlineStr">
        <is>
          <t>W00031886A</t>
        </is>
      </c>
      <c r="D3569" s="6">
        <f>IF(F3569&gt;=5, F3569-5, IF(F3569&lt;5, 0, F3569))</f>
        <v/>
      </c>
      <c r="E3569">
        <f>VLOOKUP(B3569,[1]Namshi!$A:$B,2,0)</f>
        <v/>
      </c>
      <c r="F3569" s="4">
        <f>SUMIFS('Dubai Stock'!I:I,'Dubai Stock'!H:H,Final_UAE!B:B)</f>
        <v/>
      </c>
      <c r="H3569" s="8" t="e">
        <v>#N/A</v>
      </c>
      <c r="I3569" s="8" t="n"/>
    </row>
    <row r="3570">
      <c r="A3570" s="4" t="n">
        <v>33834</v>
      </c>
      <c r="B3570" s="4" t="inlineStr">
        <is>
          <t>cost3mo-lay-lens-p02-golden-brown-sn0300</t>
        </is>
      </c>
      <c r="C3570" s="4" t="inlineStr">
        <is>
          <t>W00031886A</t>
        </is>
      </c>
      <c r="D3570" s="6">
        <f>IF(F3570&gt;=5, F3570-5, IF(F3570&lt;5, 0, F3570))</f>
        <v/>
      </c>
      <c r="E3570">
        <f>VLOOKUP(B3570,[1]Namshi!$A:$B,2,0)</f>
        <v/>
      </c>
      <c r="F3570" s="4">
        <f>SUMIFS('Dubai Stock'!I:I,'Dubai Stock'!H:H,Final_UAE!B:B)</f>
        <v/>
      </c>
      <c r="H3570" s="8" t="e">
        <v>#N/A</v>
      </c>
      <c r="I3570" s="8" t="n"/>
    </row>
    <row r="3571">
      <c r="A3571" s="4" t="n">
        <v>33834</v>
      </c>
      <c r="B3571" s="4" t="inlineStr">
        <is>
          <t>cost3mo-lay-2021-p02-golden-gray-sn0300</t>
        </is>
      </c>
      <c r="C3571" s="4" t="inlineStr">
        <is>
          <t>W00031886A</t>
        </is>
      </c>
      <c r="D3571" s="6">
        <f>IF(F3571&gt;=5, F3571-5, IF(F3571&lt;5, 0, F3571))</f>
        <v/>
      </c>
      <c r="E3571">
        <f>VLOOKUP(B3571,[1]Namshi!$A:$B,2,0)</f>
        <v/>
      </c>
      <c r="F3571" s="4">
        <f>SUMIFS('Dubai Stock'!I:I,'Dubai Stock'!H:H,Final_UAE!B:B)</f>
        <v/>
      </c>
      <c r="H3571" s="8" t="e">
        <v>#N/A</v>
      </c>
      <c r="I3571" s="8" t="n"/>
    </row>
    <row r="3572">
      <c r="A3572" s="4" t="n">
        <v>33834</v>
      </c>
      <c r="B3572" s="4" t="inlineStr">
        <is>
          <t>cost3mo-lay-2022-p02-cosmo-gray-sn0300</t>
        </is>
      </c>
      <c r="C3572" s="4" t="inlineStr">
        <is>
          <t>W00031886A</t>
        </is>
      </c>
      <c r="D3572" s="6">
        <f>IF(F3572&gt;=5, F3572-5, IF(F3572&lt;5, 0, F3572))</f>
        <v/>
      </c>
      <c r="E3572">
        <f>VLOOKUP(B3572,[1]Namshi!$A:$B,2,0)</f>
        <v/>
      </c>
      <c r="F3572" s="4">
        <f>SUMIFS('Dubai Stock'!I:I,'Dubai Stock'!H:H,Final_UAE!B:B)</f>
        <v/>
      </c>
      <c r="H3572" s="8" t="e">
        <v>#N/A</v>
      </c>
      <c r="I3572" s="8" t="n"/>
    </row>
    <row r="3573">
      <c r="A3573" s="4" t="n">
        <v>33834</v>
      </c>
      <c r="B3573" s="4" t="inlineStr">
        <is>
          <t>sacchan-30s-chain113-mul-kona-multicolour</t>
        </is>
      </c>
      <c r="C3573" s="4" t="inlineStr">
        <is>
          <t>W00031886A</t>
        </is>
      </c>
      <c r="D3573" s="6">
        <f>IF(F3573&gt;=5, F3573-5, IF(F3573&lt;5, 0, F3573))</f>
        <v/>
      </c>
      <c r="E3573">
        <f>VLOOKUP(B3573,[1]Namshi!$A:$B,2,0)</f>
        <v/>
      </c>
      <c r="F3573" s="4">
        <f>SUMIFS('Dubai Stock'!I:I,'Dubai Stock'!H:H,Final_UAE!B:B)</f>
        <v/>
      </c>
      <c r="H3573" s="8" t="e">
        <v>#N/A</v>
      </c>
      <c r="I3573" s="8" t="n"/>
    </row>
    <row r="3574">
      <c r="A3574" s="4" t="n">
        <v>33834</v>
      </c>
      <c r="B3574" s="4" t="inlineStr">
        <is>
          <t>costdai-ama-dail-p10-amber-sn0275</t>
        </is>
      </c>
      <c r="C3574" s="4" t="inlineStr">
        <is>
          <t>W00031886A</t>
        </is>
      </c>
      <c r="D3574" s="6">
        <f>IF(F3574&gt;=5, F3574-5, IF(F3574&lt;5, 0, F3574))</f>
        <v/>
      </c>
      <c r="E3574">
        <f>VLOOKUP(B3574,[1]Namshi!$A:$B,2,0)</f>
        <v/>
      </c>
      <c r="F3574" s="4">
        <f>SUMIFS('Dubai Stock'!I:I,'Dubai Stock'!H:H,Final_UAE!B:B)</f>
        <v/>
      </c>
      <c r="H3574" s="8" t="e">
        <v>#N/A</v>
      </c>
      <c r="I3574" s="8" t="n"/>
    </row>
    <row r="3575">
      <c r="A3575" s="4" t="n">
        <v>33834</v>
      </c>
      <c r="B3575" s="4" t="inlineStr">
        <is>
          <t>cost3mo-lay-2021-p02-skye-blue-sn0100</t>
        </is>
      </c>
      <c r="C3575" s="4" t="inlineStr">
        <is>
          <t>W00031886A</t>
        </is>
      </c>
      <c r="D3575" s="6">
        <f>IF(F3575&gt;=5, F3575-5, IF(F3575&lt;5, 0, F3575))</f>
        <v/>
      </c>
      <c r="E3575">
        <f>VLOOKUP(B3575,[1]Namshi!$A:$B,2,0)</f>
        <v/>
      </c>
      <c r="F3575" s="4">
        <f>SUMIFS('Dubai Stock'!I:I,'Dubai Stock'!H:H,Final_UAE!B:B)</f>
        <v/>
      </c>
      <c r="H3575" s="8" t="e">
        <v>#N/A</v>
      </c>
      <c r="I3575" s="8" t="n"/>
    </row>
    <row r="3576">
      <c r="A3576" s="4" t="n">
        <v>33834</v>
      </c>
      <c r="B3576" s="4" t="inlineStr">
        <is>
          <t>sw102904-bla-000315-2904-52</t>
        </is>
      </c>
      <c r="C3576" s="4" t="inlineStr">
        <is>
          <t>W00031886A</t>
        </is>
      </c>
      <c r="D3576" s="6">
        <f>IF(F3576&gt;=5, F3576-5, IF(F3576&lt;5, 0, F3576))</f>
        <v/>
      </c>
      <c r="E3576">
        <f>VLOOKUP(B3576,[1]Namshi!$A:$B,2,0)</f>
        <v/>
      </c>
      <c r="F3576" s="4">
        <f>SUMIFS('Dubai Stock'!I:I,'Dubai Stock'!H:H,Final_UAE!B:B)</f>
        <v/>
      </c>
      <c r="H3576" s="8" t="e">
        <v>#N/A</v>
      </c>
    </row>
    <row r="3577">
      <c r="A3577" s="4" t="n">
        <v>33834</v>
      </c>
      <c r="B3577" s="4" t="inlineStr">
        <is>
          <t>cltobiw-acu-oasy-p06-sn0550-cn0075-a010</t>
        </is>
      </c>
      <c r="C3577" s="4" t="inlineStr">
        <is>
          <t>W00031886A</t>
        </is>
      </c>
      <c r="D3577" s="6">
        <f>IF(F3577&gt;=5, F3577-5, IF(F3577&lt;5, 0, F3577))</f>
        <v/>
      </c>
      <c r="E3577">
        <f>VLOOKUP(B3577,[1]Namshi!$A:$B,2,0)</f>
        <v/>
      </c>
      <c r="F3577" s="4">
        <f>SUMIFS('Dubai Stock'!I:I,'Dubai Stock'!H:H,Final_UAE!B:B)</f>
        <v/>
      </c>
      <c r="H3577" s="8" t="e">
        <v>#N/A</v>
      </c>
      <c r="I3577" s="8" t="n"/>
    </row>
    <row r="3578">
      <c r="A3578" s="4" t="n">
        <v>33834</v>
      </c>
      <c r="B3578" s="4" t="inlineStr">
        <is>
          <t>su100107-bla-000383-0107-53</t>
        </is>
      </c>
      <c r="C3578" s="4" t="inlineStr">
        <is>
          <t>W00031886A</t>
        </is>
      </c>
      <c r="D3578" s="6">
        <f>IF(F3578&gt;=5, F3578-5, IF(F3578&lt;5, 0, F3578))</f>
        <v/>
      </c>
      <c r="E3578">
        <f>VLOOKUP(B3578,[1]Namshi!$A:$B,2,0)</f>
        <v/>
      </c>
      <c r="F3578" s="4">
        <f>SUMIFS('Dubai Stock'!I:I,'Dubai Stock'!H:H,Final_UAE!B:B)</f>
        <v/>
      </c>
      <c r="H3578" s="8" t="e">
        <v>#N/A</v>
      </c>
    </row>
    <row r="3579">
      <c r="A3579" s="4" t="n">
        <v>33834</v>
      </c>
      <c r="B3579" s="4" t="inlineStr">
        <is>
          <t>ru40718-spc-00929-0718-53-sp0150</t>
        </is>
      </c>
      <c r="C3579" s="4" t="inlineStr">
        <is>
          <t>W00031886A</t>
        </is>
      </c>
      <c r="D3579" s="6">
        <f>IF(F3579&gt;=5, F3579-5, IF(F3579&lt;5, 0, F3579))</f>
        <v/>
      </c>
      <c r="E3579">
        <f>VLOOKUP(B3579,[1]Namshi!$A:$B,2,0)</f>
        <v/>
      </c>
      <c r="F3579" s="4">
        <f>SUMIFS('Dubai Stock'!I:I,'Dubai Stock'!H:H,Final_UAE!B:B)</f>
        <v/>
      </c>
      <c r="H3579" s="8" t="e">
        <v>#N/A</v>
      </c>
      <c r="I3579" s="8" t="n"/>
    </row>
    <row r="3580">
      <c r="A3580" s="4" t="n">
        <v>33834</v>
      </c>
      <c r="B3580" s="4" t="inlineStr">
        <is>
          <t>clstdai-eve-elit-p30-sn1100</t>
        </is>
      </c>
      <c r="C3580" s="4" t="inlineStr">
        <is>
          <t>W00031886A</t>
        </is>
      </c>
      <c r="D3580" s="6">
        <f>IF(F3580&gt;=5, F3580-5, IF(F3580&lt;5, 0, F3580))</f>
        <v/>
      </c>
      <c r="E3580">
        <f>VLOOKUP(B3580,[1]Namshi!$A:$B,2,0)</f>
        <v/>
      </c>
      <c r="F3580" s="4">
        <f>SUMIFS('Dubai Stock'!I:I,'Dubai Stock'!H:H,Final_UAE!B:B)</f>
        <v/>
      </c>
      <c r="H3580" s="8" t="n">
        <v>261</v>
      </c>
      <c r="I3580" s="8" t="n">
        <v>146.3</v>
      </c>
    </row>
    <row r="3581">
      <c r="A3581" s="4" t="n">
        <v>33834</v>
      </c>
      <c r="B3581" s="4" t="inlineStr">
        <is>
          <t>cltobiw-acu-oasy-p06-sn0375-cn0125-a180</t>
        </is>
      </c>
      <c r="C3581" s="4" t="inlineStr">
        <is>
          <t>W00031886A</t>
        </is>
      </c>
      <c r="D3581" s="6">
        <f>IF(F3581&gt;=5, F3581-5, IF(F3581&lt;5, 0, F3581))</f>
        <v/>
      </c>
      <c r="E3581">
        <f>VLOOKUP(B3581,[1]Namshi!$A:$B,2,0)</f>
        <v/>
      </c>
      <c r="F3581" s="4">
        <f>SUMIFS('Dubai Stock'!I:I,'Dubai Stock'!H:H,Final_UAE!B:B)</f>
        <v/>
      </c>
      <c r="H3581" s="8" t="e">
        <v>#N/A</v>
      </c>
      <c r="I3581" s="8" t="n"/>
    </row>
    <row r="3582">
      <c r="A3582" s="4" t="n">
        <v>33834</v>
      </c>
      <c r="B3582" s="4" t="inlineStr">
        <is>
          <t>clstdai-acu-oasy-p60-sn0575</t>
        </is>
      </c>
      <c r="C3582" s="4" t="inlineStr">
        <is>
          <t>W00031886A</t>
        </is>
      </c>
      <c r="D3582" s="6">
        <f>IF(F3582&gt;=5, F3582-5, IF(F3582&lt;5, 0, F3582))</f>
        <v/>
      </c>
      <c r="E3582">
        <f>VLOOKUP(B3582,[1]Namshi!$A:$B,2,0)</f>
        <v/>
      </c>
      <c r="F3582" s="4">
        <f>SUMIFS('Dubai Stock'!I:I,'Dubai Stock'!H:H,Final_UAE!B:B)</f>
        <v/>
      </c>
      <c r="H3582" s="8" t="e">
        <v>#N/A</v>
      </c>
      <c r="I3582" s="8" t="n"/>
    </row>
    <row r="3583">
      <c r="A3583" s="4" t="n">
        <v>33834</v>
      </c>
      <c r="B3583" s="4" t="inlineStr">
        <is>
          <t>sw40107-30s-000123-0101-51</t>
        </is>
      </c>
      <c r="C3583" s="4" t="inlineStr">
        <is>
          <t>W00031886A</t>
        </is>
      </c>
      <c r="D3583" s="6">
        <f>IF(F3583&gt;=5, F3583-5, IF(F3583&lt;5, 0, F3583))</f>
        <v/>
      </c>
      <c r="E3583">
        <f>VLOOKUP(B3583,[1]Namshi!$A:$B,2,0)</f>
        <v/>
      </c>
      <c r="F3583" s="4">
        <f>SUMIFS('Dubai Stock'!I:I,'Dubai Stock'!H:H,Final_UAE!B:B)</f>
        <v/>
      </c>
      <c r="H3583" s="8" t="e">
        <v>#N/A</v>
      </c>
    </row>
    <row r="3584">
      <c r="A3584" s="4" t="n">
        <v>33834</v>
      </c>
      <c r="B3584" s="4" t="inlineStr">
        <is>
          <t>sw51402-30s-000115-1402-61</t>
        </is>
      </c>
      <c r="C3584" s="4" t="inlineStr">
        <is>
          <t>W00031886A</t>
        </is>
      </c>
      <c r="D3584" s="6">
        <f>IF(F3584&gt;=5, F3584-5, IF(F3584&lt;5, 0, F3584))</f>
        <v/>
      </c>
      <c r="E3584">
        <f>VLOOKUP(B3584,[1]Namshi!$A:$B,2,0)</f>
        <v/>
      </c>
      <c r="F3584" s="4">
        <f>SUMIFS('Dubai Stock'!I:I,'Dubai Stock'!H:H,Final_UAE!B:B)</f>
        <v/>
      </c>
      <c r="H3584" s="8" t="e">
        <v>#N/A</v>
      </c>
    </row>
    <row r="3585">
      <c r="A3585" s="4" t="n">
        <v>33834</v>
      </c>
      <c r="B3585" s="4" t="inlineStr">
        <is>
          <t>clstdai-acu-mois-p60-sn0950</t>
        </is>
      </c>
      <c r="C3585" s="4" t="inlineStr">
        <is>
          <t>W00031886A</t>
        </is>
      </c>
      <c r="D3585" s="6">
        <f>IF(F3585&gt;=5, F3585-5, IF(F3585&lt;5, 0, F3585))</f>
        <v/>
      </c>
      <c r="E3585">
        <f>VLOOKUP(B3585,[1]Namshi!$A:$B,2,0)</f>
        <v/>
      </c>
      <c r="F3585" s="4">
        <f>SUMIFS('Dubai Stock'!I:I,'Dubai Stock'!H:H,Final_UAE!B:B)</f>
        <v/>
      </c>
      <c r="H3585" s="8" t="e">
        <v>#N/A</v>
      </c>
      <c r="I3585" s="8" t="n"/>
    </row>
    <row r="3586">
      <c r="A3586" s="4" t="n">
        <v>33834</v>
      </c>
      <c r="B3586" s="4" t="inlineStr">
        <is>
          <t>costdai-acu-dffr-p30-honey-sn0075</t>
        </is>
      </c>
      <c r="C3586" s="4" t="inlineStr">
        <is>
          <t>W00031886A</t>
        </is>
      </c>
      <c r="D3586" s="6">
        <f>IF(F3586&gt;=5, F3586-5, IF(F3586&lt;5, 0, F3586))</f>
        <v/>
      </c>
      <c r="E3586">
        <f>VLOOKUP(B3586,[1]Namshi!$A:$B,2,0)</f>
        <v/>
      </c>
      <c r="F3586" s="4">
        <f>SUMIFS('Dubai Stock'!I:I,'Dubai Stock'!H:H,Final_UAE!B:B)</f>
        <v/>
      </c>
      <c r="H3586" s="8" t="e">
        <v>#N/A</v>
      </c>
      <c r="I3586" s="8" t="n"/>
    </row>
    <row r="3587">
      <c r="A3587" s="4" t="n">
        <v>33834</v>
      </c>
      <c r="B3587" s="4" t="inlineStr">
        <is>
          <t>costdai-ama-dail-p10-sugar-sn0500</t>
        </is>
      </c>
      <c r="C3587" s="4" t="inlineStr">
        <is>
          <t>W00031886A</t>
        </is>
      </c>
      <c r="D3587" s="6">
        <f>IF(F3587&gt;=5, F3587-5, IF(F3587&lt;5, 0, F3587))</f>
        <v/>
      </c>
      <c r="E3587">
        <f>VLOOKUP(B3587,[1]Namshi!$A:$B,2,0)</f>
        <v/>
      </c>
      <c r="F3587" s="4">
        <f>SUMIFS('Dubai Stock'!I:I,'Dubai Stock'!H:H,Final_UAE!B:B)</f>
        <v/>
      </c>
      <c r="H3587" s="8" t="e">
        <v>#N/A</v>
      </c>
      <c r="I3587" s="8" t="n"/>
    </row>
    <row r="3588">
      <c r="A3588" s="4" t="n">
        <v>33834</v>
      </c>
      <c r="B3588" s="4" t="inlineStr">
        <is>
          <t>clstdai-bme-1day-p30-sn0525</t>
        </is>
      </c>
      <c r="C3588" s="4" t="inlineStr">
        <is>
          <t>W00031886A</t>
        </is>
      </c>
      <c r="D3588" s="6">
        <f>IF(F3588&gt;=5, F3588-5, IF(F3588&lt;5, 0, F3588))</f>
        <v/>
      </c>
      <c r="E3588">
        <f>VLOOKUP(B3588,[1]Namshi!$A:$B,2,0)</f>
        <v/>
      </c>
      <c r="F3588" s="4">
        <f>SUMIFS('Dubai Stock'!I:I,'Dubai Stock'!H:H,Final_UAE!B:B)</f>
        <v/>
      </c>
      <c r="H3588" s="8" t="e">
        <v>#N/A</v>
      </c>
      <c r="I3588" s="8" t="n"/>
    </row>
    <row r="3589">
      <c r="A3589" s="4" t="n">
        <v>33834</v>
      </c>
      <c r="B3589" s="4" t="inlineStr">
        <is>
          <t>clstdai-btr-oned-p90-sn0325</t>
        </is>
      </c>
      <c r="C3589" s="4" t="inlineStr">
        <is>
          <t>W00031886A</t>
        </is>
      </c>
      <c r="D3589" s="6">
        <f>IF(F3589&gt;=5, F3589-5, IF(F3589&lt;5, 0, F3589))</f>
        <v/>
      </c>
      <c r="E3589">
        <f>VLOOKUP(B3589,[1]Namshi!$A:$B,2,0)</f>
        <v/>
      </c>
      <c r="F3589" s="4">
        <f>SUMIFS('Dubai Stock'!I:I,'Dubai Stock'!H:H,Final_UAE!B:B)</f>
        <v/>
      </c>
      <c r="H3589" s="8" t="e">
        <v>#N/A</v>
      </c>
      <c r="I3589" s="8" t="n"/>
    </row>
    <row r="3590">
      <c r="A3590" s="4" t="n">
        <v>33834</v>
      </c>
      <c r="B3590" s="4" t="inlineStr">
        <is>
          <t>costdai-ama-dail-p10-shadow-sn0800</t>
        </is>
      </c>
      <c r="C3590" s="4" t="inlineStr">
        <is>
          <t>W00031886A</t>
        </is>
      </c>
      <c r="D3590" s="6">
        <f>IF(F3590&gt;=5, F3590-5, IF(F3590&lt;5, 0, F3590))</f>
        <v/>
      </c>
      <c r="E3590">
        <f>VLOOKUP(B3590,[1]Namshi!$A:$B,2,0)</f>
        <v/>
      </c>
      <c r="F3590" s="4">
        <f>SUMIFS('Dubai Stock'!I:I,'Dubai Stock'!H:H,Final_UAE!B:B)</f>
        <v/>
      </c>
      <c r="H3590" s="8" t="e">
        <v>#N/A</v>
      </c>
      <c r="I3590" s="8" t="n"/>
    </row>
    <row r="3591">
      <c r="A3591" s="4" t="n">
        <v>33834</v>
      </c>
      <c r="B3591" s="4" t="inlineStr">
        <is>
          <t>costmon-ama-2024-p02-nmr-sn0250</t>
        </is>
      </c>
      <c r="C3591" s="4" t="inlineStr">
        <is>
          <t>W00031886A</t>
        </is>
      </c>
      <c r="D3591" s="6">
        <f>IF(F3591&gt;=5, F3591-5, IF(F3591&lt;5, 0, F3591))</f>
        <v/>
      </c>
      <c r="E3591">
        <f>VLOOKUP(B3591,[1]Namshi!$A:$B,2,0)</f>
        <v/>
      </c>
      <c r="F3591" s="4">
        <f>SUMIFS('Dubai Stock'!I:I,'Dubai Stock'!H:H,Final_UAE!B:B)</f>
        <v/>
      </c>
      <c r="H3591" s="8" t="e">
        <v>#N/A</v>
      </c>
      <c r="I3591" s="8" t="n"/>
    </row>
    <row r="3592">
      <c r="A3592" s="4" t="n">
        <v>33834</v>
      </c>
      <c r="B3592" s="4" t="inlineStr">
        <is>
          <t>sunglasses-30Sundays-30s-000449-0107</t>
        </is>
      </c>
      <c r="C3592" s="4" t="inlineStr">
        <is>
          <t>W00031886A</t>
        </is>
      </c>
      <c r="D3592" s="6">
        <f>IF(F3592&gt;=5, F3592-5, IF(F3592&lt;5, 0, F3592))</f>
        <v/>
      </c>
      <c r="E3592">
        <f>VLOOKUP(B3592,[1]Namshi!$A:$B,2,0)</f>
        <v/>
      </c>
      <c r="F3592" s="4">
        <f>SUMIFS('Dubai Stock'!I:I,'Dubai Stock'!H:H,Final_UAE!B:B)</f>
        <v/>
      </c>
      <c r="H3592" s="8" t="e">
        <v>#N/A</v>
      </c>
      <c r="I3592" s="8" t="n"/>
    </row>
    <row r="3593">
      <c r="A3593" s="4" t="n">
        <v>33834</v>
      </c>
      <c r="B3593" s="4" t="inlineStr">
        <is>
          <t>cltodai-acu-mois-p30-sn0800-cn0075-a010</t>
        </is>
      </c>
      <c r="C3593" s="4" t="inlineStr">
        <is>
          <t>W00031886A</t>
        </is>
      </c>
      <c r="D3593" s="6">
        <f>IF(F3593&gt;=5, F3593-5, IF(F3593&lt;5, 0, F3593))</f>
        <v/>
      </c>
      <c r="E3593">
        <f>VLOOKUP(B3593,[1]Namshi!$A:$B,2,0)</f>
        <v/>
      </c>
      <c r="F3593" s="4">
        <f>SUMIFS('Dubai Stock'!I:I,'Dubai Stock'!H:H,Final_UAE!B:B)</f>
        <v/>
      </c>
      <c r="H3593" s="8" t="e">
        <v>#N/A</v>
      </c>
      <c r="I3593" s="8" t="n"/>
    </row>
    <row r="3594">
      <c r="A3594" s="4" t="n">
        <v>33834</v>
      </c>
      <c r="B3594" s="4" t="inlineStr">
        <is>
          <t>clstdai-acu-mois-p60-sn0025</t>
        </is>
      </c>
      <c r="C3594" s="4" t="inlineStr">
        <is>
          <t>W00031886A</t>
        </is>
      </c>
      <c r="D3594" s="6">
        <f>IF(F3594&gt;=5, F3594-5, IF(F3594&lt;5, 0, F3594))</f>
        <v/>
      </c>
      <c r="E3594">
        <f>VLOOKUP(B3594,[1]Namshi!$A:$B,2,0)</f>
        <v/>
      </c>
      <c r="F3594" s="4">
        <f>SUMIFS('Dubai Stock'!I:I,'Dubai Stock'!H:H,Final_UAE!B:B)</f>
        <v/>
      </c>
      <c r="H3594" s="8" t="e">
        <v>#N/A</v>
      </c>
      <c r="I3594" s="8" t="n"/>
    </row>
    <row r="3595">
      <c r="A3595" s="4" t="n">
        <v>33834</v>
      </c>
      <c r="B3595" s="4" t="inlineStr">
        <is>
          <t>sm100506-30s-000284-2906-60</t>
        </is>
      </c>
      <c r="C3595" s="4" t="inlineStr">
        <is>
          <t>W00031886A</t>
        </is>
      </c>
      <c r="D3595" s="6">
        <f>IF(F3595&gt;=5, F3595-5, IF(F3595&lt;5, 0, F3595))</f>
        <v/>
      </c>
      <c r="E3595">
        <f>VLOOKUP(B3595,[1]Namshi!$A:$B,2,0)</f>
        <v/>
      </c>
      <c r="F3595" s="4">
        <f>SUMIFS('Dubai Stock'!I:I,'Dubai Stock'!H:H,Final_UAE!B:B)</f>
        <v/>
      </c>
      <c r="H3595" s="8" t="e">
        <v>#N/A</v>
      </c>
    </row>
    <row r="3596">
      <c r="A3596" s="4" t="n">
        <v>33834</v>
      </c>
      <c r="B3596" s="4" t="inlineStr">
        <is>
          <t>clstdai-acu-omax-p30-sn0950</t>
        </is>
      </c>
      <c r="C3596" s="4" t="inlineStr">
        <is>
          <t>W00031886A</t>
        </is>
      </c>
      <c r="D3596" s="6">
        <f>IF(F3596&gt;=5, F3596-5, IF(F3596&lt;5, 0, F3596))</f>
        <v/>
      </c>
      <c r="E3596">
        <f>VLOOKUP(B3596,[1]Namshi!$A:$B,2,0)</f>
        <v/>
      </c>
      <c r="F3596" s="4">
        <f>SUMIFS('Dubai Stock'!I:I,'Dubai Stock'!H:H,Final_UAE!B:B)</f>
        <v/>
      </c>
      <c r="H3596" s="8" t="e">
        <v>#N/A</v>
      </c>
      <c r="I3596" s="8" t="n"/>
    </row>
    <row r="3597">
      <c r="A3597" s="4" t="n">
        <v>33834</v>
      </c>
      <c r="B3597" s="4" t="inlineStr">
        <is>
          <t>clstdai-acu-mois-p120-sn1150</t>
        </is>
      </c>
      <c r="C3597" s="4" t="inlineStr">
        <is>
          <t>W00031886A</t>
        </is>
      </c>
      <c r="D3597" s="6">
        <f>IF(F3597&gt;=5, F3597-5, IF(F3597&lt;5, 0, F3597))</f>
        <v/>
      </c>
      <c r="E3597">
        <f>VLOOKUP(B3597,[1]Namshi!$A:$B,2,0)</f>
        <v/>
      </c>
      <c r="F3597" s="4">
        <f>SUMIFS('Dubai Stock'!I:I,'Dubai Stock'!H:H,Final_UAE!B:B)</f>
        <v/>
      </c>
      <c r="H3597" s="8" t="e">
        <v>#N/A</v>
      </c>
      <c r="I3597" s="8" t="n"/>
    </row>
    <row r="3598">
      <c r="A3598" s="4" t="n">
        <v>33834</v>
      </c>
      <c r="B3598" s="4" t="inlineStr">
        <is>
          <t>bc52018-bab-000506-2018-48</t>
        </is>
      </c>
      <c r="C3598" s="4" t="inlineStr">
        <is>
          <t>W00031886A</t>
        </is>
      </c>
      <c r="D3598" s="6">
        <f>IF(F3598&gt;=5, F3598-5, IF(F3598&lt;5, 0, F3598))</f>
        <v/>
      </c>
      <c r="E3598">
        <f>VLOOKUP(B3598,[1]Namshi!$A:$B,2,0)</f>
        <v/>
      </c>
      <c r="F3598" s="4">
        <f>SUMIFS('Dubai Stock'!I:I,'Dubai Stock'!H:H,Final_UAE!B:B)</f>
        <v/>
      </c>
      <c r="H3598" s="8" t="e">
        <v>#N/A</v>
      </c>
    </row>
    <row r="3599">
      <c r="A3599" s="4" t="n">
        <v>33834</v>
      </c>
      <c r="B3599" s="4" t="inlineStr">
        <is>
          <t>cost3mo-lay-2022-p02-sweet-hazel-sn0600</t>
        </is>
      </c>
      <c r="C3599" s="4" t="inlineStr">
        <is>
          <t>W00031886A</t>
        </is>
      </c>
      <c r="D3599" s="6">
        <f>IF(F3599&gt;=5, F3599-5, IF(F3599&lt;5, 0, F3599))</f>
        <v/>
      </c>
      <c r="E3599">
        <f>VLOOKUP(B3599,[1]Namshi!$A:$B,2,0)</f>
        <v/>
      </c>
      <c r="F3599" s="4">
        <f>SUMIFS('Dubai Stock'!I:I,'Dubai Stock'!H:H,Final_UAE!B:B)</f>
        <v/>
      </c>
      <c r="H3599" s="8" t="e">
        <v>#N/A</v>
      </c>
      <c r="I3599" s="8" t="n"/>
    </row>
    <row r="3600">
      <c r="A3600" s="4" t="n">
        <v>33834</v>
      </c>
      <c r="B3600" s="4" t="inlineStr">
        <is>
          <t>cltodai-acu-mois-p30-sn0650-cn0075-a170</t>
        </is>
      </c>
      <c r="C3600" s="4" t="inlineStr">
        <is>
          <t>W00031886A</t>
        </is>
      </c>
      <c r="D3600" s="6">
        <f>IF(F3600&gt;=5, F3600-5, IF(F3600&lt;5, 0, F3600))</f>
        <v/>
      </c>
      <c r="E3600">
        <f>VLOOKUP(B3600,[1]Namshi!$A:$B,2,0)</f>
        <v/>
      </c>
      <c r="F3600" s="4">
        <f>SUMIFS('Dubai Stock'!I:I,'Dubai Stock'!H:H,Final_UAE!B:B)</f>
        <v/>
      </c>
      <c r="H3600" s="8" t="e">
        <v>#N/A</v>
      </c>
      <c r="I3600" s="8" t="n"/>
    </row>
    <row r="3601">
      <c r="A3601" s="4" t="n">
        <v>33834</v>
      </c>
      <c r="B3601" s="4" t="inlineStr">
        <is>
          <t>costdai-acu-dffr-p30-rose-sn0650</t>
        </is>
      </c>
      <c r="C3601" s="4" t="inlineStr">
        <is>
          <t>W00031886A</t>
        </is>
      </c>
      <c r="D3601" s="6">
        <f>IF(F3601&gt;=5, F3601-5, IF(F3601&lt;5, 0, F3601))</f>
        <v/>
      </c>
      <c r="E3601">
        <f>VLOOKUP(B3601,[1]Namshi!$A:$B,2,0)</f>
        <v/>
      </c>
      <c r="F3601" s="4">
        <f>SUMIFS('Dubai Stock'!I:I,'Dubai Stock'!H:H,Final_UAE!B:B)</f>
        <v/>
      </c>
      <c r="H3601" s="8" t="e">
        <v>#N/A</v>
      </c>
      <c r="I3601" s="8" t="n"/>
    </row>
    <row r="3602">
      <c r="A3602" s="4" t="n">
        <v>33834</v>
      </c>
      <c r="B3602" s="4" t="inlineStr">
        <is>
          <t>clstdai-dai-tot1-p90-sn0425</t>
        </is>
      </c>
      <c r="C3602" s="4" t="inlineStr">
        <is>
          <t>W00031886A</t>
        </is>
      </c>
      <c r="D3602" s="6">
        <f>IF(F3602&gt;=5, F3602-5, IF(F3602&lt;5, 0, F3602))</f>
        <v/>
      </c>
      <c r="E3602">
        <f>VLOOKUP(B3602,[1]Namshi!$A:$B,2,0)</f>
        <v/>
      </c>
      <c r="F3602" s="4">
        <f>SUMIFS('Dubai Stock'!I:I,'Dubai Stock'!H:H,Final_UAE!B:B)</f>
        <v/>
      </c>
      <c r="H3602" s="8" t="e">
        <v>#N/A</v>
      </c>
      <c r="I3602" s="8" t="n"/>
    </row>
    <row r="3603">
      <c r="A3603" s="4" t="n">
        <v>33834</v>
      </c>
      <c r="B3603" s="4" t="inlineStr">
        <is>
          <t>sacchan-30s-chain131-red-bella-red</t>
        </is>
      </c>
      <c r="C3603" s="4" t="inlineStr">
        <is>
          <t>W00031886A</t>
        </is>
      </c>
      <c r="D3603" s="6">
        <f>IF(F3603&gt;=5, F3603-5, IF(F3603&lt;5, 0, F3603))</f>
        <v/>
      </c>
      <c r="E3603">
        <f>VLOOKUP(B3603,[1]Namshi!$A:$B,2,0)</f>
        <v/>
      </c>
      <c r="F3603" s="4">
        <f>SUMIFS('Dubai Stock'!I:I,'Dubai Stock'!H:H,Final_UAE!B:B)</f>
        <v/>
      </c>
      <c r="H3603" s="8" t="e">
        <v>#N/A</v>
      </c>
      <c r="I3603" s="8" t="n"/>
    </row>
    <row r="3604">
      <c r="A3604" s="4" t="n">
        <v>33834</v>
      </c>
      <c r="B3604" s="4" t="inlineStr">
        <is>
          <t>clstdai-acu-oasy-p90-sn0450</t>
        </is>
      </c>
      <c r="C3604" s="4" t="inlineStr">
        <is>
          <t>W00031886A</t>
        </is>
      </c>
      <c r="D3604" s="6">
        <f>IF(F3604&gt;=5, F3604-5, IF(F3604&lt;5, 0, F3604))</f>
        <v/>
      </c>
      <c r="E3604">
        <f>VLOOKUP(B3604,[1]Namshi!$A:$B,2,0)</f>
        <v/>
      </c>
      <c r="F3604" s="4">
        <f>SUMIFS('Dubai Stock'!I:I,'Dubai Stock'!H:H,Final_UAE!B:B)</f>
        <v/>
      </c>
      <c r="H3604" s="8" t="e">
        <v>#N/A</v>
      </c>
      <c r="I3604" s="8" t="n"/>
    </row>
    <row r="3605">
      <c r="A3605" s="4" t="n">
        <v>33834</v>
      </c>
      <c r="B3605" s="4" t="inlineStr">
        <is>
          <t>clstdai-acu-mois-p120-sn0325</t>
        </is>
      </c>
      <c r="C3605" s="4" t="inlineStr">
        <is>
          <t>W00031886A</t>
        </is>
      </c>
      <c r="D3605" s="6">
        <f>IF(F3605&gt;=5, F3605-5, IF(F3605&lt;5, 0, F3605))</f>
        <v/>
      </c>
      <c r="E3605">
        <f>VLOOKUP(B3605,[1]Namshi!$A:$B,2,0)</f>
        <v/>
      </c>
      <c r="F3605" s="4">
        <f>SUMIFS('Dubai Stock'!I:I,'Dubai Stock'!H:H,Final_UAE!B:B)</f>
        <v/>
      </c>
      <c r="H3605" s="8" t="e">
        <v>#N/A</v>
      </c>
      <c r="I3605" s="8" t="n"/>
    </row>
    <row r="3606">
      <c r="A3606" s="4" t="n">
        <v>33834</v>
      </c>
      <c r="B3606" s="4" t="inlineStr">
        <is>
          <t>costdai-ama-dail-p10-moon-stone-sn0550</t>
        </is>
      </c>
      <c r="C3606" s="4" t="inlineStr">
        <is>
          <t>W00031886A</t>
        </is>
      </c>
      <c r="D3606" s="6">
        <f>IF(F3606&gt;=5, F3606-5, IF(F3606&lt;5, 0, F3606))</f>
        <v/>
      </c>
      <c r="E3606">
        <f>VLOOKUP(B3606,[1]Namshi!$A:$B,2,0)</f>
        <v/>
      </c>
      <c r="F3606" s="4">
        <f>SUMIFS('Dubai Stock'!I:I,'Dubai Stock'!H:H,Final_UAE!B:B)</f>
        <v/>
      </c>
      <c r="H3606" s="8" t="e">
        <v>#N/A</v>
      </c>
      <c r="I3606" s="8" t="n"/>
    </row>
    <row r="3607">
      <c r="A3607" s="4" t="n">
        <v>33834</v>
      </c>
      <c r="B3607" s="4" t="inlineStr">
        <is>
          <t>clstdai-btr-oned-p90-sn0575</t>
        </is>
      </c>
      <c r="C3607" s="4" t="inlineStr">
        <is>
          <t>W00031886A</t>
        </is>
      </c>
      <c r="D3607" s="6">
        <f>IF(F3607&gt;=5, F3607-5, IF(F3607&lt;5, 0, F3607))</f>
        <v/>
      </c>
      <c r="E3607">
        <f>VLOOKUP(B3607,[1]Namshi!$A:$B,2,0)</f>
        <v/>
      </c>
      <c r="F3607" s="4">
        <f>SUMIFS('Dubai Stock'!I:I,'Dubai Stock'!H:H,Final_UAE!B:B)</f>
        <v/>
      </c>
      <c r="H3607" s="8" t="e">
        <v>#N/A</v>
      </c>
      <c r="I3607" s="8" t="n"/>
    </row>
    <row r="3608">
      <c r="A3608" s="4" t="n">
        <v>33834</v>
      </c>
      <c r="B3608" s="4" t="inlineStr">
        <is>
          <t>sc51402-bab-000504-1402-51</t>
        </is>
      </c>
      <c r="C3608" s="4" t="inlineStr">
        <is>
          <t>W00031886A</t>
        </is>
      </c>
      <c r="D3608" s="6">
        <f>IF(F3608&gt;=5, F3608-5, IF(F3608&lt;5, 0, F3608))</f>
        <v/>
      </c>
      <c r="E3608">
        <f>VLOOKUP(B3608,[1]Namshi!$A:$B,2,0)</f>
        <v/>
      </c>
      <c r="F3608" s="4">
        <f>SUMIFS('Dubai Stock'!I:I,'Dubai Stock'!H:H,Final_UAE!B:B)</f>
        <v/>
      </c>
      <c r="H3608" s="8" t="e">
        <v>#N/A</v>
      </c>
    </row>
    <row r="3609">
      <c r="A3609" s="4" t="n">
        <v>33834</v>
      </c>
      <c r="B3609" s="4" t="inlineStr">
        <is>
          <t>costdai-acu-dffr-p30-grayzel-sn0525</t>
        </is>
      </c>
      <c r="C3609" s="4" t="inlineStr">
        <is>
          <t>W00031886A</t>
        </is>
      </c>
      <c r="D3609" s="6">
        <f>IF(F3609&gt;=5, F3609-5, IF(F3609&lt;5, 0, F3609))</f>
        <v/>
      </c>
      <c r="E3609">
        <f>VLOOKUP(B3609,[1]Namshi!$A:$B,2,0)</f>
        <v/>
      </c>
      <c r="F3609" s="4">
        <f>SUMIFS('Dubai Stock'!I:I,'Dubai Stock'!H:H,Final_UAE!B:B)</f>
        <v/>
      </c>
      <c r="H3609" s="8" t="e">
        <v>#N/A</v>
      </c>
      <c r="I3609" s="8" t="n"/>
    </row>
    <row r="3610">
      <c r="A3610" s="4" t="n">
        <v>33834</v>
      </c>
      <c r="B3610" s="4" t="inlineStr">
        <is>
          <t>clstdai-lay-cont-p60-dazzle-brown-sn0200</t>
        </is>
      </c>
      <c r="C3610" s="4" t="inlineStr">
        <is>
          <t>W00031886A</t>
        </is>
      </c>
      <c r="D3610" s="6">
        <f>IF(F3610&gt;=5, F3610-5, IF(F3610&lt;5, 0, F3610))</f>
        <v/>
      </c>
      <c r="E3610">
        <f>VLOOKUP(B3610,[1]Namshi!$A:$B,2,0)</f>
        <v/>
      </c>
      <c r="F3610" s="4">
        <f>SUMIFS('Dubai Stock'!I:I,'Dubai Stock'!H:H,Final_UAE!B:B)</f>
        <v/>
      </c>
      <c r="H3610" s="8" t="e">
        <v>#N/A</v>
      </c>
      <c r="I3610" s="8" t="n"/>
    </row>
    <row r="3611">
      <c r="A3611" s="4" t="n">
        <v>33834</v>
      </c>
      <c r="B3611" s="4" t="inlineStr">
        <is>
          <t>clstdai-lay-cont-p90-dazzle-black-sn0600</t>
        </is>
      </c>
      <c r="C3611" s="4" t="inlineStr">
        <is>
          <t>W00031886A</t>
        </is>
      </c>
      <c r="D3611" s="6">
        <f>IF(F3611&gt;=5, F3611-5, IF(F3611&lt;5, 0, F3611))</f>
        <v/>
      </c>
      <c r="E3611">
        <f>VLOOKUP(B3611,[1]Namshi!$A:$B,2,0)</f>
        <v/>
      </c>
      <c r="F3611" s="4">
        <f>SUMIFS('Dubai Stock'!I:I,'Dubai Stock'!H:H,Final_UAE!B:B)</f>
        <v/>
      </c>
      <c r="H3611" s="8" t="e">
        <v>#N/A</v>
      </c>
      <c r="I3611" s="8" t="n"/>
    </row>
    <row r="3612">
      <c r="A3612" s="4" t="n">
        <v>33834</v>
      </c>
      <c r="B3612" s="4" t="inlineStr">
        <is>
          <t>clstdai-acu-mois-p120-sn0200</t>
        </is>
      </c>
      <c r="C3612" s="4" t="inlineStr">
        <is>
          <t>W00031886A</t>
        </is>
      </c>
      <c r="D3612" s="6">
        <f>IF(F3612&gt;=5, F3612-5, IF(F3612&lt;5, 0, F3612))</f>
        <v/>
      </c>
      <c r="E3612">
        <f>VLOOKUP(B3612,[1]Namshi!$A:$B,2,0)</f>
        <v/>
      </c>
      <c r="F3612" s="4">
        <f>SUMIFS('Dubai Stock'!I:I,'Dubai Stock'!H:H,Final_UAE!B:B)</f>
        <v/>
      </c>
      <c r="H3612" s="8" t="e">
        <v>#N/A</v>
      </c>
      <c r="I3612" s="8" t="n"/>
    </row>
    <row r="3613">
      <c r="A3613" s="4" t="n">
        <v>33834</v>
      </c>
      <c r="B3613" s="4" t="inlineStr">
        <is>
          <t>costdai-acu-dffr-p30-honey-sn0050</t>
        </is>
      </c>
      <c r="C3613" s="4" t="inlineStr">
        <is>
          <t>W00031886A</t>
        </is>
      </c>
      <c r="D3613" s="6">
        <f>IF(F3613&gt;=5, F3613-5, IF(F3613&lt;5, 0, F3613))</f>
        <v/>
      </c>
      <c r="E3613">
        <f>VLOOKUP(B3613,[1]Namshi!$A:$B,2,0)</f>
        <v/>
      </c>
      <c r="F3613" s="4">
        <f>SUMIFS('Dubai Stock'!I:I,'Dubai Stock'!H:H,Final_UAE!B:B)</f>
        <v/>
      </c>
      <c r="H3613" s="8" t="e">
        <v>#N/A</v>
      </c>
      <c r="I3613" s="8" t="n"/>
    </row>
    <row r="3614">
      <c r="A3614" s="4" t="n">
        <v>33834</v>
      </c>
      <c r="B3614" s="4" t="inlineStr">
        <is>
          <t>clstdai-acu-dfrb-p60-sn0225</t>
        </is>
      </c>
      <c r="C3614" s="4" t="inlineStr">
        <is>
          <t>W00031886A</t>
        </is>
      </c>
      <c r="D3614" s="6">
        <f>IF(F3614&gt;=5, F3614-5, IF(F3614&lt;5, 0, F3614))</f>
        <v/>
      </c>
      <c r="E3614">
        <f>VLOOKUP(B3614,[1]Namshi!$A:$B,2,0)</f>
        <v/>
      </c>
      <c r="F3614" s="4">
        <f>SUMIFS('Dubai Stock'!I:I,'Dubai Stock'!H:H,Final_UAE!B:B)</f>
        <v/>
      </c>
      <c r="H3614" s="8" t="e">
        <v>#N/A</v>
      </c>
      <c r="I3614" s="8" t="n"/>
    </row>
    <row r="3615">
      <c r="A3615" s="4" t="n">
        <v>33834</v>
      </c>
      <c r="B3615" s="4" t="inlineStr">
        <is>
          <t>cost3mo-lay-2022-p02-avena-brown-sp0000</t>
        </is>
      </c>
      <c r="C3615" s="4" t="inlineStr">
        <is>
          <t>W00031886A</t>
        </is>
      </c>
      <c r="D3615" s="6">
        <f>IF(F3615&gt;=5, F3615-5, IF(F3615&lt;5, 0, F3615))</f>
        <v/>
      </c>
      <c r="E3615">
        <f>VLOOKUP(B3615,[1]Namshi!$A:$B,2,0)</f>
        <v/>
      </c>
      <c r="F3615" s="4">
        <f>SUMIFS('Dubai Stock'!I:I,'Dubai Stock'!H:H,Final_UAE!B:B)</f>
        <v/>
      </c>
      <c r="H3615" s="8" t="e">
        <v>#N/A</v>
      </c>
      <c r="I3615" s="8" t="n"/>
    </row>
    <row r="3616">
      <c r="A3616" s="4" t="n">
        <v>33834</v>
      </c>
      <c r="B3616" s="4" t="inlineStr">
        <is>
          <t>clstbiw-acu-oasy-p06-sn0350</t>
        </is>
      </c>
      <c r="C3616" s="4" t="inlineStr">
        <is>
          <t>W00031886A</t>
        </is>
      </c>
      <c r="D3616" s="6">
        <f>IF(F3616&gt;=5, F3616-5, IF(F3616&lt;5, 0, F3616))</f>
        <v/>
      </c>
      <c r="E3616">
        <f>VLOOKUP(B3616,[1]Namshi!$A:$B,2,0)</f>
        <v/>
      </c>
      <c r="F3616" s="4">
        <f>SUMIFS('Dubai Stock'!I:I,'Dubai Stock'!H:H,Final_UAE!B:B)</f>
        <v/>
      </c>
      <c r="H3616" s="8" t="e">
        <v>#N/A</v>
      </c>
      <c r="I3616" s="8" t="n"/>
    </row>
    <row r="3617">
      <c r="A3617" s="4" t="n">
        <v>33834</v>
      </c>
      <c r="B3617" s="4" t="inlineStr">
        <is>
          <t>clstdai-dai-tot1-p30-sp0425</t>
        </is>
      </c>
      <c r="C3617" s="4" t="inlineStr">
        <is>
          <t>W00031886A</t>
        </is>
      </c>
      <c r="D3617" s="6">
        <f>IF(F3617&gt;=5, F3617-5, IF(F3617&lt;5, 0, F3617))</f>
        <v/>
      </c>
      <c r="E3617">
        <f>VLOOKUP(B3617,[1]Namshi!$A:$B,2,0)</f>
        <v/>
      </c>
      <c r="F3617" s="4">
        <f>SUMIFS('Dubai Stock'!I:I,'Dubai Stock'!H:H,Final_UAE!B:B)</f>
        <v/>
      </c>
      <c r="H3617" s="8" t="e">
        <v>#N/A</v>
      </c>
      <c r="I3617" s="8" t="n"/>
    </row>
    <row r="3618">
      <c r="A3618" s="4" t="n">
        <v>33834</v>
      </c>
      <c r="B3618" s="4" t="inlineStr">
        <is>
          <t>costdai-ama-dail-p10-moon-stone-sn0150</t>
        </is>
      </c>
      <c r="C3618" s="4" t="inlineStr">
        <is>
          <t>W00031886A</t>
        </is>
      </c>
      <c r="D3618" s="6">
        <f>IF(F3618&gt;=5, F3618-5, IF(F3618&lt;5, 0, F3618))</f>
        <v/>
      </c>
      <c r="E3618">
        <f>VLOOKUP(B3618,[1]Namshi!$A:$B,2,0)</f>
        <v/>
      </c>
      <c r="F3618" s="4">
        <f>SUMIFS('Dubai Stock'!I:I,'Dubai Stock'!H:H,Final_UAE!B:B)</f>
        <v/>
      </c>
      <c r="H3618" s="8" t="e">
        <v>#N/A</v>
      </c>
      <c r="I3618" s="8" t="n"/>
    </row>
    <row r="3619">
      <c r="A3619" s="4" t="n">
        <v>33834</v>
      </c>
      <c r="B3619" s="4" t="inlineStr">
        <is>
          <t>clstdai-btr-oned-p90-sn0750</t>
        </is>
      </c>
      <c r="C3619" s="4" t="inlineStr">
        <is>
          <t>W00031886A</t>
        </is>
      </c>
      <c r="D3619" s="6">
        <f>IF(F3619&gt;=5, F3619-5, IF(F3619&lt;5, 0, F3619))</f>
        <v/>
      </c>
      <c r="E3619">
        <f>VLOOKUP(B3619,[1]Namshi!$A:$B,2,0)</f>
        <v/>
      </c>
      <c r="F3619" s="4">
        <f>SUMIFS('Dubai Stock'!I:I,'Dubai Stock'!H:H,Final_UAE!B:B)</f>
        <v/>
      </c>
      <c r="H3619" s="8" t="e">
        <v>#N/A</v>
      </c>
      <c r="I3619" s="8" t="n"/>
    </row>
    <row r="3620">
      <c r="A3620" s="4" t="n">
        <v>33834</v>
      </c>
      <c r="B3620" s="4" t="inlineStr">
        <is>
          <t>costdai-acu-dffr-p30-grayzel-sn0225</t>
        </is>
      </c>
      <c r="C3620" s="4" t="inlineStr">
        <is>
          <t>W00031886A</t>
        </is>
      </c>
      <c r="D3620" s="6">
        <f>IF(F3620&gt;=5, F3620-5, IF(F3620&lt;5, 0, F3620))</f>
        <v/>
      </c>
      <c r="E3620">
        <f>VLOOKUP(B3620,[1]Namshi!$A:$B,2,0)</f>
        <v/>
      </c>
      <c r="F3620" s="4">
        <f>SUMIFS('Dubai Stock'!I:I,'Dubai Stock'!H:H,Final_UAE!B:B)</f>
        <v/>
      </c>
      <c r="H3620" s="8" t="e">
        <v>#N/A</v>
      </c>
      <c r="I3620" s="8" t="n"/>
    </row>
    <row r="3621">
      <c r="A3621" s="4" t="n">
        <v>33834</v>
      </c>
      <c r="B3621" s="4" t="inlineStr">
        <is>
          <t>clstdai-acu-oasy-p120-sn0500</t>
        </is>
      </c>
      <c r="C3621" s="4" t="inlineStr">
        <is>
          <t>W00031886A</t>
        </is>
      </c>
      <c r="D3621" s="6">
        <f>IF(F3621&gt;=5, F3621-5, IF(F3621&lt;5, 0, F3621))</f>
        <v/>
      </c>
      <c r="E3621">
        <f>VLOOKUP(B3621,[1]Namshi!$A:$B,2,0)</f>
        <v/>
      </c>
      <c r="F3621" s="4">
        <f>SUMIFS('Dubai Stock'!I:I,'Dubai Stock'!H:H,Final_UAE!B:B)</f>
        <v/>
      </c>
      <c r="H3621" s="8" t="e">
        <v>#N/A</v>
      </c>
      <c r="I3621" s="8" t="n"/>
    </row>
    <row r="3622">
      <c r="A3622" s="4" t="n">
        <v>33834</v>
      </c>
      <c r="B3622" s="4" t="inlineStr">
        <is>
          <t>costdai-acu-dffr-p10-green-sn0575</t>
        </is>
      </c>
      <c r="C3622" s="4" t="inlineStr">
        <is>
          <t>W00031886A</t>
        </is>
      </c>
      <c r="D3622" s="6">
        <f>IF(F3622&gt;=5, F3622-5, IF(F3622&lt;5, 0, F3622))</f>
        <v/>
      </c>
      <c r="E3622">
        <f>VLOOKUP(B3622,[1]Namshi!$A:$B,2,0)</f>
        <v/>
      </c>
      <c r="F3622" s="4">
        <f>SUMIFS('Dubai Stock'!I:I,'Dubai Stock'!H:H,Final_UAE!B:B)</f>
        <v/>
      </c>
      <c r="H3622" s="8" t="e">
        <v>#N/A</v>
      </c>
      <c r="I3622" s="8" t="n"/>
    </row>
    <row r="3623">
      <c r="A3623" s="4" t="n">
        <v>33834</v>
      </c>
      <c r="B3623" s="4" t="inlineStr">
        <is>
          <t>costmon-ama-lens-p02-mocca-sn0525</t>
        </is>
      </c>
      <c r="C3623" s="4" t="inlineStr">
        <is>
          <t>W00031886A</t>
        </is>
      </c>
      <c r="D3623" s="6">
        <f>IF(F3623&gt;=5, F3623-5, IF(F3623&lt;5, 0, F3623))</f>
        <v/>
      </c>
      <c r="E3623">
        <f>VLOOKUP(B3623,[1]Namshi!$A:$B,2,0)</f>
        <v/>
      </c>
      <c r="F3623" s="4">
        <f>SUMIFS('Dubai Stock'!I:I,'Dubai Stock'!H:H,Final_UAE!B:B)</f>
        <v/>
      </c>
      <c r="H3623" s="8" t="e">
        <v>#N/A</v>
      </c>
      <c r="I3623" s="8" t="n"/>
    </row>
    <row r="3624">
      <c r="A3624" s="4" t="n">
        <v>33834</v>
      </c>
      <c r="B3624" s="4" t="inlineStr">
        <is>
          <t>cost3mo-cel-natu-p01-desert-grey-sp0150</t>
        </is>
      </c>
      <c r="C3624" s="4" t="inlineStr">
        <is>
          <t>W00031886A</t>
        </is>
      </c>
      <c r="D3624" s="6">
        <f>IF(F3624&gt;=5, F3624-5, IF(F3624&lt;5, 0, F3624))</f>
        <v/>
      </c>
      <c r="E3624">
        <f>VLOOKUP(B3624,[1]Namshi!$A:$B,2,0)</f>
        <v/>
      </c>
      <c r="F3624" s="4">
        <f>SUMIFS('Dubai Stock'!I:I,'Dubai Stock'!H:H,Final_UAE!B:B)</f>
        <v/>
      </c>
      <c r="H3624" s="8" t="e">
        <v>#N/A</v>
      </c>
      <c r="I3624" s="8" t="n"/>
    </row>
    <row r="3625">
      <c r="A3625" s="4" t="n">
        <v>33834</v>
      </c>
      <c r="B3625" s="4" t="inlineStr">
        <is>
          <t>clstdai-acu-dfvi-p60-sn0075</t>
        </is>
      </c>
      <c r="C3625" s="4" t="inlineStr">
        <is>
          <t>W00031886A</t>
        </is>
      </c>
      <c r="D3625" s="6">
        <f>IF(F3625&gt;=5, F3625-5, IF(F3625&lt;5, 0, F3625))</f>
        <v/>
      </c>
      <c r="E3625">
        <f>VLOOKUP(B3625,[1]Namshi!$A:$B,2,0)</f>
        <v/>
      </c>
      <c r="F3625" s="4">
        <f>SUMIFS('Dubai Stock'!I:I,'Dubai Stock'!H:H,Final_UAE!B:B)</f>
        <v/>
      </c>
      <c r="H3625" s="8" t="e">
        <v>#N/A</v>
      </c>
      <c r="I3625" s="8" t="n"/>
    </row>
    <row r="3626">
      <c r="A3626" s="4" t="n">
        <v>33834</v>
      </c>
      <c r="B3626" s="4" t="inlineStr">
        <is>
          <t>fm11218-spc-000525-1200-55</t>
        </is>
      </c>
      <c r="C3626" s="4" t="inlineStr">
        <is>
          <t>W00031886A</t>
        </is>
      </c>
      <c r="D3626" s="6">
        <f>IF(F3626&gt;=5, F3626-5, IF(F3626&lt;5, 0, F3626))</f>
        <v/>
      </c>
      <c r="E3626">
        <f>VLOOKUP(B3626,[1]Namshi!$A:$B,2,0)</f>
        <v/>
      </c>
      <c r="F3626" s="4">
        <f>SUMIFS('Dubai Stock'!I:I,'Dubai Stock'!H:H,Final_UAE!B:B)</f>
        <v/>
      </c>
      <c r="H3626" s="8" t="e">
        <v>#N/A</v>
      </c>
      <c r="I3626" s="8" t="n"/>
    </row>
    <row r="3627">
      <c r="A3627" s="4" t="n">
        <v>33834</v>
      </c>
      <c r="B3627" s="4" t="inlineStr">
        <is>
          <t>clstdai-acu-oasy-p30-sn1100</t>
        </is>
      </c>
      <c r="C3627" s="4" t="inlineStr">
        <is>
          <t>W00031886A</t>
        </is>
      </c>
      <c r="D3627" s="6">
        <f>IF(F3627&gt;=5, F3627-5, IF(F3627&lt;5, 0, F3627))</f>
        <v/>
      </c>
      <c r="E3627">
        <f>VLOOKUP(B3627,[1]Namshi!$A:$B,2,0)</f>
        <v/>
      </c>
      <c r="F3627" s="4">
        <f>SUMIFS('Dubai Stock'!I:I,'Dubai Stock'!H:H,Final_UAE!B:B)</f>
        <v/>
      </c>
      <c r="H3627" s="8" t="e">
        <v>#N/A</v>
      </c>
      <c r="I3627" s="8" t="n"/>
    </row>
    <row r="3628">
      <c r="A3628" s="4" t="n">
        <v>33834</v>
      </c>
      <c r="B3628" s="4" t="inlineStr">
        <is>
          <t>sw80502-bla-000205-2702-61</t>
        </is>
      </c>
      <c r="C3628" s="4" t="inlineStr">
        <is>
          <t>W00031886A</t>
        </is>
      </c>
      <c r="D3628" s="6">
        <f>IF(F3628&gt;=5, F3628-5, IF(F3628&lt;5, 0, F3628))</f>
        <v/>
      </c>
      <c r="E3628">
        <f>VLOOKUP(B3628,[1]Namshi!$A:$B,2,0)</f>
        <v/>
      </c>
      <c r="F3628" s="4">
        <f>SUMIFS('Dubai Stock'!I:I,'Dubai Stock'!H:H,Final_UAE!B:B)</f>
        <v/>
      </c>
      <c r="H3628" s="8" t="e">
        <v>#N/A</v>
      </c>
    </row>
    <row r="3629">
      <c r="A3629" s="4" t="n">
        <v>33834</v>
      </c>
      <c r="B3629" s="4" t="inlineStr">
        <is>
          <t>sw30110-bla-000223-0107-57</t>
        </is>
      </c>
      <c r="C3629" s="4" t="inlineStr">
        <is>
          <t>W00031886A</t>
        </is>
      </c>
      <c r="D3629" s="6">
        <f>IF(F3629&gt;=5, F3629-5, IF(F3629&lt;5, 0, F3629))</f>
        <v/>
      </c>
      <c r="E3629">
        <f>VLOOKUP(B3629,[1]Namshi!$A:$B,2,0)</f>
        <v/>
      </c>
      <c r="F3629" s="4">
        <f>SUMIFS('Dubai Stock'!I:I,'Dubai Stock'!H:H,Final_UAE!B:B)</f>
        <v/>
      </c>
      <c r="H3629" s="8" t="e">
        <v>#N/A</v>
      </c>
    </row>
    <row r="3630">
      <c r="A3630" s="4" t="n">
        <v>33834</v>
      </c>
      <c r="B3630" s="4" t="inlineStr">
        <is>
          <t>sunglasses-30Sundays-30s-000457-2904</t>
        </is>
      </c>
      <c r="C3630" s="4" t="inlineStr">
        <is>
          <t>W00031886A</t>
        </is>
      </c>
      <c r="D3630" s="6">
        <f>IF(F3630&gt;=5, F3630-5, IF(F3630&lt;5, 0, F3630))</f>
        <v/>
      </c>
      <c r="E3630">
        <f>VLOOKUP(B3630,[1]Namshi!$A:$B,2,0)</f>
        <v/>
      </c>
      <c r="F3630" s="4">
        <f>SUMIFS('Dubai Stock'!I:I,'Dubai Stock'!H:H,Final_UAE!B:B)</f>
        <v/>
      </c>
      <c r="H3630" s="8" t="e">
        <v>#N/A</v>
      </c>
      <c r="I3630" s="8" t="n"/>
    </row>
    <row r="3631">
      <c r="A3631" s="4" t="n">
        <v>33834</v>
      </c>
      <c r="B3631" s="4" t="inlineStr">
        <is>
          <t>su20404-30s-000204-0404-55</t>
        </is>
      </c>
      <c r="C3631" s="4" t="inlineStr">
        <is>
          <t>W00031886A</t>
        </is>
      </c>
      <c r="D3631" s="6">
        <f>IF(F3631&gt;=5, F3631-5, IF(F3631&lt;5, 0, F3631))</f>
        <v/>
      </c>
      <c r="E3631">
        <f>VLOOKUP(B3631,[1]Namshi!$A:$B,2,0)</f>
        <v/>
      </c>
      <c r="F3631" s="4">
        <f>SUMIFS('Dubai Stock'!I:I,'Dubai Stock'!H:H,Final_UAE!B:B)</f>
        <v/>
      </c>
      <c r="H3631" s="8" t="e">
        <v>#N/A</v>
      </c>
    </row>
    <row r="3632">
      <c r="A3632" s="4" t="n">
        <v>33834</v>
      </c>
      <c r="B3632" s="4" t="inlineStr">
        <is>
          <t>cost3mo-lay-2021-p02-skye-blue-sn0075</t>
        </is>
      </c>
      <c r="C3632" s="4" t="inlineStr">
        <is>
          <t>W00031886A</t>
        </is>
      </c>
      <c r="D3632" s="6">
        <f>IF(F3632&gt;=5, F3632-5, IF(F3632&lt;5, 0, F3632))</f>
        <v/>
      </c>
      <c r="E3632">
        <f>VLOOKUP(B3632,[1]Namshi!$A:$B,2,0)</f>
        <v/>
      </c>
      <c r="F3632" s="4">
        <f>SUMIFS('Dubai Stock'!I:I,'Dubai Stock'!H:H,Final_UAE!B:B)</f>
        <v/>
      </c>
      <c r="H3632" s="8" t="e">
        <v>#N/A</v>
      </c>
      <c r="I3632" s="8" t="n"/>
    </row>
    <row r="3633">
      <c r="A3633" s="4" t="n">
        <v>33834</v>
      </c>
      <c r="B3633" s="4" t="inlineStr">
        <is>
          <t>clstdai-sof-sdai-p90-sn0100</t>
        </is>
      </c>
      <c r="C3633" s="4" t="inlineStr">
        <is>
          <t>W00031886A</t>
        </is>
      </c>
      <c r="D3633" s="6">
        <f>IF(F3633&gt;=5, F3633-5, IF(F3633&lt;5, 0, F3633))</f>
        <v/>
      </c>
      <c r="E3633">
        <f>VLOOKUP(B3633,[1]Namshi!$A:$B,2,0)</f>
        <v/>
      </c>
      <c r="F3633" s="4">
        <f>SUMIFS('Dubai Stock'!I:I,'Dubai Stock'!H:H,Final_UAE!B:B)</f>
        <v/>
      </c>
      <c r="H3633" s="8" t="e">
        <v>#N/A</v>
      </c>
      <c r="I3633" s="8" t="n"/>
    </row>
    <row r="3634">
      <c r="A3634" s="4" t="n">
        <v>33834</v>
      </c>
      <c r="B3634" s="4" t="inlineStr">
        <is>
          <t>costdai-acu-dffr-p30-green-sn0900</t>
        </is>
      </c>
      <c r="C3634" s="4" t="inlineStr">
        <is>
          <t>W00031886A</t>
        </is>
      </c>
      <c r="D3634" s="6">
        <f>IF(F3634&gt;=5, F3634-5, IF(F3634&lt;5, 0, F3634))</f>
        <v/>
      </c>
      <c r="E3634">
        <f>VLOOKUP(B3634,[1]Namshi!$A:$B,2,0)</f>
        <v/>
      </c>
      <c r="F3634" s="4">
        <f>SUMIFS('Dubai Stock'!I:I,'Dubai Stock'!H:H,Final_UAE!B:B)</f>
        <v/>
      </c>
      <c r="H3634" s="8" t="e">
        <v>#N/A</v>
      </c>
      <c r="I3634" s="8" t="n"/>
    </row>
    <row r="3635">
      <c r="A3635" s="4" t="n">
        <v>33834</v>
      </c>
      <c r="B3635" s="4" t="inlineStr">
        <is>
          <t>su11207-30s-000203-1207-58</t>
        </is>
      </c>
      <c r="C3635" s="4" t="inlineStr">
        <is>
          <t>W00031886A</t>
        </is>
      </c>
      <c r="D3635" s="6">
        <f>IF(F3635&gt;=5, F3635-5, IF(F3635&lt;5, 0, F3635))</f>
        <v/>
      </c>
      <c r="E3635">
        <f>VLOOKUP(B3635,[1]Namshi!$A:$B,2,0)</f>
        <v/>
      </c>
      <c r="F3635" s="4">
        <f>SUMIFS('Dubai Stock'!I:I,'Dubai Stock'!H:H,Final_UAE!B:B)</f>
        <v/>
      </c>
      <c r="H3635" s="8" t="e">
        <v>#N/A</v>
      </c>
    </row>
    <row r="3636">
      <c r="A3636" s="4" t="n">
        <v>33834</v>
      </c>
      <c r="B3636" s="4" t="inlineStr">
        <is>
          <t>clstmon-bio-biof-p06-sn0125</t>
        </is>
      </c>
      <c r="C3636" s="4" t="inlineStr">
        <is>
          <t>W00031886A</t>
        </is>
      </c>
      <c r="D3636" s="6">
        <f>IF(F3636&gt;=5, F3636-5, IF(F3636&lt;5, 0, F3636))</f>
        <v/>
      </c>
      <c r="E3636">
        <f>VLOOKUP(B3636,[1]Namshi!$A:$B,2,0)</f>
        <v/>
      </c>
      <c r="F3636" s="4">
        <f>SUMIFS('Dubai Stock'!I:I,'Dubai Stock'!H:H,Final_UAE!B:B)</f>
        <v/>
      </c>
      <c r="H3636" s="8" t="e">
        <v>#N/A</v>
      </c>
      <c r="I3636" s="8" t="n"/>
    </row>
    <row r="3637">
      <c r="A3637" s="4" t="n">
        <v>33834</v>
      </c>
      <c r="B3637" s="4" t="inlineStr">
        <is>
          <t>clstmon-sof-sl59-p06-sn0075</t>
        </is>
      </c>
      <c r="C3637" s="4" t="inlineStr">
        <is>
          <t>W00031886A</t>
        </is>
      </c>
      <c r="D3637" s="6">
        <f>IF(F3637&gt;=5, F3637-5, IF(F3637&lt;5, 0, F3637))</f>
        <v/>
      </c>
      <c r="E3637">
        <f>VLOOKUP(B3637,[1]Namshi!$A:$B,2,0)</f>
        <v/>
      </c>
      <c r="F3637" s="4">
        <f>SUMIFS('Dubai Stock'!I:I,'Dubai Stock'!H:H,Final_UAE!B:B)</f>
        <v/>
      </c>
      <c r="H3637" s="8" t="e">
        <v>#N/A</v>
      </c>
      <c r="I3637" s="8" t="n"/>
    </row>
    <row r="3638">
      <c r="A3638" s="4" t="n">
        <v>33834</v>
      </c>
      <c r="B3638" s="4" t="inlineStr">
        <is>
          <t>clstdai-acu-dfna-p30-sn0375</t>
        </is>
      </c>
      <c r="C3638" s="4" t="inlineStr">
        <is>
          <t>W00031886A</t>
        </is>
      </c>
      <c r="D3638" s="6">
        <f>IF(F3638&gt;=5, F3638-5, IF(F3638&lt;5, 0, F3638))</f>
        <v/>
      </c>
      <c r="E3638">
        <f>VLOOKUP(B3638,[1]Namshi!$A:$B,2,0)</f>
        <v/>
      </c>
      <c r="F3638" s="4">
        <f>SUMIFS('Dubai Stock'!I:I,'Dubai Stock'!H:H,Final_UAE!B:B)</f>
        <v/>
      </c>
      <c r="H3638" s="8" t="e">
        <v>#N/A</v>
      </c>
      <c r="I3638" s="8" t="n"/>
    </row>
    <row r="3639">
      <c r="A3639" s="4" t="n">
        <v>33834</v>
      </c>
      <c r="B3639" s="4" t="inlineStr">
        <is>
          <t>clstdai-lay-cont-p90-dazzle-brown-sp0000</t>
        </is>
      </c>
      <c r="C3639" s="4" t="inlineStr">
        <is>
          <t>W00031886A</t>
        </is>
      </c>
      <c r="D3639" s="6">
        <f>IF(F3639&gt;=5, F3639-5, IF(F3639&lt;5, 0, F3639))</f>
        <v/>
      </c>
      <c r="E3639">
        <f>VLOOKUP(B3639,[1]Namshi!$A:$B,2,0)</f>
        <v/>
      </c>
      <c r="F3639" s="4">
        <f>SUMIFS('Dubai Stock'!I:I,'Dubai Stock'!H:H,Final_UAE!B:B)</f>
        <v/>
      </c>
      <c r="H3639" s="8" t="e">
        <v>#N/A</v>
      </c>
      <c r="I3639" s="8" t="n"/>
    </row>
    <row r="3640">
      <c r="A3640" s="4" t="n">
        <v>33834</v>
      </c>
      <c r="B3640" s="4" t="inlineStr">
        <is>
          <t>su20101-30s-000280-0101-51</t>
        </is>
      </c>
      <c r="C3640" s="4" t="inlineStr">
        <is>
          <t>W00031886A</t>
        </is>
      </c>
      <c r="D3640" s="6">
        <f>IF(F3640&gt;=5, F3640-5, IF(F3640&lt;5, 0, F3640))</f>
        <v/>
      </c>
      <c r="E3640">
        <f>VLOOKUP(B3640,[1]Namshi!$A:$B,2,0)</f>
        <v/>
      </c>
      <c r="F3640" s="4">
        <f>SUMIFS('Dubai Stock'!I:I,'Dubai Stock'!H:H,Final_UAE!B:B)</f>
        <v/>
      </c>
      <c r="H3640" s="8" t="e">
        <v>#N/A</v>
      </c>
    </row>
    <row r="3641">
      <c r="A3641" s="4" t="n">
        <v>33834</v>
      </c>
      <c r="B3641" s="4" t="inlineStr">
        <is>
          <t>sm11706-30s-00205-1706p-55</t>
        </is>
      </c>
      <c r="C3641" s="4" t="inlineStr">
        <is>
          <t>W00031886A</t>
        </is>
      </c>
      <c r="D3641" s="6">
        <f>IF(F3641&gt;=5, F3641-5, IF(F3641&lt;5, 0, F3641))</f>
        <v/>
      </c>
      <c r="E3641">
        <f>VLOOKUP(B3641,[1]Namshi!$A:$B,2,0)</f>
        <v/>
      </c>
      <c r="F3641" s="4">
        <f>SUMIFS('Dubai Stock'!I:I,'Dubai Stock'!H:H,Final_UAE!B:B)</f>
        <v/>
      </c>
      <c r="H3641" s="8" t="e">
        <v>#N/A</v>
      </c>
    </row>
    <row r="3642">
      <c r="A3642" s="4" t="n">
        <v>33834</v>
      </c>
      <c r="B3642" s="4" t="inlineStr">
        <is>
          <t>clstdai-acu-dfna-p30-sn0900</t>
        </is>
      </c>
      <c r="C3642" s="4" t="inlineStr">
        <is>
          <t>W00031886A</t>
        </is>
      </c>
      <c r="D3642" s="6">
        <f>IF(F3642&gt;=5, F3642-5, IF(F3642&lt;5, 0, F3642))</f>
        <v/>
      </c>
      <c r="E3642">
        <f>VLOOKUP(B3642,[1]Namshi!$A:$B,2,0)</f>
        <v/>
      </c>
      <c r="F3642" s="4">
        <f>SUMIFS('Dubai Stock'!I:I,'Dubai Stock'!H:H,Final_UAE!B:B)</f>
        <v/>
      </c>
      <c r="H3642" s="8" t="e">
        <v>#N/A</v>
      </c>
      <c r="I3642" s="8" t="n"/>
    </row>
    <row r="3643">
      <c r="A3643" s="4" t="n">
        <v>33834</v>
      </c>
      <c r="B3643" s="4" t="inlineStr">
        <is>
          <t>clstdai-acu-dfna-p90-sn0400</t>
        </is>
      </c>
      <c r="C3643" s="4" t="inlineStr">
        <is>
          <t>W00031886A</t>
        </is>
      </c>
      <c r="D3643" s="6">
        <f>IF(F3643&gt;=5, F3643-5, IF(F3643&lt;5, 0, F3643))</f>
        <v/>
      </c>
      <c r="E3643">
        <f>VLOOKUP(B3643,[1]Namshi!$A:$B,2,0)</f>
        <v/>
      </c>
      <c r="F3643" s="4">
        <f>SUMIFS('Dubai Stock'!I:I,'Dubai Stock'!H:H,Final_UAE!B:B)</f>
        <v/>
      </c>
      <c r="H3643" s="8" t="e">
        <v>#N/A</v>
      </c>
      <c r="I3643" s="8" t="n"/>
    </row>
    <row r="3644">
      <c r="A3644" s="4" t="n">
        <v>33834</v>
      </c>
      <c r="B3644" s="4" t="inlineStr">
        <is>
          <t>cost3mo-lay-2021-p02-sunkiss-brown-sn0225</t>
        </is>
      </c>
      <c r="C3644" s="4" t="inlineStr">
        <is>
          <t>W00031886A</t>
        </is>
      </c>
      <c r="D3644" s="6">
        <f>IF(F3644&gt;=5, F3644-5, IF(F3644&lt;5, 0, F3644))</f>
        <v/>
      </c>
      <c r="E3644">
        <f>VLOOKUP(B3644,[1]Namshi!$A:$B,2,0)</f>
        <v/>
      </c>
      <c r="F3644" s="4">
        <f>SUMIFS('Dubai Stock'!I:I,'Dubai Stock'!H:H,Final_UAE!B:B)</f>
        <v/>
      </c>
      <c r="H3644" s="8" t="e">
        <v>#N/A</v>
      </c>
      <c r="I3644" s="8" t="n"/>
    </row>
    <row r="3645">
      <c r="A3645" s="4" t="n">
        <v>33834</v>
      </c>
      <c r="B3645" s="4" t="inlineStr">
        <is>
          <t>costmon-ama-2024-p02-matcha-sn0275</t>
        </is>
      </c>
      <c r="C3645" s="4" t="inlineStr">
        <is>
          <t>W00031886A</t>
        </is>
      </c>
      <c r="D3645" s="6">
        <f>IF(F3645&gt;=5, F3645-5, IF(F3645&lt;5, 0, F3645))</f>
        <v/>
      </c>
      <c r="E3645">
        <f>VLOOKUP(B3645,[1]Namshi!$A:$B,2,0)</f>
        <v/>
      </c>
      <c r="F3645" s="4">
        <f>SUMIFS('Dubai Stock'!I:I,'Dubai Stock'!H:H,Final_UAE!B:B)</f>
        <v/>
      </c>
      <c r="H3645" s="8" t="e">
        <v>#N/A</v>
      </c>
      <c r="I3645" s="8" t="n"/>
    </row>
    <row r="3646">
      <c r="A3646" s="4" t="n">
        <v>33834</v>
      </c>
      <c r="B3646" s="4" t="inlineStr">
        <is>
          <t>clstdai-acu-oasy-p90-sn0425</t>
        </is>
      </c>
      <c r="C3646" s="4" t="inlineStr">
        <is>
          <t>W00031886A</t>
        </is>
      </c>
      <c r="D3646" s="6">
        <f>IF(F3646&gt;=5, F3646-5, IF(F3646&lt;5, 0, F3646))</f>
        <v/>
      </c>
      <c r="E3646">
        <f>VLOOKUP(B3646,[1]Namshi!$A:$B,2,0)</f>
        <v/>
      </c>
      <c r="F3646" s="4">
        <f>SUMIFS('Dubai Stock'!I:I,'Dubai Stock'!H:H,Final_UAE!B:B)</f>
        <v/>
      </c>
      <c r="H3646" s="8" t="e">
        <v>#N/A</v>
      </c>
      <c r="I3646" s="8" t="n"/>
    </row>
    <row r="3647">
      <c r="A3647" s="4" t="n">
        <v>33834</v>
      </c>
      <c r="B3647" s="4" t="inlineStr">
        <is>
          <t>clstdai-lay-cont-p30-dazzle-brown-sn0950</t>
        </is>
      </c>
      <c r="C3647" s="4" t="inlineStr">
        <is>
          <t>W00031886A</t>
        </is>
      </c>
      <c r="D3647" s="6">
        <f>IF(F3647&gt;=5, F3647-5, IF(F3647&lt;5, 0, F3647))</f>
        <v/>
      </c>
      <c r="E3647">
        <f>VLOOKUP(B3647,[1]Namshi!$A:$B,2,0)</f>
        <v/>
      </c>
      <c r="F3647" s="4">
        <f>SUMIFS('Dubai Stock'!I:I,'Dubai Stock'!H:H,Final_UAE!B:B)</f>
        <v/>
      </c>
      <c r="H3647" s="8" t="e">
        <v>#N/A</v>
      </c>
      <c r="I3647" s="8" t="n"/>
    </row>
    <row r="3648">
      <c r="A3648" s="4" t="n">
        <v>33834</v>
      </c>
      <c r="B3648" s="4" t="inlineStr">
        <is>
          <t>clstdai-dai-aqua-p30-sp0250</t>
        </is>
      </c>
      <c r="C3648" s="4" t="inlineStr">
        <is>
          <t>W00031886A</t>
        </is>
      </c>
      <c r="D3648" s="6">
        <f>IF(F3648&gt;=5, F3648-5, IF(F3648&lt;5, 0, F3648))</f>
        <v/>
      </c>
      <c r="E3648">
        <f>VLOOKUP(B3648,[1]Namshi!$A:$B,2,0)</f>
        <v/>
      </c>
      <c r="F3648" s="4">
        <f>SUMIFS('Dubai Stock'!I:I,'Dubai Stock'!H:H,Final_UAE!B:B)</f>
        <v/>
      </c>
      <c r="H3648" s="8" t="e">
        <v>#N/A</v>
      </c>
      <c r="I3648" s="8" t="n"/>
    </row>
    <row r="3649">
      <c r="A3649" s="4" t="n">
        <v>33834</v>
      </c>
      <c r="B3649" s="4" t="inlineStr">
        <is>
          <t>costdai-acu-dffr-p10-hazel-sn0325</t>
        </is>
      </c>
      <c r="C3649" s="4" t="inlineStr">
        <is>
          <t>W00031886A</t>
        </is>
      </c>
      <c r="D3649" s="6">
        <f>IF(F3649&gt;=5, F3649-5, IF(F3649&lt;5, 0, F3649))</f>
        <v/>
      </c>
      <c r="E3649">
        <f>VLOOKUP(B3649,[1]Namshi!$A:$B,2,0)</f>
        <v/>
      </c>
      <c r="F3649" s="4">
        <f>SUMIFS('Dubai Stock'!I:I,'Dubai Stock'!H:H,Final_UAE!B:B)</f>
        <v/>
      </c>
      <c r="H3649" s="8" t="e">
        <v>#N/A</v>
      </c>
      <c r="I3649" s="8" t="n"/>
    </row>
    <row r="3650">
      <c r="A3650" s="4" t="n">
        <v>33834</v>
      </c>
      <c r="B3650" s="4" t="inlineStr">
        <is>
          <t>fu61218-spc-000864-1218-49</t>
        </is>
      </c>
      <c r="C3650" s="4" t="inlineStr">
        <is>
          <t>W00031886A</t>
        </is>
      </c>
      <c r="D3650" s="6">
        <f>IF(F3650&gt;=5, F3650-5, IF(F3650&lt;5, 0, F3650))</f>
        <v/>
      </c>
      <c r="E3650">
        <f>VLOOKUP(B3650,[1]Namshi!$A:$B,2,0)</f>
        <v/>
      </c>
      <c r="F3650" s="4">
        <f>SUMIFS('Dubai Stock'!I:I,'Dubai Stock'!H:H,Final_UAE!B:B)</f>
        <v/>
      </c>
      <c r="H3650" s="8" t="e">
        <v>#N/A</v>
      </c>
      <c r="I3650" s="8" t="n"/>
    </row>
    <row r="3651">
      <c r="A3651" s="4" t="n">
        <v>33834</v>
      </c>
      <c r="B3651" s="4" t="inlineStr">
        <is>
          <t>clstdai-bme-1day-p30-sn0225</t>
        </is>
      </c>
      <c r="C3651" s="4" t="inlineStr">
        <is>
          <t>W00031886A</t>
        </is>
      </c>
      <c r="D3651" s="6">
        <f>IF(F3651&gt;=5, F3651-5, IF(F3651&lt;5, 0, F3651))</f>
        <v/>
      </c>
      <c r="E3651">
        <f>VLOOKUP(B3651,[1]Namshi!$A:$B,2,0)</f>
        <v/>
      </c>
      <c r="F3651" s="4">
        <f>SUMIFS('Dubai Stock'!I:I,'Dubai Stock'!H:H,Final_UAE!B:B)</f>
        <v/>
      </c>
      <c r="H3651" s="8" t="e">
        <v>#N/A</v>
      </c>
      <c r="I3651" s="8" t="n"/>
    </row>
    <row r="3652">
      <c r="A3652" s="4" t="n">
        <v>33834</v>
      </c>
      <c r="B3652" s="4" t="inlineStr">
        <is>
          <t>clstdai-dai-aqua-p30-sp0300</t>
        </is>
      </c>
      <c r="C3652" s="4" t="inlineStr">
        <is>
          <t>W00031886A</t>
        </is>
      </c>
      <c r="D3652" s="6">
        <f>IF(F3652&gt;=5, F3652-5, IF(F3652&lt;5, 0, F3652))</f>
        <v/>
      </c>
      <c r="E3652">
        <f>VLOOKUP(B3652,[1]Namshi!$A:$B,2,0)</f>
        <v/>
      </c>
      <c r="F3652" s="4">
        <f>SUMIFS('Dubai Stock'!I:I,'Dubai Stock'!H:H,Final_UAE!B:B)</f>
        <v/>
      </c>
      <c r="H3652" s="8" t="e">
        <v>#N/A</v>
      </c>
      <c r="I3652" s="8" t="n"/>
    </row>
    <row r="3653">
      <c r="A3653" s="4" t="n">
        <v>33834</v>
      </c>
      <c r="B3653" s="4" t="inlineStr">
        <is>
          <t>clstdai-acu-omax-p30-sp0525</t>
        </is>
      </c>
      <c r="C3653" s="4" t="inlineStr">
        <is>
          <t>W00031886A</t>
        </is>
      </c>
      <c r="D3653" s="6">
        <f>IF(F3653&gt;=5, F3653-5, IF(F3653&lt;5, 0, F3653))</f>
        <v/>
      </c>
      <c r="E3653">
        <f>VLOOKUP(B3653,[1]Namshi!$A:$B,2,0)</f>
        <v/>
      </c>
      <c r="F3653" s="4">
        <f>SUMIFS('Dubai Stock'!I:I,'Dubai Stock'!H:H,Final_UAE!B:B)</f>
        <v/>
      </c>
      <c r="H3653" s="8" t="e">
        <v>#N/A</v>
      </c>
      <c r="I3653" s="8" t="n"/>
    </row>
    <row r="3654">
      <c r="A3654" s="4" t="n">
        <v>33834</v>
      </c>
      <c r="B3654" s="4" t="inlineStr">
        <is>
          <t>fc20118-bab-00552-0118d-45</t>
        </is>
      </c>
      <c r="C3654" s="4" t="inlineStr">
        <is>
          <t>W00031886A</t>
        </is>
      </c>
      <c r="D3654" s="6">
        <f>IF(F3654&gt;=5, F3654-5, IF(F3654&lt;5, 0, F3654))</f>
        <v/>
      </c>
      <c r="E3654">
        <f>VLOOKUP(B3654,[1]Namshi!$A:$B,2,0)</f>
        <v/>
      </c>
      <c r="F3654" s="4">
        <f>SUMIFS('Dubai Stock'!I:I,'Dubai Stock'!H:H,Final_UAE!B:B)</f>
        <v/>
      </c>
      <c r="H3654" s="8" t="e">
        <v>#N/A</v>
      </c>
      <c r="I3654" s="8" t="n"/>
    </row>
    <row r="3655">
      <c r="A3655" s="4" t="n">
        <v>33834</v>
      </c>
      <c r="B3655" s="4" t="inlineStr">
        <is>
          <t>clstdai-acu-omax-p30-sn0900</t>
        </is>
      </c>
      <c r="C3655" s="4" t="inlineStr">
        <is>
          <t>W00031886A</t>
        </is>
      </c>
      <c r="D3655" s="6">
        <f>IF(F3655&gt;=5, F3655-5, IF(F3655&lt;5, 0, F3655))</f>
        <v/>
      </c>
      <c r="E3655">
        <f>VLOOKUP(B3655,[1]Namshi!$A:$B,2,0)</f>
        <v/>
      </c>
      <c r="F3655" s="4">
        <f>SUMIFS('Dubai Stock'!I:I,'Dubai Stock'!H:H,Final_UAE!B:B)</f>
        <v/>
      </c>
      <c r="H3655" s="8" t="e">
        <v>#N/A</v>
      </c>
      <c r="I3655" s="8" t="n"/>
    </row>
    <row r="3656">
      <c r="A3656" s="4" t="n">
        <v>33834</v>
      </c>
      <c r="B3656" s="4" t="inlineStr">
        <is>
          <t>cost3mo-lay-2022-p02-sage-gray-sn0050</t>
        </is>
      </c>
      <c r="C3656" s="4" t="inlineStr">
        <is>
          <t>W00031886A</t>
        </is>
      </c>
      <c r="D3656" s="6">
        <f>IF(F3656&gt;=5, F3656-5, IF(F3656&lt;5, 0, F3656))</f>
        <v/>
      </c>
      <c r="E3656">
        <f>VLOOKUP(B3656,[1]Namshi!$A:$B,2,0)</f>
        <v/>
      </c>
      <c r="F3656" s="4">
        <f>SUMIFS('Dubai Stock'!I:I,'Dubai Stock'!H:H,Final_UAE!B:B)</f>
        <v/>
      </c>
      <c r="H3656" s="8" t="e">
        <v>#N/A</v>
      </c>
      <c r="I3656" s="8" t="n"/>
    </row>
    <row r="3657">
      <c r="A3657" s="4" t="n">
        <v>33834</v>
      </c>
      <c r="B3657" s="4" t="inlineStr">
        <is>
          <t>costdai-acu-dffr-p10-hazel-sn0400</t>
        </is>
      </c>
      <c r="C3657" s="4" t="inlineStr">
        <is>
          <t>W00031886A</t>
        </is>
      </c>
      <c r="D3657" s="6">
        <f>IF(F3657&gt;=5, F3657-5, IF(F3657&lt;5, 0, F3657))</f>
        <v/>
      </c>
      <c r="E3657">
        <f>VLOOKUP(B3657,[1]Namshi!$A:$B,2,0)</f>
        <v/>
      </c>
      <c r="F3657" s="4">
        <f>SUMIFS('Dubai Stock'!I:I,'Dubai Stock'!H:H,Final_UAE!B:B)</f>
        <v/>
      </c>
      <c r="H3657" s="8" t="e">
        <v>#N/A</v>
      </c>
      <c r="I3657" s="8" t="n"/>
    </row>
    <row r="3658">
      <c r="A3658" s="4" t="n">
        <v>33834</v>
      </c>
      <c r="B3658" s="4" t="inlineStr">
        <is>
          <t>cost3mo-lay-2024-p02-moon-gray-sn0125</t>
        </is>
      </c>
      <c r="C3658" s="4" t="inlineStr">
        <is>
          <t>W00031886A</t>
        </is>
      </c>
      <c r="D3658" s="6">
        <f>IF(F3658&gt;=5, F3658-5, IF(F3658&lt;5, 0, F3658))</f>
        <v/>
      </c>
      <c r="E3658">
        <f>VLOOKUP(B3658,[1]Namshi!$A:$B,2,0)</f>
        <v/>
      </c>
      <c r="F3658" s="4">
        <f>SUMIFS('Dubai Stock'!I:I,'Dubai Stock'!H:H,Final_UAE!B:B)</f>
        <v/>
      </c>
      <c r="H3658" s="8" t="e">
        <v>#N/A</v>
      </c>
      <c r="I3658" s="8" t="n"/>
    </row>
    <row r="3659">
      <c r="A3659" s="4" t="n">
        <v>33834</v>
      </c>
      <c r="B3659" s="4" t="inlineStr">
        <is>
          <t>costdai-acu-dffr-p10-rose-sn0400</t>
        </is>
      </c>
      <c r="C3659" s="4" t="inlineStr">
        <is>
          <t>W00031886A</t>
        </is>
      </c>
      <c r="D3659" s="6">
        <f>IF(F3659&gt;=5, F3659-5, IF(F3659&lt;5, 0, F3659))</f>
        <v/>
      </c>
      <c r="E3659">
        <f>VLOOKUP(B3659,[1]Namshi!$A:$B,2,0)</f>
        <v/>
      </c>
      <c r="F3659" s="4">
        <f>SUMIFS('Dubai Stock'!I:I,'Dubai Stock'!H:H,Final_UAE!B:B)</f>
        <v/>
      </c>
      <c r="H3659" s="8" t="e">
        <v>#N/A</v>
      </c>
      <c r="I3659" s="8" t="n"/>
    </row>
    <row r="3660">
      <c r="A3660" s="4" t="n">
        <v>33834</v>
      </c>
      <c r="B3660" s="4" t="inlineStr">
        <is>
          <t>clstdai-cti-cla1-p30-sn0225</t>
        </is>
      </c>
      <c r="C3660" s="4" t="inlineStr">
        <is>
          <t>W00031886A</t>
        </is>
      </c>
      <c r="D3660" s="6">
        <f>IF(F3660&gt;=5, F3660-5, IF(F3660&lt;5, 0, F3660))</f>
        <v/>
      </c>
      <c r="E3660">
        <f>VLOOKUP(B3660,[1]Namshi!$A:$B,2,0)</f>
        <v/>
      </c>
      <c r="F3660" s="4">
        <f>SUMIFS('Dubai Stock'!I:I,'Dubai Stock'!H:H,Final_UAE!B:B)</f>
        <v/>
      </c>
      <c r="H3660" s="8" t="e">
        <v>#N/A</v>
      </c>
      <c r="I3660" s="8" t="n"/>
    </row>
    <row r="3661">
      <c r="A3661" s="4" t="n">
        <v>33834</v>
      </c>
      <c r="B3661" s="4" t="inlineStr">
        <is>
          <t>clstdai-lay-cont-p60-dazzle-black-sn0500</t>
        </is>
      </c>
      <c r="C3661" s="4" t="inlineStr">
        <is>
          <t>W00031886A</t>
        </is>
      </c>
      <c r="D3661" s="6">
        <f>IF(F3661&gt;=5, F3661-5, IF(F3661&lt;5, 0, F3661))</f>
        <v/>
      </c>
      <c r="E3661">
        <f>VLOOKUP(B3661,[1]Namshi!$A:$B,2,0)</f>
        <v/>
      </c>
      <c r="F3661" s="4">
        <f>SUMIFS('Dubai Stock'!I:I,'Dubai Stock'!H:H,Final_UAE!B:B)</f>
        <v/>
      </c>
      <c r="H3661" s="8" t="e">
        <v>#N/A</v>
      </c>
      <c r="I3661" s="8" t="n"/>
    </row>
    <row r="3662">
      <c r="A3662" s="4" t="n">
        <v>33834</v>
      </c>
      <c r="B3662" s="4" t="inlineStr">
        <is>
          <t>costdai-ama-dail-p10-amber-sn0300</t>
        </is>
      </c>
      <c r="C3662" s="4" t="inlineStr">
        <is>
          <t>W00031886A</t>
        </is>
      </c>
      <c r="D3662" s="6">
        <f>IF(F3662&gt;=5, F3662-5, IF(F3662&lt;5, 0, F3662))</f>
        <v/>
      </c>
      <c r="E3662">
        <f>VLOOKUP(B3662,[1]Namshi!$A:$B,2,0)</f>
        <v/>
      </c>
      <c r="F3662" s="4">
        <f>SUMIFS('Dubai Stock'!I:I,'Dubai Stock'!H:H,Final_UAE!B:B)</f>
        <v/>
      </c>
      <c r="H3662" s="8" t="e">
        <v>#N/A</v>
      </c>
      <c r="I3662" s="8" t="n"/>
    </row>
    <row r="3663">
      <c r="A3663" s="4" t="n">
        <v>33834</v>
      </c>
      <c r="B3663" s="4" t="inlineStr">
        <is>
          <t>clstdai-dai-tot1-p30-sn0550</t>
        </is>
      </c>
      <c r="C3663" s="4" t="inlineStr">
        <is>
          <t>W00031886A</t>
        </is>
      </c>
      <c r="D3663" s="6">
        <f>IF(F3663&gt;=5, F3663-5, IF(F3663&lt;5, 0, F3663))</f>
        <v/>
      </c>
      <c r="E3663">
        <f>VLOOKUP(B3663,[1]Namshi!$A:$B,2,0)</f>
        <v/>
      </c>
      <c r="F3663" s="4">
        <f>SUMIFS('Dubai Stock'!I:I,'Dubai Stock'!H:H,Final_UAE!B:B)</f>
        <v/>
      </c>
      <c r="H3663" s="8" t="e">
        <v>#N/A</v>
      </c>
      <c r="I3663" s="8" t="n"/>
    </row>
    <row r="3664">
      <c r="A3664" s="4" t="n">
        <v>33834</v>
      </c>
      <c r="B3664" s="4" t="inlineStr">
        <is>
          <t>clstdai-acu-mois-p60-sn0400</t>
        </is>
      </c>
      <c r="C3664" s="4" t="inlineStr">
        <is>
          <t>W00031886A</t>
        </is>
      </c>
      <c r="D3664" s="6">
        <f>IF(F3664&gt;=5, F3664-5, IF(F3664&lt;5, 0, F3664))</f>
        <v/>
      </c>
      <c r="E3664">
        <f>VLOOKUP(B3664,[1]Namshi!$A:$B,2,0)</f>
        <v/>
      </c>
      <c r="F3664" s="4">
        <f>SUMIFS('Dubai Stock'!I:I,'Dubai Stock'!H:H,Final_UAE!B:B)</f>
        <v/>
      </c>
      <c r="H3664" s="8" t="e">
        <v>#N/A</v>
      </c>
      <c r="I3664" s="8" t="n"/>
    </row>
    <row r="3665">
      <c r="A3665" s="4" t="n">
        <v>33834</v>
      </c>
      <c r="B3665" s="4" t="inlineStr">
        <is>
          <t>cost3mo-lay-lens-p02-platinum-gray-sn0450</t>
        </is>
      </c>
      <c r="C3665" s="4" t="inlineStr">
        <is>
          <t>W00031886A</t>
        </is>
      </c>
      <c r="D3665" s="6">
        <f>IF(F3665&gt;=5, F3665-5, IF(F3665&lt;5, 0, F3665))</f>
        <v/>
      </c>
      <c r="E3665">
        <f>VLOOKUP(B3665,[1]Namshi!$A:$B,2,0)</f>
        <v/>
      </c>
      <c r="F3665" s="4">
        <f>SUMIFS('Dubai Stock'!I:I,'Dubai Stock'!H:H,Final_UAE!B:B)</f>
        <v/>
      </c>
      <c r="H3665" s="8" t="e">
        <v>#N/A</v>
      </c>
      <c r="I3665" s="8" t="n"/>
    </row>
    <row r="3666">
      <c r="A3666" s="4" t="n">
        <v>33834</v>
      </c>
      <c r="B3666" s="4" t="inlineStr">
        <is>
          <t>fw72318-spc-000667-2318-57</t>
        </is>
      </c>
      <c r="C3666" s="4" t="inlineStr">
        <is>
          <t>W00031886A</t>
        </is>
      </c>
      <c r="D3666" s="6">
        <f>IF(F3666&gt;=5, F3666-5, IF(F3666&lt;5, 0, F3666))</f>
        <v/>
      </c>
      <c r="E3666">
        <f>VLOOKUP(B3666,[1]Namshi!$A:$B,2,0)</f>
        <v/>
      </c>
      <c r="F3666" s="4">
        <f>SUMIFS('Dubai Stock'!I:I,'Dubai Stock'!H:H,Final_UAE!B:B)</f>
        <v/>
      </c>
      <c r="H3666" s="8" t="e">
        <v>#N/A</v>
      </c>
      <c r="I3666" s="8" t="n"/>
    </row>
    <row r="3667">
      <c r="A3667" s="4" t="n">
        <v>33834</v>
      </c>
      <c r="B3667" s="4" t="inlineStr">
        <is>
          <t>cost3mo-lay-2022-p02-cosmo-gray-sn0450</t>
        </is>
      </c>
      <c r="C3667" s="4" t="inlineStr">
        <is>
          <t>W00031886A</t>
        </is>
      </c>
      <c r="D3667" s="6">
        <f>IF(F3667&gt;=5, F3667-5, IF(F3667&lt;5, 0, F3667))</f>
        <v/>
      </c>
      <c r="E3667">
        <f>VLOOKUP(B3667,[1]Namshi!$A:$B,2,0)</f>
        <v/>
      </c>
      <c r="F3667" s="4">
        <f>SUMIFS('Dubai Stock'!I:I,'Dubai Stock'!H:H,Final_UAE!B:B)</f>
        <v/>
      </c>
      <c r="H3667" s="8" t="e">
        <v>#N/A</v>
      </c>
      <c r="I3667" s="8" t="n"/>
    </row>
    <row r="3668">
      <c r="A3668" s="4" t="n">
        <v>33834</v>
      </c>
      <c r="B3668" s="4" t="inlineStr">
        <is>
          <t>clstdai-lay-cont-p60-dazzle-black-sn0275</t>
        </is>
      </c>
      <c r="C3668" s="4" t="inlineStr">
        <is>
          <t>W00031886A</t>
        </is>
      </c>
      <c r="D3668" s="6">
        <f>IF(F3668&gt;=5, F3668-5, IF(F3668&lt;5, 0, F3668))</f>
        <v/>
      </c>
      <c r="E3668">
        <f>VLOOKUP(B3668,[1]Namshi!$A:$B,2,0)</f>
        <v/>
      </c>
      <c r="F3668" s="4">
        <f>SUMIFS('Dubai Stock'!I:I,'Dubai Stock'!H:H,Final_UAE!B:B)</f>
        <v/>
      </c>
      <c r="H3668" s="8" t="e">
        <v>#N/A</v>
      </c>
      <c r="I3668" s="8" t="n"/>
    </row>
    <row r="3669">
      <c r="A3669" s="4" t="n">
        <v>33834</v>
      </c>
      <c r="B3669" s="4" t="inlineStr">
        <is>
          <t>clstdai-dai-aqua-p30-sn1500</t>
        </is>
      </c>
      <c r="C3669" s="4" t="inlineStr">
        <is>
          <t>W00031886A</t>
        </is>
      </c>
      <c r="D3669" s="6">
        <f>IF(F3669&gt;=5, F3669-5, IF(F3669&lt;5, 0, F3669))</f>
        <v/>
      </c>
      <c r="E3669">
        <f>VLOOKUP(B3669,[1]Namshi!$A:$B,2,0)</f>
        <v/>
      </c>
      <c r="F3669" s="4">
        <f>SUMIFS('Dubai Stock'!I:I,'Dubai Stock'!H:H,Final_UAE!B:B)</f>
        <v/>
      </c>
      <c r="H3669" s="8" t="e">
        <v>#N/A</v>
      </c>
      <c r="I3669" s="8" t="n"/>
    </row>
    <row r="3670">
      <c r="A3670" s="4" t="n">
        <v>33834</v>
      </c>
      <c r="B3670" s="4" t="inlineStr">
        <is>
          <t>clstdai-acu-oasy-p120-sn0900</t>
        </is>
      </c>
      <c r="C3670" s="4" t="inlineStr">
        <is>
          <t>W00031886A</t>
        </is>
      </c>
      <c r="D3670" s="6">
        <f>IF(F3670&gt;=5, F3670-5, IF(F3670&lt;5, 0, F3670))</f>
        <v/>
      </c>
      <c r="E3670">
        <f>VLOOKUP(B3670,[1]Namshi!$A:$B,2,0)</f>
        <v/>
      </c>
      <c r="F3670" s="4">
        <f>SUMIFS('Dubai Stock'!I:I,'Dubai Stock'!H:H,Final_UAE!B:B)</f>
        <v/>
      </c>
      <c r="H3670" s="8" t="e">
        <v>#N/A</v>
      </c>
      <c r="I3670" s="8" t="n"/>
    </row>
    <row r="3671">
      <c r="A3671" s="4" t="n">
        <v>33834</v>
      </c>
      <c r="B3671" s="4" t="inlineStr">
        <is>
          <t>cost3mo-lay-2024-p02-moon-gray-sn0300</t>
        </is>
      </c>
      <c r="C3671" s="4" t="inlineStr">
        <is>
          <t>W00031886A</t>
        </is>
      </c>
      <c r="D3671" s="6">
        <f>IF(F3671&gt;=5, F3671-5, IF(F3671&lt;5, 0, F3671))</f>
        <v/>
      </c>
      <c r="E3671">
        <f>VLOOKUP(B3671,[1]Namshi!$A:$B,2,0)</f>
        <v/>
      </c>
      <c r="F3671" s="4">
        <f>SUMIFS('Dubai Stock'!I:I,'Dubai Stock'!H:H,Final_UAE!B:B)</f>
        <v/>
      </c>
      <c r="H3671" s="8" t="e">
        <v>#N/A</v>
      </c>
      <c r="I3671" s="8" t="n"/>
    </row>
    <row r="3672">
      <c r="A3672" s="4" t="n">
        <v>33834</v>
      </c>
      <c r="B3672" s="4" t="inlineStr">
        <is>
          <t>clstdai-sof-sdai-p30-sn0075</t>
        </is>
      </c>
      <c r="C3672" s="4" t="inlineStr">
        <is>
          <t>W00031886A</t>
        </is>
      </c>
      <c r="D3672" s="6">
        <f>IF(F3672&gt;=5, F3672-5, IF(F3672&lt;5, 0, F3672))</f>
        <v/>
      </c>
      <c r="E3672">
        <f>VLOOKUP(B3672,[1]Namshi!$A:$B,2,0)</f>
        <v/>
      </c>
      <c r="F3672" s="4">
        <f>SUMIFS('Dubai Stock'!I:I,'Dubai Stock'!H:H,Final_UAE!B:B)</f>
        <v/>
      </c>
      <c r="H3672" s="8" t="e">
        <v>#N/A</v>
      </c>
      <c r="I3672" s="8" t="n"/>
    </row>
    <row r="3673">
      <c r="A3673" s="4" t="n">
        <v>33834</v>
      </c>
      <c r="B3673" s="4" t="inlineStr">
        <is>
          <t>sacchan-30s-gigi-rose-gold</t>
        </is>
      </c>
      <c r="C3673" s="4" t="inlineStr">
        <is>
          <t>W00031886A</t>
        </is>
      </c>
      <c r="D3673" s="6">
        <f>IF(F3673&gt;=5, F3673-5, IF(F3673&lt;5, 0, F3673))</f>
        <v/>
      </c>
      <c r="E3673">
        <f>VLOOKUP(B3673,[1]Namshi!$A:$B,2,0)</f>
        <v/>
      </c>
      <c r="F3673" s="4">
        <f>SUMIFS('Dubai Stock'!I:I,'Dubai Stock'!H:H,Final_UAE!B:B)</f>
        <v/>
      </c>
      <c r="H3673" s="8" t="e">
        <v>#N/A</v>
      </c>
      <c r="I3673" s="8" t="n"/>
    </row>
    <row r="3674">
      <c r="A3674" s="4" t="n">
        <v>33834</v>
      </c>
      <c r="B3674" s="4" t="inlineStr">
        <is>
          <t>costdai-acu-dffr-p10-honey-sn0200</t>
        </is>
      </c>
      <c r="C3674" s="4" t="inlineStr">
        <is>
          <t>W00031886A</t>
        </is>
      </c>
      <c r="D3674" s="6">
        <f>IF(F3674&gt;=5, F3674-5, IF(F3674&lt;5, 0, F3674))</f>
        <v/>
      </c>
      <c r="E3674">
        <f>VLOOKUP(B3674,[1]Namshi!$A:$B,2,0)</f>
        <v/>
      </c>
      <c r="F3674" s="4">
        <f>SUMIFS('Dubai Stock'!I:I,'Dubai Stock'!H:H,Final_UAE!B:B)</f>
        <v/>
      </c>
      <c r="H3674" s="8" t="e">
        <v>#N/A</v>
      </c>
      <c r="I3674" s="8" t="n"/>
    </row>
    <row r="3675">
      <c r="A3675" s="4" t="n">
        <v>33834</v>
      </c>
      <c r="B3675" s="4" t="inlineStr">
        <is>
          <t>clstdai-eve-elit-p30-sp0275</t>
        </is>
      </c>
      <c r="C3675" s="4" t="inlineStr">
        <is>
          <t>W00031886A</t>
        </is>
      </c>
      <c r="D3675" s="6">
        <f>IF(F3675&gt;=5, F3675-5, IF(F3675&lt;5, 0, F3675))</f>
        <v/>
      </c>
      <c r="E3675">
        <f>VLOOKUP(B3675,[1]Namshi!$A:$B,2,0)</f>
        <v/>
      </c>
      <c r="F3675" s="4">
        <f>SUMIFS('Dubai Stock'!I:I,'Dubai Stock'!H:H,Final_UAE!B:B)</f>
        <v/>
      </c>
      <c r="H3675" s="8" t="n">
        <v>261</v>
      </c>
      <c r="I3675" s="8" t="n">
        <v>146.3</v>
      </c>
    </row>
    <row r="3676">
      <c r="A3676" s="4" t="n">
        <v>33834</v>
      </c>
      <c r="B3676" s="4" t="inlineStr">
        <is>
          <t>clstdai-acu-dfrb-p60-sn0100</t>
        </is>
      </c>
      <c r="C3676" s="4" t="inlineStr">
        <is>
          <t>W00031886A</t>
        </is>
      </c>
      <c r="D3676" s="6">
        <f>IF(F3676&gt;=5, F3676-5, IF(F3676&lt;5, 0, F3676))</f>
        <v/>
      </c>
      <c r="E3676">
        <f>VLOOKUP(B3676,[1]Namshi!$A:$B,2,0)</f>
        <v/>
      </c>
      <c r="F3676" s="4">
        <f>SUMIFS('Dubai Stock'!I:I,'Dubai Stock'!H:H,Final_UAE!B:B)</f>
        <v/>
      </c>
      <c r="H3676" s="8" t="e">
        <v>#N/A</v>
      </c>
      <c r="I3676" s="8" t="n"/>
    </row>
    <row r="3677">
      <c r="A3677" s="4" t="n">
        <v>33834</v>
      </c>
      <c r="B3677" s="4" t="inlineStr">
        <is>
          <t>costdai-acu-dffr-p30-green-sn0750</t>
        </is>
      </c>
      <c r="C3677" s="4" t="inlineStr">
        <is>
          <t>W00031886A</t>
        </is>
      </c>
      <c r="D3677" s="6">
        <f>IF(F3677&gt;=5, F3677-5, IF(F3677&lt;5, 0, F3677))</f>
        <v/>
      </c>
      <c r="E3677">
        <f>VLOOKUP(B3677,[1]Namshi!$A:$B,2,0)</f>
        <v/>
      </c>
      <c r="F3677" s="4">
        <f>SUMIFS('Dubai Stock'!I:I,'Dubai Stock'!H:H,Final_UAE!B:B)</f>
        <v/>
      </c>
      <c r="H3677" s="8" t="e">
        <v>#N/A</v>
      </c>
      <c r="I3677" s="8" t="n"/>
    </row>
    <row r="3678">
      <c r="A3678" s="4" t="n">
        <v>33834</v>
      </c>
      <c r="B3678" s="4" t="inlineStr">
        <is>
          <t>clstdai-acu-dfrb-p60-sn0800</t>
        </is>
      </c>
      <c r="C3678" s="4" t="inlineStr">
        <is>
          <t>W00031886A</t>
        </is>
      </c>
      <c r="D3678" s="6">
        <f>IF(F3678&gt;=5, F3678-5, IF(F3678&lt;5, 0, F3678))</f>
        <v/>
      </c>
      <c r="E3678">
        <f>VLOOKUP(B3678,[1]Namshi!$A:$B,2,0)</f>
        <v/>
      </c>
      <c r="F3678" s="4">
        <f>SUMIFS('Dubai Stock'!I:I,'Dubai Stock'!H:H,Final_UAE!B:B)</f>
        <v/>
      </c>
      <c r="H3678" s="8" t="e">
        <v>#N/A</v>
      </c>
      <c r="I3678" s="8" t="n"/>
    </row>
    <row r="3679">
      <c r="A3679" s="4" t="n">
        <v>33834</v>
      </c>
      <c r="B3679" s="4" t="inlineStr">
        <is>
          <t>costmon-ama-2022-p02-cocoa-sn0275</t>
        </is>
      </c>
      <c r="C3679" s="4" t="inlineStr">
        <is>
          <t>W00031886A</t>
        </is>
      </c>
      <c r="D3679" s="6">
        <f>IF(F3679&gt;=5, F3679-5, IF(F3679&lt;5, 0, F3679))</f>
        <v/>
      </c>
      <c r="E3679">
        <f>VLOOKUP(B3679,[1]Namshi!$A:$B,2,0)</f>
        <v/>
      </c>
      <c r="F3679" s="4">
        <f>SUMIFS('Dubai Stock'!I:I,'Dubai Stock'!H:H,Final_UAE!B:B)</f>
        <v/>
      </c>
      <c r="H3679" s="8" t="e">
        <v>#N/A</v>
      </c>
      <c r="I3679" s="8" t="n"/>
    </row>
    <row r="3680">
      <c r="A3680" s="4" t="n">
        <v>33834</v>
      </c>
      <c r="B3680" s="4" t="inlineStr">
        <is>
          <t>clstbiw-acu-oasy-p06-sp0450</t>
        </is>
      </c>
      <c r="C3680" s="4" t="inlineStr">
        <is>
          <t>W00031886A</t>
        </is>
      </c>
      <c r="D3680" s="6">
        <f>IF(F3680&gt;=5, F3680-5, IF(F3680&lt;5, 0, F3680))</f>
        <v/>
      </c>
      <c r="E3680">
        <f>VLOOKUP(B3680,[1]Namshi!$A:$B,2,0)</f>
        <v/>
      </c>
      <c r="F3680" s="4">
        <f>SUMIFS('Dubai Stock'!I:I,'Dubai Stock'!H:H,Final_UAE!B:B)</f>
        <v/>
      </c>
      <c r="H3680" s="8" t="e">
        <v>#N/A</v>
      </c>
      <c r="I3680" s="8" t="n"/>
    </row>
    <row r="3681">
      <c r="A3681" s="4" t="n">
        <v>33834</v>
      </c>
      <c r="B3681" s="4" t="inlineStr">
        <is>
          <t>sm50607-30s-000452-0607-48</t>
        </is>
      </c>
      <c r="C3681" s="4" t="inlineStr">
        <is>
          <t>W00031886A</t>
        </is>
      </c>
      <c r="D3681" s="6">
        <f>IF(F3681&gt;=5, F3681-5, IF(F3681&lt;5, 0, F3681))</f>
        <v/>
      </c>
      <c r="E3681">
        <f>VLOOKUP(B3681,[1]Namshi!$A:$B,2,0)</f>
        <v/>
      </c>
      <c r="F3681" s="4">
        <f>SUMIFS('Dubai Stock'!I:I,'Dubai Stock'!H:H,Final_UAE!B:B)</f>
        <v/>
      </c>
      <c r="H3681" s="8" t="e">
        <v>#N/A</v>
      </c>
    </row>
    <row r="3682">
      <c r="A3682" s="4" t="n">
        <v>33834</v>
      </c>
      <c r="B3682" s="4" t="inlineStr">
        <is>
          <t>cost3mo-lay-2024-p02-terra-brown-sn0175</t>
        </is>
      </c>
      <c r="C3682" s="4" t="inlineStr">
        <is>
          <t>W00031886A</t>
        </is>
      </c>
      <c r="D3682" s="6">
        <f>IF(F3682&gt;=5, F3682-5, IF(F3682&lt;5, 0, F3682))</f>
        <v/>
      </c>
      <c r="E3682">
        <f>VLOOKUP(B3682,[1]Namshi!$A:$B,2,0)</f>
        <v/>
      </c>
      <c r="F3682" s="4">
        <f>SUMIFS('Dubai Stock'!I:I,'Dubai Stock'!H:H,Final_UAE!B:B)</f>
        <v/>
      </c>
      <c r="H3682" s="8" t="e">
        <v>#N/A</v>
      </c>
      <c r="I3682" s="8" t="n"/>
    </row>
    <row r="3683">
      <c r="A3683" s="4" t="n">
        <v>33834</v>
      </c>
      <c r="B3683" s="4" t="inlineStr">
        <is>
          <t>clstdai-dai-aqua-p30-sn0400</t>
        </is>
      </c>
      <c r="C3683" s="4" t="inlineStr">
        <is>
          <t>W00031886A</t>
        </is>
      </c>
      <c r="D3683" s="6">
        <f>IF(F3683&gt;=5, F3683-5, IF(F3683&lt;5, 0, F3683))</f>
        <v/>
      </c>
      <c r="E3683">
        <f>VLOOKUP(B3683,[1]Namshi!$A:$B,2,0)</f>
        <v/>
      </c>
      <c r="F3683" s="4">
        <f>SUMIFS('Dubai Stock'!I:I,'Dubai Stock'!H:H,Final_UAE!B:B)</f>
        <v/>
      </c>
      <c r="H3683" s="8" t="e">
        <v>#N/A</v>
      </c>
      <c r="I3683" s="8" t="n"/>
    </row>
    <row r="3684">
      <c r="A3684" s="4" t="n">
        <v>33834</v>
      </c>
      <c r="B3684" s="4" t="inlineStr">
        <is>
          <t>clstdai-eve-elit-p30-sn0575</t>
        </is>
      </c>
      <c r="C3684" s="4" t="inlineStr">
        <is>
          <t>W00031886A</t>
        </is>
      </c>
      <c r="D3684" s="6">
        <f>IF(F3684&gt;=5, F3684-5, IF(F3684&lt;5, 0, F3684))</f>
        <v/>
      </c>
      <c r="E3684">
        <f>VLOOKUP(B3684,[1]Namshi!$A:$B,2,0)</f>
        <v/>
      </c>
      <c r="F3684" s="4">
        <f>SUMIFS('Dubai Stock'!I:I,'Dubai Stock'!H:H,Final_UAE!B:B)</f>
        <v/>
      </c>
      <c r="H3684" s="8" t="n">
        <v>261</v>
      </c>
      <c r="I3684" s="8" t="n">
        <v>146.3</v>
      </c>
    </row>
    <row r="3685">
      <c r="A3685" s="4" t="n">
        <v>33834</v>
      </c>
      <c r="B3685" s="4" t="inlineStr">
        <is>
          <t>sunglasses-30Sundays-30s-000467-1402</t>
        </is>
      </c>
      <c r="C3685" s="4" t="inlineStr">
        <is>
          <t>W00031886A</t>
        </is>
      </c>
      <c r="D3685" s="6">
        <f>IF(F3685&gt;=5, F3685-5, IF(F3685&lt;5, 0, F3685))</f>
        <v/>
      </c>
      <c r="E3685">
        <f>VLOOKUP(B3685,[1]Namshi!$A:$B,2,0)</f>
        <v/>
      </c>
      <c r="F3685" s="4">
        <f>SUMIFS('Dubai Stock'!I:I,'Dubai Stock'!H:H,Final_UAE!B:B)</f>
        <v/>
      </c>
      <c r="H3685" s="8" t="e">
        <v>#N/A</v>
      </c>
      <c r="I3685" s="8" t="n"/>
    </row>
    <row r="3686">
      <c r="A3686" s="4" t="n">
        <v>33834</v>
      </c>
      <c r="B3686" s="4" t="inlineStr">
        <is>
          <t>cost3mo-lay-lens-p02-chestnut-brown-sn0225</t>
        </is>
      </c>
      <c r="C3686" s="4" t="inlineStr">
        <is>
          <t>W00031886A</t>
        </is>
      </c>
      <c r="D3686" s="6">
        <f>IF(F3686&gt;=5, F3686-5, IF(F3686&lt;5, 0, F3686))</f>
        <v/>
      </c>
      <c r="E3686">
        <f>VLOOKUP(B3686,[1]Namshi!$A:$B,2,0)</f>
        <v/>
      </c>
      <c r="F3686" s="4">
        <f>SUMIFS('Dubai Stock'!I:I,'Dubai Stock'!H:H,Final_UAE!B:B)</f>
        <v/>
      </c>
      <c r="H3686" s="8" t="e">
        <v>#N/A</v>
      </c>
      <c r="I3686" s="8" t="n"/>
    </row>
    <row r="3687">
      <c r="A3687" s="4" t="n">
        <v>33834</v>
      </c>
      <c r="B3687" s="4" t="inlineStr">
        <is>
          <t>su102107-bla-000322-2107-48</t>
        </is>
      </c>
      <c r="C3687" s="4" t="inlineStr">
        <is>
          <t>W00031886A</t>
        </is>
      </c>
      <c r="D3687" s="6">
        <f>IF(F3687&gt;=5, F3687-5, IF(F3687&lt;5, 0, F3687))</f>
        <v/>
      </c>
      <c r="E3687">
        <f>VLOOKUP(B3687,[1]Namshi!$A:$B,2,0)</f>
        <v/>
      </c>
      <c r="F3687" s="4">
        <f>SUMIFS('Dubai Stock'!I:I,'Dubai Stock'!H:H,Final_UAE!B:B)</f>
        <v/>
      </c>
      <c r="H3687" s="8" t="e">
        <v>#N/A</v>
      </c>
    </row>
    <row r="3688">
      <c r="A3688" s="4" t="n">
        <v>33834</v>
      </c>
      <c r="B3688" s="4" t="inlineStr">
        <is>
          <t>clstdai-eve-pure-p30-sn0700</t>
        </is>
      </c>
      <c r="C3688" s="4" t="inlineStr">
        <is>
          <t>W00031886A</t>
        </is>
      </c>
      <c r="D3688" s="6">
        <f>IF(F3688&gt;=5, F3688-5, IF(F3688&lt;5, 0, F3688))</f>
        <v/>
      </c>
      <c r="E3688">
        <f>VLOOKUP(B3688,[1]Namshi!$A:$B,2,0)</f>
        <v/>
      </c>
      <c r="F3688" s="4">
        <f>SUMIFS('Dubai Stock'!I:I,'Dubai Stock'!H:H,Final_UAE!B:B)</f>
        <v/>
      </c>
      <c r="H3688" s="8" t="n">
        <v>186</v>
      </c>
      <c r="I3688" s="8" t="n">
        <v>104.3</v>
      </c>
    </row>
    <row r="3689">
      <c r="A3689" s="4" t="n">
        <v>33834</v>
      </c>
      <c r="B3689" s="4" t="inlineStr">
        <is>
          <t>sm40406-30s-000214-0406-51</t>
        </is>
      </c>
      <c r="C3689" s="4" t="inlineStr">
        <is>
          <t>W00031886A</t>
        </is>
      </c>
      <c r="D3689" s="6">
        <f>IF(F3689&gt;=5, F3689-5, IF(F3689&lt;5, 0, F3689))</f>
        <v/>
      </c>
      <c r="E3689">
        <f>VLOOKUP(B3689,[1]Namshi!$A:$B,2,0)</f>
        <v/>
      </c>
      <c r="F3689" s="4">
        <f>SUMIFS('Dubai Stock'!I:I,'Dubai Stock'!H:H,Final_UAE!B:B)</f>
        <v/>
      </c>
      <c r="H3689" s="8" t="e">
        <v>#N/A</v>
      </c>
    </row>
    <row r="3690">
      <c r="A3690" s="4" t="n">
        <v>33834</v>
      </c>
      <c r="B3690" s="4" t="inlineStr">
        <is>
          <t>cost3mo-lay-lens-p02-cloudy-gray-sp0000</t>
        </is>
      </c>
      <c r="C3690" s="4" t="inlineStr">
        <is>
          <t>W00031886A</t>
        </is>
      </c>
      <c r="D3690" s="6">
        <f>IF(F3690&gt;=5, F3690-5, IF(F3690&lt;5, 0, F3690))</f>
        <v/>
      </c>
      <c r="E3690">
        <f>VLOOKUP(B3690,[1]Namshi!$A:$B,2,0)</f>
        <v/>
      </c>
      <c r="F3690" s="4">
        <f>SUMIFS('Dubai Stock'!I:I,'Dubai Stock'!H:H,Final_UAE!B:B)</f>
        <v/>
      </c>
      <c r="H3690" s="8" t="e">
        <v>#N/A</v>
      </c>
      <c r="I3690" s="8" t="n"/>
    </row>
    <row r="3691">
      <c r="A3691" s="4" t="n">
        <v>33834</v>
      </c>
      <c r="B3691" s="4" t="inlineStr">
        <is>
          <t>clstmon-ava-avai-p06-sp0400</t>
        </is>
      </c>
      <c r="C3691" s="4" t="inlineStr">
        <is>
          <t>W00031886A</t>
        </is>
      </c>
      <c r="D3691" s="6">
        <f>IF(F3691&gt;=5, F3691-5, IF(F3691&lt;5, 0, F3691))</f>
        <v/>
      </c>
      <c r="E3691">
        <f>VLOOKUP(B3691,[1]Namshi!$A:$B,2,0)</f>
        <v/>
      </c>
      <c r="F3691" s="4">
        <f>SUMIFS('Dubai Stock'!I:I,'Dubai Stock'!H:H,Final_UAE!B:B)</f>
        <v/>
      </c>
      <c r="H3691" s="8" t="e">
        <v>#N/A</v>
      </c>
      <c r="I3691" s="8" t="n"/>
    </row>
    <row r="3692">
      <c r="A3692" s="4" t="n">
        <v>33834</v>
      </c>
      <c r="B3692" s="4" t="inlineStr">
        <is>
          <t>cost3mo-lay-2020-p02-hazel-brown-sn0050</t>
        </is>
      </c>
      <c r="C3692" s="4" t="inlineStr">
        <is>
          <t>W00031886A</t>
        </is>
      </c>
      <c r="D3692" s="6">
        <f>IF(F3692&gt;=5, F3692-5, IF(F3692&lt;5, 0, F3692))</f>
        <v/>
      </c>
      <c r="E3692">
        <f>VLOOKUP(B3692,[1]Namshi!$A:$B,2,0)</f>
        <v/>
      </c>
      <c r="F3692" s="4">
        <f>SUMIFS('Dubai Stock'!I:I,'Dubai Stock'!H:H,Final_UAE!B:B)</f>
        <v/>
      </c>
      <c r="H3692" s="8" t="e">
        <v>#N/A</v>
      </c>
      <c r="I3692" s="8" t="n"/>
    </row>
    <row r="3693">
      <c r="A3693" s="4" t="n">
        <v>33834</v>
      </c>
      <c r="B3693" s="4" t="inlineStr">
        <is>
          <t>clstmon-bme-bm55-p06-sn0400</t>
        </is>
      </c>
      <c r="C3693" s="4" t="inlineStr">
        <is>
          <t>W00031886A</t>
        </is>
      </c>
      <c r="D3693" s="6">
        <f>IF(F3693&gt;=5, F3693-5, IF(F3693&lt;5, 0, F3693))</f>
        <v/>
      </c>
      <c r="E3693">
        <f>VLOOKUP(B3693,[1]Namshi!$A:$B,2,0)</f>
        <v/>
      </c>
      <c r="F3693" s="4">
        <f>SUMIFS('Dubai Stock'!I:I,'Dubai Stock'!H:H,Final_UAE!B:B)</f>
        <v/>
      </c>
      <c r="H3693" s="8" t="e">
        <v>#N/A</v>
      </c>
      <c r="I3693" s="8" t="n"/>
    </row>
    <row r="3694">
      <c r="A3694" s="4" t="n">
        <v>33834</v>
      </c>
      <c r="B3694" s="4" t="inlineStr">
        <is>
          <t>cost3mo-lay-2021-p02-sunkiss-brown-sn0450</t>
        </is>
      </c>
      <c r="C3694" s="4" t="inlineStr">
        <is>
          <t>W00031886A</t>
        </is>
      </c>
      <c r="D3694" s="6">
        <f>IF(F3694&gt;=5, F3694-5, IF(F3694&lt;5, 0, F3694))</f>
        <v/>
      </c>
      <c r="E3694">
        <f>VLOOKUP(B3694,[1]Namshi!$A:$B,2,0)</f>
        <v/>
      </c>
      <c r="F3694" s="4">
        <f>SUMIFS('Dubai Stock'!I:I,'Dubai Stock'!H:H,Final_UAE!B:B)</f>
        <v/>
      </c>
      <c r="H3694" s="8" t="e">
        <v>#N/A</v>
      </c>
      <c r="I3694" s="8" t="n"/>
    </row>
    <row r="3695">
      <c r="A3695" s="4" t="n">
        <v>33834</v>
      </c>
      <c r="B3695" s="4" t="inlineStr">
        <is>
          <t>cost3mo-lay-2020-p02-ash-gray-sn0375</t>
        </is>
      </c>
      <c r="C3695" s="4" t="inlineStr">
        <is>
          <t>W00031886A</t>
        </is>
      </c>
      <c r="D3695" s="6">
        <f>IF(F3695&gt;=5, F3695-5, IF(F3695&lt;5, 0, F3695))</f>
        <v/>
      </c>
      <c r="E3695">
        <f>VLOOKUP(B3695,[1]Namshi!$A:$B,2,0)</f>
        <v/>
      </c>
      <c r="F3695" s="4">
        <f>SUMIFS('Dubai Stock'!I:I,'Dubai Stock'!H:H,Final_UAE!B:B)</f>
        <v/>
      </c>
      <c r="H3695" s="8" t="e">
        <v>#N/A</v>
      </c>
      <c r="I3695" s="8" t="n"/>
    </row>
    <row r="3696">
      <c r="A3696" s="4" t="n">
        <v>33834</v>
      </c>
      <c r="B3696" s="4" t="inlineStr">
        <is>
          <t>clstdai-acu-mois-p30-sn0075</t>
        </is>
      </c>
      <c r="C3696" s="4" t="inlineStr">
        <is>
          <t>W00031886A</t>
        </is>
      </c>
      <c r="D3696" s="6">
        <f>IF(F3696&gt;=5, F3696-5, IF(F3696&lt;5, 0, F3696))</f>
        <v/>
      </c>
      <c r="E3696">
        <f>VLOOKUP(B3696,[1]Namshi!$A:$B,2,0)</f>
        <v/>
      </c>
      <c r="F3696" s="4">
        <f>SUMIFS('Dubai Stock'!I:I,'Dubai Stock'!H:H,Final_UAE!B:B)</f>
        <v/>
      </c>
      <c r="H3696" s="8" t="e">
        <v>#N/A</v>
      </c>
      <c r="I3696" s="8" t="n"/>
    </row>
    <row r="3697">
      <c r="A3697" s="4" t="n">
        <v>33834</v>
      </c>
      <c r="B3697" s="4" t="inlineStr">
        <is>
          <t>su30101-bla-000272-0101-56</t>
        </is>
      </c>
      <c r="C3697" s="4" t="inlineStr">
        <is>
          <t>W00031886A</t>
        </is>
      </c>
      <c r="D3697" s="6">
        <f>IF(F3697&gt;=5, F3697-5, IF(F3697&lt;5, 0, F3697))</f>
        <v/>
      </c>
      <c r="E3697">
        <f>VLOOKUP(B3697,[1]Namshi!$A:$B,2,0)</f>
        <v/>
      </c>
      <c r="F3697" s="4">
        <f>SUMIFS('Dubai Stock'!I:I,'Dubai Stock'!H:H,Final_UAE!B:B)</f>
        <v/>
      </c>
      <c r="H3697" s="8" t="e">
        <v>#N/A</v>
      </c>
    </row>
    <row r="3698">
      <c r="A3698" s="4" t="n">
        <v>33834</v>
      </c>
      <c r="B3698" s="4" t="inlineStr">
        <is>
          <t>clstdai-lay-cont-p10-dazzle-brown-sn0850</t>
        </is>
      </c>
      <c r="C3698" s="4" t="inlineStr">
        <is>
          <t>W00031886A</t>
        </is>
      </c>
      <c r="D3698" s="6">
        <f>IF(F3698&gt;=5, F3698-5, IF(F3698&lt;5, 0, F3698))</f>
        <v/>
      </c>
      <c r="E3698">
        <f>VLOOKUP(B3698,[1]Namshi!$A:$B,2,0)</f>
        <v/>
      </c>
      <c r="F3698" s="4">
        <f>SUMIFS('Dubai Stock'!I:I,'Dubai Stock'!H:H,Final_UAE!B:B)</f>
        <v/>
      </c>
      <c r="H3698" s="8" t="e">
        <v>#N/A</v>
      </c>
      <c r="I3698" s="8" t="n"/>
    </row>
    <row r="3699">
      <c r="A3699" s="4" t="n">
        <v>33834</v>
      </c>
      <c r="B3699" s="4" t="inlineStr">
        <is>
          <t>clstmon-sof-sl59-p06-sn0425</t>
        </is>
      </c>
      <c r="C3699" s="4" t="inlineStr">
        <is>
          <t>W00031886A</t>
        </is>
      </c>
      <c r="D3699" s="6">
        <f>IF(F3699&gt;=5, F3699-5, IF(F3699&lt;5, 0, F3699))</f>
        <v/>
      </c>
      <c r="E3699">
        <f>VLOOKUP(B3699,[1]Namshi!$A:$B,2,0)</f>
        <v/>
      </c>
      <c r="F3699" s="4">
        <f>SUMIFS('Dubai Stock'!I:I,'Dubai Stock'!H:H,Final_UAE!B:B)</f>
        <v/>
      </c>
      <c r="H3699" s="8" t="e">
        <v>#N/A</v>
      </c>
      <c r="I3699" s="8" t="n"/>
    </row>
    <row r="3700">
      <c r="A3700" s="4" t="n">
        <v>33834</v>
      </c>
      <c r="B3700" s="4" t="inlineStr">
        <is>
          <t>costmon-ama-lens-p02-crocodile-green-sn0525</t>
        </is>
      </c>
      <c r="C3700" s="4" t="inlineStr">
        <is>
          <t>W00031886A</t>
        </is>
      </c>
      <c r="D3700" s="6">
        <f>IF(F3700&gt;=5, F3700-5, IF(F3700&lt;5, 0, F3700))</f>
        <v/>
      </c>
      <c r="E3700">
        <f>VLOOKUP(B3700,[1]Namshi!$A:$B,2,0)</f>
        <v/>
      </c>
      <c r="F3700" s="4">
        <f>SUMIFS('Dubai Stock'!I:I,'Dubai Stock'!H:H,Final_UAE!B:B)</f>
        <v/>
      </c>
      <c r="H3700" s="8" t="e">
        <v>#N/A</v>
      </c>
      <c r="I3700" s="8" t="n"/>
    </row>
    <row r="3701">
      <c r="A3701" s="4" t="n">
        <v>33834</v>
      </c>
      <c r="B3701" s="4" t="inlineStr">
        <is>
          <t>cost3mo-lay-2022-p02-royal-green-sn0325</t>
        </is>
      </c>
      <c r="C3701" s="4" t="inlineStr">
        <is>
          <t>W00031886A</t>
        </is>
      </c>
      <c r="D3701" s="6">
        <f>IF(F3701&gt;=5, F3701-5, IF(F3701&lt;5, 0, F3701))</f>
        <v/>
      </c>
      <c r="E3701">
        <f>VLOOKUP(B3701,[1]Namshi!$A:$B,2,0)</f>
        <v/>
      </c>
      <c r="F3701" s="4">
        <f>SUMIFS('Dubai Stock'!I:I,'Dubai Stock'!H:H,Final_UAE!B:B)</f>
        <v/>
      </c>
      <c r="H3701" s="8" t="e">
        <v>#N/A</v>
      </c>
      <c r="I3701" s="8" t="n"/>
    </row>
    <row r="3702">
      <c r="A3702" s="4" t="n">
        <v>33834</v>
      </c>
      <c r="B3702" s="4" t="inlineStr">
        <is>
          <t>cltobiw-acu-oasy-p06-sn0275-cn0075-a080</t>
        </is>
      </c>
      <c r="C3702" s="4" t="inlineStr">
        <is>
          <t>W00031886A</t>
        </is>
      </c>
      <c r="D3702" s="6">
        <f>IF(F3702&gt;=5, F3702-5, IF(F3702&lt;5, 0, F3702))</f>
        <v/>
      </c>
      <c r="E3702">
        <f>VLOOKUP(B3702,[1]Namshi!$A:$B,2,0)</f>
        <v/>
      </c>
      <c r="F3702" s="4">
        <f>SUMIFS('Dubai Stock'!I:I,'Dubai Stock'!H:H,Final_UAE!B:B)</f>
        <v/>
      </c>
      <c r="H3702" s="8" t="e">
        <v>#N/A</v>
      </c>
      <c r="I3702" s="8" t="n"/>
    </row>
    <row r="3703">
      <c r="A3703" s="4" t="n">
        <v>33834</v>
      </c>
      <c r="B3703" s="4" t="inlineStr">
        <is>
          <t>costdai-acu-dffr-p10-grayzel-sn0425</t>
        </is>
      </c>
      <c r="C3703" s="4" t="inlineStr">
        <is>
          <t>W00031886A</t>
        </is>
      </c>
      <c r="D3703" s="6">
        <f>IF(F3703&gt;=5, F3703-5, IF(F3703&lt;5, 0, F3703))</f>
        <v/>
      </c>
      <c r="E3703">
        <f>VLOOKUP(B3703,[1]Namshi!$A:$B,2,0)</f>
        <v/>
      </c>
      <c r="F3703" s="4">
        <f>SUMIFS('Dubai Stock'!I:I,'Dubai Stock'!H:H,Final_UAE!B:B)</f>
        <v/>
      </c>
      <c r="H3703" s="8" t="e">
        <v>#N/A</v>
      </c>
      <c r="I3703" s="8" t="n"/>
    </row>
    <row r="3704">
      <c r="A3704" s="4" t="n">
        <v>33834</v>
      </c>
      <c r="B3704" s="4" t="inlineStr">
        <is>
          <t>clstdai-acu-mois-p120-sn0950</t>
        </is>
      </c>
      <c r="C3704" s="4" t="inlineStr">
        <is>
          <t>W00031886A</t>
        </is>
      </c>
      <c r="D3704" s="6">
        <f>IF(F3704&gt;=5, F3704-5, IF(F3704&lt;5, 0, F3704))</f>
        <v/>
      </c>
      <c r="E3704">
        <f>VLOOKUP(B3704,[1]Namshi!$A:$B,2,0)</f>
        <v/>
      </c>
      <c r="F3704" s="4">
        <f>SUMIFS('Dubai Stock'!I:I,'Dubai Stock'!H:H,Final_UAE!B:B)</f>
        <v/>
      </c>
      <c r="H3704" s="8" t="e">
        <v>#N/A</v>
      </c>
      <c r="I3704" s="8" t="n"/>
    </row>
    <row r="3705">
      <c r="A3705" s="4" t="n">
        <v>33834</v>
      </c>
      <c r="B3705" s="4" t="inlineStr">
        <is>
          <t>sw32904-30s-000432-2904-58</t>
        </is>
      </c>
      <c r="C3705" s="4" t="inlineStr">
        <is>
          <t>W00031886A</t>
        </is>
      </c>
      <c r="D3705" s="6">
        <f>IF(F3705&gt;=5, F3705-5, IF(F3705&lt;5, 0, F3705))</f>
        <v/>
      </c>
      <c r="E3705">
        <f>VLOOKUP(B3705,[1]Namshi!$A:$B,2,0)</f>
        <v/>
      </c>
      <c r="F3705" s="4">
        <f>SUMIFS('Dubai Stock'!I:I,'Dubai Stock'!H:H,Final_UAE!B:B)</f>
        <v/>
      </c>
      <c r="H3705" s="8" t="e">
        <v>#N/A</v>
      </c>
    </row>
    <row r="3706">
      <c r="A3706" s="4" t="n">
        <v>33834</v>
      </c>
      <c r="B3706" s="4" t="inlineStr">
        <is>
          <t>costdai-acu-dffr-p30-hazel-sn0375</t>
        </is>
      </c>
      <c r="C3706" s="4" t="inlineStr">
        <is>
          <t>W00031886A</t>
        </is>
      </c>
      <c r="D3706" s="6">
        <f>IF(F3706&gt;=5, F3706-5, IF(F3706&lt;5, 0, F3706))</f>
        <v/>
      </c>
      <c r="E3706">
        <f>VLOOKUP(B3706,[1]Namshi!$A:$B,2,0)</f>
        <v/>
      </c>
      <c r="F3706" s="4">
        <f>SUMIFS('Dubai Stock'!I:I,'Dubai Stock'!H:H,Final_UAE!B:B)</f>
        <v/>
      </c>
      <c r="H3706" s="8" t="e">
        <v>#N/A</v>
      </c>
      <c r="I3706" s="8" t="n"/>
    </row>
    <row r="3707">
      <c r="A3707" s="4" t="n">
        <v>33834</v>
      </c>
      <c r="B3707" s="4" t="inlineStr">
        <is>
          <t>cost3mo-lay-2020-p02-ash-gray-sn0150</t>
        </is>
      </c>
      <c r="C3707" s="4" t="inlineStr">
        <is>
          <t>W00031886A</t>
        </is>
      </c>
      <c r="D3707" s="6">
        <f>IF(F3707&gt;=5, F3707-5, IF(F3707&lt;5, 0, F3707))</f>
        <v/>
      </c>
      <c r="E3707">
        <f>VLOOKUP(B3707,[1]Namshi!$A:$B,2,0)</f>
        <v/>
      </c>
      <c r="F3707" s="4">
        <f>SUMIFS('Dubai Stock'!I:I,'Dubai Stock'!H:H,Final_UAE!B:B)</f>
        <v/>
      </c>
      <c r="H3707" s="8" t="e">
        <v>#N/A</v>
      </c>
      <c r="I3707" s="8" t="n"/>
    </row>
    <row r="3708">
      <c r="A3708" s="4" t="n">
        <v>33834</v>
      </c>
      <c r="B3708" s="4" t="inlineStr">
        <is>
          <t>clstdai-eve-pure-p30-sn0075</t>
        </is>
      </c>
      <c r="C3708" s="4" t="inlineStr">
        <is>
          <t>W00031886A</t>
        </is>
      </c>
      <c r="D3708" s="6">
        <f>IF(F3708&gt;=5, F3708-5, IF(F3708&lt;5, 0, F3708))</f>
        <v/>
      </c>
      <c r="E3708">
        <f>VLOOKUP(B3708,[1]Namshi!$A:$B,2,0)</f>
        <v/>
      </c>
      <c r="F3708" s="4">
        <f>SUMIFS('Dubai Stock'!I:I,'Dubai Stock'!H:H,Final_UAE!B:B)</f>
        <v/>
      </c>
      <c r="H3708" s="8" t="n">
        <v>186</v>
      </c>
      <c r="I3708" s="8" t="n">
        <v>104.3</v>
      </c>
    </row>
    <row r="3709">
      <c r="A3709" s="4" t="n">
        <v>33834</v>
      </c>
      <c r="B3709" s="4" t="inlineStr">
        <is>
          <t>costdai-acu-dffr-p30-honey-sn0250</t>
        </is>
      </c>
      <c r="C3709" s="4" t="inlineStr">
        <is>
          <t>W00031886A</t>
        </is>
      </c>
      <c r="D3709" s="6">
        <f>IF(F3709&gt;=5, F3709-5, IF(F3709&lt;5, 0, F3709))</f>
        <v/>
      </c>
      <c r="E3709">
        <f>VLOOKUP(B3709,[1]Namshi!$A:$B,2,0)</f>
        <v/>
      </c>
      <c r="F3709" s="4">
        <f>SUMIFS('Dubai Stock'!I:I,'Dubai Stock'!H:H,Final_UAE!B:B)</f>
        <v/>
      </c>
      <c r="H3709" s="8" t="e">
        <v>#N/A</v>
      </c>
      <c r="I3709" s="8" t="n"/>
    </row>
    <row r="3710">
      <c r="A3710" s="4" t="n">
        <v>33834</v>
      </c>
      <c r="B3710" s="4" t="inlineStr">
        <is>
          <t>cost3mo-lay-2024-p02-terra-brown-sp0000</t>
        </is>
      </c>
      <c r="C3710" s="4" t="inlineStr">
        <is>
          <t>W00031886A</t>
        </is>
      </c>
      <c r="D3710" s="6">
        <f>IF(F3710&gt;=5, F3710-5, IF(F3710&lt;5, 0, F3710))</f>
        <v/>
      </c>
      <c r="E3710">
        <f>VLOOKUP(B3710,[1]Namshi!$A:$B,2,0)</f>
        <v/>
      </c>
      <c r="F3710" s="4">
        <f>SUMIFS('Dubai Stock'!I:I,'Dubai Stock'!H:H,Final_UAE!B:B)</f>
        <v/>
      </c>
      <c r="H3710" s="8" t="e">
        <v>#N/A</v>
      </c>
      <c r="I3710" s="8" t="n"/>
    </row>
    <row r="3711">
      <c r="A3711" s="4" t="n">
        <v>33834</v>
      </c>
      <c r="B3711" s="4" t="inlineStr">
        <is>
          <t>cost3mo-lay-2022-p02-sweet-hazel-sn0375</t>
        </is>
      </c>
      <c r="C3711" s="4" t="inlineStr">
        <is>
          <t>W00031886A</t>
        </is>
      </c>
      <c r="D3711" s="6">
        <f>IF(F3711&gt;=5, F3711-5, IF(F3711&lt;5, 0, F3711))</f>
        <v/>
      </c>
      <c r="E3711">
        <f>VLOOKUP(B3711,[1]Namshi!$A:$B,2,0)</f>
        <v/>
      </c>
      <c r="F3711" s="4">
        <f>SUMIFS('Dubai Stock'!I:I,'Dubai Stock'!H:H,Final_UAE!B:B)</f>
        <v/>
      </c>
      <c r="H3711" s="8" t="e">
        <v>#N/A</v>
      </c>
      <c r="I3711" s="8" t="n"/>
    </row>
    <row r="3712">
      <c r="A3712" s="4" t="n">
        <v>33834</v>
      </c>
      <c r="B3712" s="4" t="inlineStr">
        <is>
          <t>fw62318-spc-000528-2300-51</t>
        </is>
      </c>
      <c r="C3712" s="4" t="inlineStr">
        <is>
          <t>W00031886A</t>
        </is>
      </c>
      <c r="D3712" s="6">
        <f>IF(F3712&gt;=5, F3712-5, IF(F3712&lt;5, 0, F3712))</f>
        <v/>
      </c>
      <c r="E3712">
        <f>VLOOKUP(B3712,[1]Namshi!$A:$B,2,0)</f>
        <v/>
      </c>
      <c r="F3712" s="4">
        <f>SUMIFS('Dubai Stock'!I:I,'Dubai Stock'!H:H,Final_UAE!B:B)</f>
        <v/>
      </c>
      <c r="H3712" s="8" t="e">
        <v>#N/A</v>
      </c>
      <c r="I3712" s="8" t="n"/>
    </row>
    <row r="3713">
      <c r="A3713" s="4" t="n">
        <v>33834</v>
      </c>
      <c r="B3713" s="4" t="inlineStr">
        <is>
          <t>clstmon-bme-bm55-p06-sn0325</t>
        </is>
      </c>
      <c r="C3713" s="4" t="inlineStr">
        <is>
          <t>W00031886A</t>
        </is>
      </c>
      <c r="D3713" s="6">
        <f>IF(F3713&gt;=5, F3713-5, IF(F3713&lt;5, 0, F3713))</f>
        <v/>
      </c>
      <c r="E3713">
        <f>VLOOKUP(B3713,[1]Namshi!$A:$B,2,0)</f>
        <v/>
      </c>
      <c r="F3713" s="4">
        <f>SUMIFS('Dubai Stock'!I:I,'Dubai Stock'!H:H,Final_UAE!B:B)</f>
        <v/>
      </c>
      <c r="H3713" s="8" t="e">
        <v>#N/A</v>
      </c>
      <c r="I3713" s="8" t="n"/>
    </row>
    <row r="3714">
      <c r="A3714" s="4" t="n">
        <v>33834</v>
      </c>
      <c r="B3714" s="4" t="inlineStr">
        <is>
          <t>sm70107-30s-000246-0107-61</t>
        </is>
      </c>
      <c r="C3714" s="4" t="inlineStr">
        <is>
          <t>W00031886A</t>
        </is>
      </c>
      <c r="D3714" s="6">
        <f>IF(F3714&gt;=5, F3714-5, IF(F3714&lt;5, 0, F3714))</f>
        <v/>
      </c>
      <c r="E3714">
        <f>VLOOKUP(B3714,[1]Namshi!$A:$B,2,0)</f>
        <v/>
      </c>
      <c r="F3714" s="4">
        <f>SUMIFS('Dubai Stock'!I:I,'Dubai Stock'!H:H,Final_UAE!B:B)</f>
        <v/>
      </c>
      <c r="H3714" s="8" t="e">
        <v>#N/A</v>
      </c>
    </row>
    <row r="3715">
      <c r="A3715" s="4" t="n">
        <v>33834</v>
      </c>
      <c r="B3715" s="4" t="inlineStr">
        <is>
          <t>clstdai-acu-dfna-p90-sn0350</t>
        </is>
      </c>
      <c r="C3715" s="4" t="inlineStr">
        <is>
          <t>W00031886A</t>
        </is>
      </c>
      <c r="D3715" s="6">
        <f>IF(F3715&gt;=5, F3715-5, IF(F3715&lt;5, 0, F3715))</f>
        <v/>
      </c>
      <c r="E3715">
        <f>VLOOKUP(B3715,[1]Namshi!$A:$B,2,0)</f>
        <v/>
      </c>
      <c r="F3715" s="4">
        <f>SUMIFS('Dubai Stock'!I:I,'Dubai Stock'!H:H,Final_UAE!B:B)</f>
        <v/>
      </c>
      <c r="H3715" s="8" t="e">
        <v>#N/A</v>
      </c>
      <c r="I3715" s="8" t="n"/>
    </row>
    <row r="3716">
      <c r="A3716" s="4" t="n">
        <v>33834</v>
      </c>
      <c r="B3716" s="4" t="inlineStr">
        <is>
          <t>cost3mo-lay-2020-p02-ash-gray-sn0250</t>
        </is>
      </c>
      <c r="C3716" s="4" t="inlineStr">
        <is>
          <t>W00031886A</t>
        </is>
      </c>
      <c r="D3716" s="6">
        <f>IF(F3716&gt;=5, F3716-5, IF(F3716&lt;5, 0, F3716))</f>
        <v/>
      </c>
      <c r="E3716">
        <f>VLOOKUP(B3716,[1]Namshi!$A:$B,2,0)</f>
        <v/>
      </c>
      <c r="F3716" s="4">
        <f>SUMIFS('Dubai Stock'!I:I,'Dubai Stock'!H:H,Final_UAE!B:B)</f>
        <v/>
      </c>
      <c r="H3716" s="8" t="e">
        <v>#N/A</v>
      </c>
      <c r="I3716" s="8" t="n"/>
    </row>
    <row r="3717">
      <c r="A3717" s="4" t="n">
        <v>33834</v>
      </c>
      <c r="B3717" s="4" t="inlineStr">
        <is>
          <t>costdai-ama-dail-p10-honey-sn0075</t>
        </is>
      </c>
      <c r="C3717" s="4" t="inlineStr">
        <is>
          <t>W00031886A</t>
        </is>
      </c>
      <c r="D3717" s="6">
        <f>IF(F3717&gt;=5, F3717-5, IF(F3717&lt;5, 0, F3717))</f>
        <v/>
      </c>
      <c r="E3717">
        <f>VLOOKUP(B3717,[1]Namshi!$A:$B,2,0)</f>
        <v/>
      </c>
      <c r="F3717" s="4">
        <f>SUMIFS('Dubai Stock'!I:I,'Dubai Stock'!H:H,Final_UAE!B:B)</f>
        <v/>
      </c>
      <c r="H3717" s="8" t="e">
        <v>#N/A</v>
      </c>
      <c r="I3717" s="8" t="n"/>
    </row>
    <row r="3718">
      <c r="A3718" s="4" t="n">
        <v>33834</v>
      </c>
      <c r="B3718" s="4" t="inlineStr">
        <is>
          <t>fw22618-spc-000530-2600-50</t>
        </is>
      </c>
      <c r="C3718" s="4" t="inlineStr">
        <is>
          <t>W00031886A</t>
        </is>
      </c>
      <c r="D3718" s="6">
        <f>IF(F3718&gt;=5, F3718-5, IF(F3718&lt;5, 0, F3718))</f>
        <v/>
      </c>
      <c r="E3718">
        <f>VLOOKUP(B3718,[1]Namshi!$A:$B,2,0)</f>
        <v/>
      </c>
      <c r="F3718" s="4">
        <f>SUMIFS('Dubai Stock'!I:I,'Dubai Stock'!H:H,Final_UAE!B:B)</f>
        <v/>
      </c>
      <c r="H3718" s="8" t="e">
        <v>#N/A</v>
      </c>
      <c r="I3718" s="8" t="n"/>
    </row>
    <row r="3719">
      <c r="A3719" s="4" t="n">
        <v>33834</v>
      </c>
      <c r="B3719" s="4" t="inlineStr">
        <is>
          <t>sm40606-30s-000299-0606p-53</t>
        </is>
      </c>
      <c r="C3719" s="4" t="inlineStr">
        <is>
          <t>W00031886A</t>
        </is>
      </c>
      <c r="D3719" s="6">
        <f>IF(F3719&gt;=5, F3719-5, IF(F3719&lt;5, 0, F3719))</f>
        <v/>
      </c>
      <c r="E3719">
        <f>VLOOKUP(B3719,[1]Namshi!$A:$B,2,0)</f>
        <v/>
      </c>
      <c r="F3719" s="4">
        <f>SUMIFS('Dubai Stock'!I:I,'Dubai Stock'!H:H,Final_UAE!B:B)</f>
        <v/>
      </c>
      <c r="H3719" s="8" t="e">
        <v>#N/A</v>
      </c>
    </row>
    <row r="3720">
      <c r="A3720" s="4" t="n">
        <v>33834</v>
      </c>
      <c r="B3720" s="4" t="inlineStr">
        <is>
          <t>cost3mo-lay-2022-p02-royal-green-sn0125</t>
        </is>
      </c>
      <c r="C3720" s="4" t="inlineStr">
        <is>
          <t>W00031886A</t>
        </is>
      </c>
      <c r="D3720" s="6">
        <f>IF(F3720&gt;=5, F3720-5, IF(F3720&lt;5, 0, F3720))</f>
        <v/>
      </c>
      <c r="E3720">
        <f>VLOOKUP(B3720,[1]Namshi!$A:$B,2,0)</f>
        <v/>
      </c>
      <c r="F3720" s="4">
        <f>SUMIFS('Dubai Stock'!I:I,'Dubai Stock'!H:H,Final_UAE!B:B)</f>
        <v/>
      </c>
      <c r="H3720" s="8" t="e">
        <v>#N/A</v>
      </c>
      <c r="I3720" s="8" t="n"/>
    </row>
    <row r="3721">
      <c r="A3721" s="4" t="n">
        <v>33834</v>
      </c>
      <c r="B3721" s="4" t="inlineStr">
        <is>
          <t>clstdai-acu-dfvi-p30-sn0450</t>
        </is>
      </c>
      <c r="C3721" s="4" t="inlineStr">
        <is>
          <t>W00031886A</t>
        </is>
      </c>
      <c r="D3721" s="6">
        <f>IF(F3721&gt;=5, F3721-5, IF(F3721&lt;5, 0, F3721))</f>
        <v/>
      </c>
      <c r="E3721">
        <f>VLOOKUP(B3721,[1]Namshi!$A:$B,2,0)</f>
        <v/>
      </c>
      <c r="F3721" s="4">
        <f>SUMIFS('Dubai Stock'!I:I,'Dubai Stock'!H:H,Final_UAE!B:B)</f>
        <v/>
      </c>
      <c r="H3721" s="8" t="e">
        <v>#N/A</v>
      </c>
      <c r="I3721" s="8" t="n"/>
    </row>
    <row r="3722">
      <c r="A3722" s="4" t="n">
        <v>33834</v>
      </c>
      <c r="B3722" s="4" t="inlineStr">
        <is>
          <t>cost3mo-lay-2021-p02-sunkiss-brown-sn0150</t>
        </is>
      </c>
      <c r="C3722" s="4" t="inlineStr">
        <is>
          <t>W00031886A</t>
        </is>
      </c>
      <c r="D3722" s="6">
        <f>IF(F3722&gt;=5, F3722-5, IF(F3722&lt;5, 0, F3722))</f>
        <v/>
      </c>
      <c r="E3722">
        <f>VLOOKUP(B3722,[1]Namshi!$A:$B,2,0)</f>
        <v/>
      </c>
      <c r="F3722" s="4">
        <f>SUMIFS('Dubai Stock'!I:I,'Dubai Stock'!H:H,Final_UAE!B:B)</f>
        <v/>
      </c>
      <c r="H3722" s="8" t="e">
        <v>#N/A</v>
      </c>
      <c r="I3722" s="8" t="n"/>
    </row>
    <row r="3723">
      <c r="A3723" s="4" t="n">
        <v>33834</v>
      </c>
      <c r="B3723" s="4" t="inlineStr">
        <is>
          <t>sw30402-30s-000272-0402-49</t>
        </is>
      </c>
      <c r="C3723" s="4" t="inlineStr">
        <is>
          <t>W00031886A</t>
        </is>
      </c>
      <c r="D3723" s="6">
        <f>IF(F3723&gt;=5, F3723-5, IF(F3723&lt;5, 0, F3723))</f>
        <v/>
      </c>
      <c r="E3723">
        <f>VLOOKUP(B3723,[1]Namshi!$A:$B,2,0)</f>
        <v/>
      </c>
      <c r="F3723" s="4">
        <f>SUMIFS('Dubai Stock'!I:I,'Dubai Stock'!H:H,Final_UAE!B:B)</f>
        <v/>
      </c>
      <c r="H3723" s="8" t="e">
        <v>#N/A</v>
      </c>
    </row>
    <row r="3724">
      <c r="A3724" s="4" t="n">
        <v>33834</v>
      </c>
      <c r="B3724" s="4" t="inlineStr">
        <is>
          <t>clstmon-ava-avai-p06-sn0750</t>
        </is>
      </c>
      <c r="C3724" s="4" t="inlineStr">
        <is>
          <t>W00031886A</t>
        </is>
      </c>
      <c r="D3724" s="6">
        <f>IF(F3724&gt;=5, F3724-5, IF(F3724&lt;5, 0, F3724))</f>
        <v/>
      </c>
      <c r="E3724">
        <f>VLOOKUP(B3724,[1]Namshi!$A:$B,2,0)</f>
        <v/>
      </c>
      <c r="F3724" s="4">
        <f>SUMIFS('Dubai Stock'!I:I,'Dubai Stock'!H:H,Final_UAE!B:B)</f>
        <v/>
      </c>
      <c r="H3724" s="8" t="e">
        <v>#N/A</v>
      </c>
      <c r="I3724" s="8" t="n"/>
    </row>
    <row r="3725">
      <c r="A3725" s="4" t="n">
        <v>33834</v>
      </c>
      <c r="B3725" s="4" t="inlineStr">
        <is>
          <t>sc22006-bab-000502-2006-50</t>
        </is>
      </c>
      <c r="C3725" s="4" t="inlineStr">
        <is>
          <t>W00031886A</t>
        </is>
      </c>
      <c r="D3725" s="6">
        <f>IF(F3725&gt;=5, F3725-5, IF(F3725&lt;5, 0, F3725))</f>
        <v/>
      </c>
      <c r="E3725">
        <f>VLOOKUP(B3725,[1]Namshi!$A:$B,2,0)</f>
        <v/>
      </c>
      <c r="F3725" s="4">
        <f>SUMIFS('Dubai Stock'!I:I,'Dubai Stock'!H:H,Final_UAE!B:B)</f>
        <v/>
      </c>
      <c r="H3725" s="8" t="e">
        <v>#N/A</v>
      </c>
    </row>
    <row r="3726">
      <c r="A3726" s="4" t="n">
        <v>33834</v>
      </c>
      <c r="B3726" s="4" t="inlineStr">
        <is>
          <t>cost3mo-lay-lens-p02-forest-green-sn0075</t>
        </is>
      </c>
      <c r="C3726" s="4" t="inlineStr">
        <is>
          <t>W00031886A</t>
        </is>
      </c>
      <c r="D3726" s="6">
        <f>IF(F3726&gt;=5, F3726-5, IF(F3726&lt;5, 0, F3726))</f>
        <v/>
      </c>
      <c r="E3726">
        <f>VLOOKUP(B3726,[1]Namshi!$A:$B,2,0)</f>
        <v/>
      </c>
      <c r="F3726" s="4">
        <f>SUMIFS('Dubai Stock'!I:I,'Dubai Stock'!H:H,Final_UAE!B:B)</f>
        <v/>
      </c>
      <c r="H3726" s="8" t="e">
        <v>#N/A</v>
      </c>
      <c r="I3726" s="8" t="n"/>
    </row>
    <row r="3727">
      <c r="A3727" s="4" t="n">
        <v>33834</v>
      </c>
      <c r="B3727" s="4" t="inlineStr">
        <is>
          <t>clstdai-lay-cont-p60-dazzle-brown-sn0325</t>
        </is>
      </c>
      <c r="C3727" s="4" t="inlineStr">
        <is>
          <t>W00031886A</t>
        </is>
      </c>
      <c r="D3727" s="6">
        <f>IF(F3727&gt;=5, F3727-5, IF(F3727&lt;5, 0, F3727))</f>
        <v/>
      </c>
      <c r="E3727">
        <f>VLOOKUP(B3727,[1]Namshi!$A:$B,2,0)</f>
        <v/>
      </c>
      <c r="F3727" s="4">
        <f>SUMIFS('Dubai Stock'!I:I,'Dubai Stock'!H:H,Final_UAE!B:B)</f>
        <v/>
      </c>
      <c r="H3727" s="8" t="e">
        <v>#N/A</v>
      </c>
      <c r="I3727" s="8" t="n"/>
    </row>
    <row r="3728">
      <c r="A3728" s="4" t="n">
        <v>33834</v>
      </c>
      <c r="B3728" s="4" t="inlineStr">
        <is>
          <t>sw20107-bla-000106-0107-57</t>
        </is>
      </c>
      <c r="C3728" s="4" t="inlineStr">
        <is>
          <t>W00031886A</t>
        </is>
      </c>
      <c r="D3728" s="6">
        <f>IF(F3728&gt;=5, F3728-5, IF(F3728&lt;5, 0, F3728))</f>
        <v/>
      </c>
      <c r="E3728">
        <f>VLOOKUP(B3728,[1]Namshi!$A:$B,2,0)</f>
        <v/>
      </c>
      <c r="F3728" s="4">
        <f>SUMIFS('Dubai Stock'!I:I,'Dubai Stock'!H:H,Final_UAE!B:B)</f>
        <v/>
      </c>
      <c r="H3728" s="8" t="e">
        <v>#N/A</v>
      </c>
    </row>
    <row r="3729">
      <c r="A3729" s="4" t="n">
        <v>33834</v>
      </c>
      <c r="B3729" s="4" t="inlineStr">
        <is>
          <t>costmon-ama-lens-p02-mocca-sn0100</t>
        </is>
      </c>
      <c r="C3729" s="4" t="inlineStr">
        <is>
          <t>W00031886A</t>
        </is>
      </c>
      <c r="D3729" s="6">
        <f>IF(F3729&gt;=5, F3729-5, IF(F3729&lt;5, 0, F3729))</f>
        <v/>
      </c>
      <c r="E3729">
        <f>VLOOKUP(B3729,[1]Namshi!$A:$B,2,0)</f>
        <v/>
      </c>
      <c r="F3729" s="4">
        <f>SUMIFS('Dubai Stock'!I:I,'Dubai Stock'!H:H,Final_UAE!B:B)</f>
        <v/>
      </c>
      <c r="H3729" s="8" t="e">
        <v>#N/A</v>
      </c>
      <c r="I3729" s="8" t="n"/>
    </row>
    <row r="3730">
      <c r="A3730" s="4" t="n">
        <v>33834</v>
      </c>
      <c r="B3730" s="4" t="inlineStr">
        <is>
          <t>clstdai-acu-dfrb-p30-sn0250</t>
        </is>
      </c>
      <c r="C3730" s="4" t="inlineStr">
        <is>
          <t>W00031886A</t>
        </is>
      </c>
      <c r="D3730" s="6">
        <f>IF(F3730&gt;=5, F3730-5, IF(F3730&lt;5, 0, F3730))</f>
        <v/>
      </c>
      <c r="E3730">
        <f>VLOOKUP(B3730,[1]Namshi!$A:$B,2,0)</f>
        <v/>
      </c>
      <c r="F3730" s="4">
        <f>SUMIFS('Dubai Stock'!I:I,'Dubai Stock'!H:H,Final_UAE!B:B)</f>
        <v/>
      </c>
      <c r="H3730" s="8" t="e">
        <v>#N/A</v>
      </c>
      <c r="I3730" s="8" t="n"/>
    </row>
    <row r="3731">
      <c r="A3731" s="4" t="n">
        <v>33834</v>
      </c>
      <c r="B3731" s="4" t="inlineStr">
        <is>
          <t>sw32404-30s-000441-2404-49</t>
        </is>
      </c>
      <c r="C3731" s="4" t="inlineStr">
        <is>
          <t>W00031886A</t>
        </is>
      </c>
      <c r="D3731" s="6">
        <f>IF(F3731&gt;=5, F3731-5, IF(F3731&lt;5, 0, F3731))</f>
        <v/>
      </c>
      <c r="E3731">
        <f>VLOOKUP(B3731,[1]Namshi!$A:$B,2,0)</f>
        <v/>
      </c>
      <c r="F3731" s="4">
        <f>SUMIFS('Dubai Stock'!I:I,'Dubai Stock'!H:H,Final_UAE!B:B)</f>
        <v/>
      </c>
      <c r="H3731" s="8" t="e">
        <v>#N/A</v>
      </c>
    </row>
    <row r="3732">
      <c r="A3732" s="4" t="n">
        <v>33834</v>
      </c>
      <c r="B3732" s="4" t="inlineStr">
        <is>
          <t>clstdai-acu-dfvi-p60-sn0325</t>
        </is>
      </c>
      <c r="C3732" s="4" t="inlineStr">
        <is>
          <t>W00031886A</t>
        </is>
      </c>
      <c r="D3732" s="6">
        <f>IF(F3732&gt;=5, F3732-5, IF(F3732&lt;5, 0, F3732))</f>
        <v/>
      </c>
      <c r="E3732">
        <f>VLOOKUP(B3732,[1]Namshi!$A:$B,2,0)</f>
        <v/>
      </c>
      <c r="F3732" s="4">
        <f>SUMIFS('Dubai Stock'!I:I,'Dubai Stock'!H:H,Final_UAE!B:B)</f>
        <v/>
      </c>
      <c r="H3732" s="8" t="e">
        <v>#N/A</v>
      </c>
      <c r="I3732" s="8" t="n"/>
    </row>
    <row r="3733">
      <c r="A3733" s="4" t="n">
        <v>33834</v>
      </c>
      <c r="B3733" s="4" t="inlineStr">
        <is>
          <t>su52106-30s-000237-2106-51</t>
        </is>
      </c>
      <c r="C3733" s="4" t="inlineStr">
        <is>
          <t>W00031886A</t>
        </is>
      </c>
      <c r="D3733" s="6">
        <f>IF(F3733&gt;=5, F3733-5, IF(F3733&lt;5, 0, F3733))</f>
        <v/>
      </c>
      <c r="E3733">
        <f>VLOOKUP(B3733,[1]Namshi!$A:$B,2,0)</f>
        <v/>
      </c>
      <c r="F3733" s="4">
        <f>SUMIFS('Dubai Stock'!I:I,'Dubai Stock'!H:H,Final_UAE!B:B)</f>
        <v/>
      </c>
      <c r="H3733" s="8" t="e">
        <v>#N/A</v>
      </c>
    </row>
    <row r="3734">
      <c r="A3734" s="4" t="n">
        <v>33834</v>
      </c>
      <c r="B3734" s="4" t="inlineStr">
        <is>
          <t>costmon-ama-lens-p02-dark-sepia-sn0500</t>
        </is>
      </c>
      <c r="C3734" s="4" t="inlineStr">
        <is>
          <t>W00031886A</t>
        </is>
      </c>
      <c r="D3734" s="6">
        <f>IF(F3734&gt;=5, F3734-5, IF(F3734&lt;5, 0, F3734))</f>
        <v/>
      </c>
      <c r="E3734">
        <f>VLOOKUP(B3734,[1]Namshi!$A:$B,2,0)</f>
        <v/>
      </c>
      <c r="F3734" s="4">
        <f>SUMIFS('Dubai Stock'!I:I,'Dubai Stock'!H:H,Final_UAE!B:B)</f>
        <v/>
      </c>
      <c r="H3734" s="8" t="e">
        <v>#N/A</v>
      </c>
      <c r="I3734" s="8" t="n"/>
    </row>
    <row r="3735">
      <c r="A3735" s="4" t="n">
        <v>33834</v>
      </c>
      <c r="B3735" s="4" t="inlineStr">
        <is>
          <t>cost3mo-lay-lens-p02-chocolate-brown-sn0275</t>
        </is>
      </c>
      <c r="C3735" s="4" t="inlineStr">
        <is>
          <t>W00031886A</t>
        </is>
      </c>
      <c r="D3735" s="6">
        <f>IF(F3735&gt;=5, F3735-5, IF(F3735&lt;5, 0, F3735))</f>
        <v/>
      </c>
      <c r="E3735">
        <f>VLOOKUP(B3735,[1]Namshi!$A:$B,2,0)</f>
        <v/>
      </c>
      <c r="F3735" s="4">
        <f>SUMIFS('Dubai Stock'!I:I,'Dubai Stock'!H:H,Final_UAE!B:B)</f>
        <v/>
      </c>
      <c r="H3735" s="8" t="e">
        <v>#N/A</v>
      </c>
      <c r="I3735" s="8" t="n"/>
    </row>
    <row r="3736">
      <c r="A3736" s="4" t="n">
        <v>33834</v>
      </c>
      <c r="B3736" s="4" t="inlineStr">
        <is>
          <t>clstdai-acu-oasy-p30-sn0425</t>
        </is>
      </c>
      <c r="C3736" s="4" t="inlineStr">
        <is>
          <t>W00031886A</t>
        </is>
      </c>
      <c r="D3736" s="6">
        <f>IF(F3736&gt;=5, F3736-5, IF(F3736&lt;5, 0, F3736))</f>
        <v/>
      </c>
      <c r="E3736">
        <f>VLOOKUP(B3736,[1]Namshi!$A:$B,2,0)</f>
        <v/>
      </c>
      <c r="F3736" s="4">
        <f>SUMIFS('Dubai Stock'!I:I,'Dubai Stock'!H:H,Final_UAE!B:B)</f>
        <v/>
      </c>
      <c r="H3736" s="8" t="e">
        <v>#N/A</v>
      </c>
      <c r="I3736" s="8" t="n"/>
    </row>
    <row r="3737">
      <c r="A3737" s="4" t="n">
        <v>33834</v>
      </c>
      <c r="B3737" s="4" t="inlineStr">
        <is>
          <t>cost3mo-lay-2021-p02-golden-gray-sn0600</t>
        </is>
      </c>
      <c r="C3737" s="4" t="inlineStr">
        <is>
          <t>W00031886A</t>
        </is>
      </c>
      <c r="D3737" s="6">
        <f>IF(F3737&gt;=5, F3737-5, IF(F3737&lt;5, 0, F3737))</f>
        <v/>
      </c>
      <c r="E3737">
        <f>VLOOKUP(B3737,[1]Namshi!$A:$B,2,0)</f>
        <v/>
      </c>
      <c r="F3737" s="4">
        <f>SUMIFS('Dubai Stock'!I:I,'Dubai Stock'!H:H,Final_UAE!B:B)</f>
        <v/>
      </c>
      <c r="H3737" s="8" t="e">
        <v>#N/A</v>
      </c>
      <c r="I3737" s="8" t="n"/>
    </row>
    <row r="3738">
      <c r="A3738" s="4" t="n">
        <v>33834</v>
      </c>
      <c r="B3738" s="4" t="inlineStr">
        <is>
          <t>clstdai-acu-mois-p30-sn0400</t>
        </is>
      </c>
      <c r="C3738" s="4" t="inlineStr">
        <is>
          <t>W00031886A</t>
        </is>
      </c>
      <c r="D3738" s="6">
        <f>IF(F3738&gt;=5, F3738-5, IF(F3738&lt;5, 0, F3738))</f>
        <v/>
      </c>
      <c r="E3738">
        <f>VLOOKUP(B3738,[1]Namshi!$A:$B,2,0)</f>
        <v/>
      </c>
      <c r="F3738" s="4">
        <f>SUMIFS('Dubai Stock'!I:I,'Dubai Stock'!H:H,Final_UAE!B:B)</f>
        <v/>
      </c>
      <c r="H3738" s="8" t="e">
        <v>#N/A</v>
      </c>
      <c r="I3738" s="8" t="n"/>
    </row>
    <row r="3739">
      <c r="A3739" s="4" t="n">
        <v>33834</v>
      </c>
      <c r="B3739" s="4" t="inlineStr">
        <is>
          <t>costmon-ama-2021-p02-sandy-sp0000</t>
        </is>
      </c>
      <c r="C3739" s="4" t="inlineStr">
        <is>
          <t>W00031886A</t>
        </is>
      </c>
      <c r="D3739" s="6">
        <f>IF(F3739&gt;=5, F3739-5, IF(F3739&lt;5, 0, F3739))</f>
        <v/>
      </c>
      <c r="E3739">
        <f>VLOOKUP(B3739,[1]Namshi!$A:$B,2,0)</f>
        <v/>
      </c>
      <c r="F3739" s="4">
        <f>SUMIFS('Dubai Stock'!I:I,'Dubai Stock'!H:H,Final_UAE!B:B)</f>
        <v/>
      </c>
      <c r="H3739" s="8" t="e">
        <v>#N/A</v>
      </c>
      <c r="I3739" s="8" t="n"/>
    </row>
    <row r="3740">
      <c r="A3740" s="4" t="n">
        <v>33834</v>
      </c>
      <c r="B3740" s="4" t="inlineStr">
        <is>
          <t>sacchan-30s-lola-gold</t>
        </is>
      </c>
      <c r="C3740" s="4" t="inlineStr">
        <is>
          <t>W00031886A</t>
        </is>
      </c>
      <c r="D3740" s="6">
        <f>IF(F3740&gt;=5, F3740-5, IF(F3740&lt;5, 0, F3740))</f>
        <v/>
      </c>
      <c r="E3740">
        <f>VLOOKUP(B3740,[1]Namshi!$A:$B,2,0)</f>
        <v/>
      </c>
      <c r="F3740" s="4">
        <f>SUMIFS('Dubai Stock'!I:I,'Dubai Stock'!H:H,Final_UAE!B:B)</f>
        <v/>
      </c>
      <c r="H3740" s="8" t="e">
        <v>#N/A</v>
      </c>
      <c r="I3740" s="8" t="n"/>
    </row>
    <row r="3741">
      <c r="A3741" s="4" t="n">
        <v>33834</v>
      </c>
      <c r="B3741" s="4" t="inlineStr">
        <is>
          <t>clstdai-dai-aqua-p90-sp0650</t>
        </is>
      </c>
      <c r="C3741" s="4" t="inlineStr">
        <is>
          <t>W00031886A</t>
        </is>
      </c>
      <c r="D3741" s="6">
        <f>IF(F3741&gt;=5, F3741-5, IF(F3741&lt;5, 0, F3741))</f>
        <v/>
      </c>
      <c r="E3741">
        <f>VLOOKUP(B3741,[1]Namshi!$A:$B,2,0)</f>
        <v/>
      </c>
      <c r="F3741" s="4">
        <f>SUMIFS('Dubai Stock'!I:I,'Dubai Stock'!H:H,Final_UAE!B:B)</f>
        <v/>
      </c>
      <c r="H3741" s="8" t="e">
        <v>#N/A</v>
      </c>
      <c r="I3741" s="8" t="n"/>
    </row>
    <row r="3742">
      <c r="A3742" s="4" t="n">
        <v>33834</v>
      </c>
      <c r="B3742" s="4" t="inlineStr">
        <is>
          <t>sw30804-bla-000207-0804-54</t>
        </is>
      </c>
      <c r="C3742" s="4" t="inlineStr">
        <is>
          <t>W00031886A</t>
        </is>
      </c>
      <c r="D3742" s="6">
        <f>IF(F3742&gt;=5, F3742-5, IF(F3742&lt;5, 0, F3742))</f>
        <v/>
      </c>
      <c r="E3742">
        <f>VLOOKUP(B3742,[1]Namshi!$A:$B,2,0)</f>
        <v/>
      </c>
      <c r="F3742" s="4">
        <f>SUMIFS('Dubai Stock'!I:I,'Dubai Stock'!H:H,Final_UAE!B:B)</f>
        <v/>
      </c>
      <c r="H3742" s="8" t="e">
        <v>#N/A</v>
      </c>
    </row>
    <row r="3743">
      <c r="A3743" s="4" t="n">
        <v>33834</v>
      </c>
      <c r="B3743" s="4" t="inlineStr">
        <is>
          <t>clstdai-lay-cont-p90-dazzle-black-sn0350</t>
        </is>
      </c>
      <c r="C3743" s="4" t="inlineStr">
        <is>
          <t>W00031886A</t>
        </is>
      </c>
      <c r="D3743" s="6">
        <f>IF(F3743&gt;=5, F3743-5, IF(F3743&lt;5, 0, F3743))</f>
        <v/>
      </c>
      <c r="E3743">
        <f>VLOOKUP(B3743,[1]Namshi!$A:$B,2,0)</f>
        <v/>
      </c>
      <c r="F3743" s="4">
        <f>SUMIFS('Dubai Stock'!I:I,'Dubai Stock'!H:H,Final_UAE!B:B)</f>
        <v/>
      </c>
      <c r="H3743" s="8" t="e">
        <v>#N/A</v>
      </c>
      <c r="I3743" s="8" t="n"/>
    </row>
    <row r="3744">
      <c r="A3744" s="4" t="n">
        <v>33834</v>
      </c>
      <c r="B3744" s="4" t="inlineStr">
        <is>
          <t>clstmon-eve-prom-p06-sp0100</t>
        </is>
      </c>
      <c r="C3744" s="4" t="inlineStr">
        <is>
          <t>W00031886A</t>
        </is>
      </c>
      <c r="D3744" s="6">
        <f>IF(F3744&gt;=5, F3744-5, IF(F3744&lt;5, 0, F3744))</f>
        <v/>
      </c>
      <c r="E3744">
        <f>VLOOKUP(B3744,[1]Namshi!$A:$B,2,0)</f>
        <v/>
      </c>
      <c r="F3744" s="4">
        <f>SUMIFS('Dubai Stock'!I:I,'Dubai Stock'!H:H,Final_UAE!B:B)</f>
        <v/>
      </c>
      <c r="H3744" s="8" t="n">
        <v>212</v>
      </c>
      <c r="I3744" s="8" t="n">
        <v>111.3</v>
      </c>
    </row>
    <row r="3745">
      <c r="A3745" s="4" t="n">
        <v>33834</v>
      </c>
      <c r="B3745" s="4" t="inlineStr">
        <is>
          <t>cost3mo-lay-2022-p02-cosmo-gray-sn0050</t>
        </is>
      </c>
      <c r="C3745" s="4" t="inlineStr">
        <is>
          <t>W00031886A</t>
        </is>
      </c>
      <c r="D3745" s="6">
        <f>IF(F3745&gt;=5, F3745-5, IF(F3745&lt;5, 0, F3745))</f>
        <v/>
      </c>
      <c r="E3745">
        <f>VLOOKUP(B3745,[1]Namshi!$A:$B,2,0)</f>
        <v/>
      </c>
      <c r="F3745" s="4">
        <f>SUMIFS('Dubai Stock'!I:I,'Dubai Stock'!H:H,Final_UAE!B:B)</f>
        <v/>
      </c>
      <c r="H3745" s="8" t="e">
        <v>#N/A</v>
      </c>
      <c r="I3745" s="8" t="n"/>
    </row>
    <row r="3746">
      <c r="A3746" s="4" t="n">
        <v>33834</v>
      </c>
      <c r="B3746" s="4" t="inlineStr">
        <is>
          <t>su102904-bla-000334-2904-56</t>
        </is>
      </c>
      <c r="C3746" s="4" t="inlineStr">
        <is>
          <t>W00031886A</t>
        </is>
      </c>
      <c r="D3746" s="6">
        <f>IF(F3746&gt;=5, F3746-5, IF(F3746&lt;5, 0, F3746))</f>
        <v/>
      </c>
      <c r="E3746">
        <f>VLOOKUP(B3746,[1]Namshi!$A:$B,2,0)</f>
        <v/>
      </c>
      <c r="F3746" s="4">
        <f>SUMIFS('Dubai Stock'!I:I,'Dubai Stock'!H:H,Final_UAE!B:B)</f>
        <v/>
      </c>
      <c r="H3746" s="8" t="e">
        <v>#N/A</v>
      </c>
    </row>
    <row r="3747">
      <c r="A3747" s="4" t="n">
        <v>33834</v>
      </c>
      <c r="B3747" s="4" t="inlineStr">
        <is>
          <t>costmon-ama-lens-p02-dark-sepia-sp0000</t>
        </is>
      </c>
      <c r="C3747" s="4" t="inlineStr">
        <is>
          <t>W00031886A</t>
        </is>
      </c>
      <c r="D3747" s="6">
        <f>IF(F3747&gt;=5, F3747-5, IF(F3747&lt;5, 0, F3747))</f>
        <v/>
      </c>
      <c r="E3747">
        <f>VLOOKUP(B3747,[1]Namshi!$A:$B,2,0)</f>
        <v/>
      </c>
      <c r="F3747" s="4">
        <f>SUMIFS('Dubai Stock'!I:I,'Dubai Stock'!H:H,Final_UAE!B:B)</f>
        <v/>
      </c>
      <c r="H3747" s="8" t="e">
        <v>#N/A</v>
      </c>
      <c r="I3747" s="8" t="n"/>
    </row>
    <row r="3748">
      <c r="A3748" s="4" t="n">
        <v>33834</v>
      </c>
      <c r="B3748" s="4" t="inlineStr">
        <is>
          <t>sw30107-bla-000331-0107-51</t>
        </is>
      </c>
      <c r="C3748" s="4" t="inlineStr">
        <is>
          <t>W00031886A</t>
        </is>
      </c>
      <c r="D3748" s="6">
        <f>IF(F3748&gt;=5, F3748-5, IF(F3748&lt;5, 0, F3748))</f>
        <v/>
      </c>
      <c r="E3748">
        <f>VLOOKUP(B3748,[1]Namshi!$A:$B,2,0)</f>
        <v/>
      </c>
      <c r="F3748" s="4">
        <f>SUMIFS('Dubai Stock'!I:I,'Dubai Stock'!H:H,Final_UAE!B:B)</f>
        <v/>
      </c>
      <c r="H3748" s="8" t="e">
        <v>#N/A</v>
      </c>
    </row>
    <row r="3749">
      <c r="A3749" s="4" t="n">
        <v>33834</v>
      </c>
      <c r="B3749" s="4" t="inlineStr">
        <is>
          <t>clstdai-eve-pure-p30-sn0400</t>
        </is>
      </c>
      <c r="C3749" s="4" t="inlineStr">
        <is>
          <t>W00031886A</t>
        </is>
      </c>
      <c r="D3749" s="6">
        <f>IF(F3749&gt;=5, F3749-5, IF(F3749&lt;5, 0, F3749))</f>
        <v/>
      </c>
      <c r="E3749">
        <f>VLOOKUP(B3749,[1]Namshi!$A:$B,2,0)</f>
        <v/>
      </c>
      <c r="F3749" s="4">
        <f>SUMIFS('Dubai Stock'!I:I,'Dubai Stock'!H:H,Final_UAE!B:B)</f>
        <v/>
      </c>
      <c r="H3749" s="8" t="n">
        <v>186</v>
      </c>
      <c r="I3749" s="8" t="n">
        <v>104.3</v>
      </c>
    </row>
    <row r="3750">
      <c r="A3750" s="4" t="n">
        <v>33834</v>
      </c>
      <c r="B3750" s="4" t="inlineStr">
        <is>
          <t>clstdai-lay-cont-p90-dazzle-brown-sn1000</t>
        </is>
      </c>
      <c r="C3750" s="4" t="inlineStr">
        <is>
          <t>W00031886A</t>
        </is>
      </c>
      <c r="D3750" s="6">
        <f>IF(F3750&gt;=5, F3750-5, IF(F3750&lt;5, 0, F3750))</f>
        <v/>
      </c>
      <c r="E3750">
        <f>VLOOKUP(B3750,[1]Namshi!$A:$B,2,0)</f>
        <v/>
      </c>
      <c r="F3750" s="4">
        <f>SUMIFS('Dubai Stock'!I:I,'Dubai Stock'!H:H,Final_UAE!B:B)</f>
        <v/>
      </c>
      <c r="H3750" s="8" t="e">
        <v>#N/A</v>
      </c>
      <c r="I3750" s="8" t="n"/>
    </row>
    <row r="3751">
      <c r="A3751" s="4" t="n">
        <v>33834</v>
      </c>
      <c r="B3751" s="4" t="inlineStr">
        <is>
          <t>clstdai-dai-aqua-p90-sn0450</t>
        </is>
      </c>
      <c r="C3751" s="4" t="inlineStr">
        <is>
          <t>W00031886A</t>
        </is>
      </c>
      <c r="D3751" s="6">
        <f>IF(F3751&gt;=5, F3751-5, IF(F3751&lt;5, 0, F3751))</f>
        <v/>
      </c>
      <c r="E3751">
        <f>VLOOKUP(B3751,[1]Namshi!$A:$B,2,0)</f>
        <v/>
      </c>
      <c r="F3751" s="4">
        <f>SUMIFS('Dubai Stock'!I:I,'Dubai Stock'!H:H,Final_UAE!B:B)</f>
        <v/>
      </c>
      <c r="H3751" s="8" t="e">
        <v>#N/A</v>
      </c>
      <c r="I3751" s="8" t="n"/>
    </row>
    <row r="3752">
      <c r="A3752" s="4" t="n">
        <v>33834</v>
      </c>
      <c r="B3752" s="4" t="inlineStr">
        <is>
          <t>sm12904-30s-000230-2904-58</t>
        </is>
      </c>
      <c r="C3752" s="4" t="inlineStr">
        <is>
          <t>W00031886A</t>
        </is>
      </c>
      <c r="D3752" s="6">
        <f>IF(F3752&gt;=5, F3752-5, IF(F3752&lt;5, 0, F3752))</f>
        <v/>
      </c>
      <c r="E3752">
        <f>VLOOKUP(B3752,[1]Namshi!$A:$B,2,0)</f>
        <v/>
      </c>
      <c r="F3752" s="4">
        <f>SUMIFS('Dubai Stock'!I:I,'Dubai Stock'!H:H,Final_UAE!B:B)</f>
        <v/>
      </c>
      <c r="H3752" s="8" t="e">
        <v>#N/A</v>
      </c>
    </row>
    <row r="3753">
      <c r="A3753" s="4" t="n">
        <v>33834</v>
      </c>
      <c r="B3753" s="4" t="inlineStr">
        <is>
          <t>sm50207-30s-000211-0207-51</t>
        </is>
      </c>
      <c r="C3753" s="4" t="inlineStr">
        <is>
          <t>W00031886A</t>
        </is>
      </c>
      <c r="D3753" s="6">
        <f>IF(F3753&gt;=5, F3753-5, IF(F3753&lt;5, 0, F3753))</f>
        <v/>
      </c>
      <c r="E3753">
        <f>VLOOKUP(B3753,[1]Namshi!$A:$B,2,0)</f>
        <v/>
      </c>
      <c r="F3753" s="4">
        <f>SUMIFS('Dubai Stock'!I:I,'Dubai Stock'!H:H,Final_UAE!B:B)</f>
        <v/>
      </c>
      <c r="H3753" s="8" t="e">
        <v>#N/A</v>
      </c>
    </row>
    <row r="3754">
      <c r="A3754" s="4" t="n">
        <v>33834</v>
      </c>
      <c r="B3754" s="4" t="inlineStr">
        <is>
          <t>sm100702-30s-000440-0702-52</t>
        </is>
      </c>
      <c r="C3754" s="4" t="inlineStr">
        <is>
          <t>W00031886A</t>
        </is>
      </c>
      <c r="D3754" s="6">
        <f>IF(F3754&gt;=5, F3754-5, IF(F3754&lt;5, 0, F3754))</f>
        <v/>
      </c>
      <c r="E3754">
        <f>VLOOKUP(B3754,[1]Namshi!$A:$B,2,0)</f>
        <v/>
      </c>
      <c r="F3754" s="4">
        <f>SUMIFS('Dubai Stock'!I:I,'Dubai Stock'!H:H,Final_UAE!B:B)</f>
        <v/>
      </c>
      <c r="H3754" s="8" t="e">
        <v>#N/A</v>
      </c>
    </row>
    <row r="3755">
      <c r="A3755" s="4" t="n">
        <v>33834</v>
      </c>
      <c r="B3755" s="4" t="inlineStr">
        <is>
          <t>clstbiw-acu-0002-p06-sn0800</t>
        </is>
      </c>
      <c r="C3755" s="4" t="inlineStr">
        <is>
          <t>W00031886A</t>
        </is>
      </c>
      <c r="D3755" s="6">
        <f>IF(F3755&gt;=5, F3755-5, IF(F3755&lt;5, 0, F3755))</f>
        <v/>
      </c>
      <c r="E3755">
        <f>VLOOKUP(B3755,[1]Namshi!$A:$B,2,0)</f>
        <v/>
      </c>
      <c r="F3755" s="4">
        <f>SUMIFS('Dubai Stock'!I:I,'Dubai Stock'!H:H,Final_UAE!B:B)</f>
        <v/>
      </c>
      <c r="H3755" s="8" t="e">
        <v>#N/A</v>
      </c>
      <c r="I3755" s="8" t="n"/>
    </row>
    <row r="3756">
      <c r="A3756" s="4" t="n">
        <v>33834</v>
      </c>
      <c r="B3756" s="4" t="inlineStr">
        <is>
          <t>clstdai-lay-cont-p10-dazzle-brown-sn0750</t>
        </is>
      </c>
      <c r="C3756" s="4" t="inlineStr">
        <is>
          <t>W00031886A</t>
        </is>
      </c>
      <c r="D3756" s="6">
        <f>IF(F3756&gt;=5, F3756-5, IF(F3756&lt;5, 0, F3756))</f>
        <v/>
      </c>
      <c r="E3756">
        <f>VLOOKUP(B3756,[1]Namshi!$A:$B,2,0)</f>
        <v/>
      </c>
      <c r="F3756" s="4">
        <f>SUMIFS('Dubai Stock'!I:I,'Dubai Stock'!H:H,Final_UAE!B:B)</f>
        <v/>
      </c>
      <c r="H3756" s="8" t="e">
        <v>#N/A</v>
      </c>
      <c r="I3756" s="8" t="n"/>
    </row>
    <row r="3757">
      <c r="A3757" s="4" t="n">
        <v>33834</v>
      </c>
      <c r="B3757" s="4" t="inlineStr">
        <is>
          <t>clstbiw-acu-0002-p12-sn0075</t>
        </is>
      </c>
      <c r="C3757" s="4" t="inlineStr">
        <is>
          <t>W00031886A</t>
        </is>
      </c>
      <c r="D3757" s="6">
        <f>IF(F3757&gt;=5, F3757-5, IF(F3757&lt;5, 0, F3757))</f>
        <v/>
      </c>
      <c r="E3757">
        <f>VLOOKUP(B3757,[1]Namshi!$A:$B,2,0)</f>
        <v/>
      </c>
      <c r="F3757" s="4">
        <f>SUMIFS('Dubai Stock'!I:I,'Dubai Stock'!H:H,Final_UAE!B:B)</f>
        <v/>
      </c>
      <c r="H3757" s="8" t="e">
        <v>#N/A</v>
      </c>
      <c r="I3757" s="8" t="n"/>
    </row>
    <row r="3758">
      <c r="A3758" s="4" t="n">
        <v>33834</v>
      </c>
      <c r="B3758" s="4" t="inlineStr">
        <is>
          <t>sw30107-30s-000122-0107-53</t>
        </is>
      </c>
      <c r="C3758" s="4" t="inlineStr">
        <is>
          <t>W00031886A</t>
        </is>
      </c>
      <c r="D3758" s="6">
        <f>IF(F3758&gt;=5, F3758-5, IF(F3758&lt;5, 0, F3758))</f>
        <v/>
      </c>
      <c r="E3758">
        <f>VLOOKUP(B3758,[1]Namshi!$A:$B,2,0)</f>
        <v/>
      </c>
      <c r="F3758" s="4">
        <f>SUMIFS('Dubai Stock'!I:I,'Dubai Stock'!H:H,Final_UAE!B:B)</f>
        <v/>
      </c>
      <c r="H3758" s="8" t="e">
        <v>#N/A</v>
      </c>
    </row>
    <row r="3759">
      <c r="A3759" s="4" t="n">
        <v>33834</v>
      </c>
      <c r="B3759" s="4" t="inlineStr">
        <is>
          <t>clstdai-btr-oned-p30-sp0225</t>
        </is>
      </c>
      <c r="C3759" s="4" t="inlineStr">
        <is>
          <t>W00031886A</t>
        </is>
      </c>
      <c r="D3759" s="6">
        <f>IF(F3759&gt;=5, F3759-5, IF(F3759&lt;5, 0, F3759))</f>
        <v/>
      </c>
      <c r="E3759">
        <f>VLOOKUP(B3759,[1]Namshi!$A:$B,2,0)</f>
        <v/>
      </c>
      <c r="F3759" s="4">
        <f>SUMIFS('Dubai Stock'!I:I,'Dubai Stock'!H:H,Final_UAE!B:B)</f>
        <v/>
      </c>
      <c r="H3759" s="8" t="e">
        <v>#N/A</v>
      </c>
      <c r="I3759" s="8" t="n"/>
    </row>
    <row r="3760">
      <c r="A3760" s="4" t="n">
        <v>33834</v>
      </c>
      <c r="B3760" s="4" t="inlineStr">
        <is>
          <t>cost3mo-lay-2025-p02-emerald-glow-sn0100</t>
        </is>
      </c>
      <c r="C3760" s="4" t="inlineStr">
        <is>
          <t>W00031886A</t>
        </is>
      </c>
      <c r="D3760" s="6">
        <f>IF(F3760&gt;=5, F3760-5, IF(F3760&lt;5, 0, F3760))</f>
        <v/>
      </c>
      <c r="E3760">
        <f>VLOOKUP(B3760,[1]Namshi!$A:$B,2,0)</f>
        <v/>
      </c>
      <c r="F3760" s="4">
        <f>SUMIFS('Dubai Stock'!I:I,'Dubai Stock'!H:H,Final_UAE!B:B)</f>
        <v/>
      </c>
      <c r="H3760" s="8" t="e">
        <v>#N/A</v>
      </c>
      <c r="I3760" s="8" t="n"/>
    </row>
    <row r="3761">
      <c r="A3761" s="4" t="n">
        <v>33834</v>
      </c>
      <c r="B3761" s="4" t="inlineStr">
        <is>
          <t>cost3mo-cel-natu-p01-azure-blue-sp0150</t>
        </is>
      </c>
      <c r="C3761" s="4" t="inlineStr">
        <is>
          <t>W00031886A</t>
        </is>
      </c>
      <c r="D3761" s="6">
        <f>IF(F3761&gt;=5, F3761-5, IF(F3761&lt;5, 0, F3761))</f>
        <v/>
      </c>
      <c r="E3761">
        <f>VLOOKUP(B3761,[1]Namshi!$A:$B,2,0)</f>
        <v/>
      </c>
      <c r="F3761" s="4">
        <f>SUMIFS('Dubai Stock'!I:I,'Dubai Stock'!H:H,Final_UAE!B:B)</f>
        <v/>
      </c>
      <c r="H3761" s="8" t="e">
        <v>#N/A</v>
      </c>
      <c r="I3761" s="8" t="n"/>
    </row>
    <row r="3762">
      <c r="A3762" s="4" t="n">
        <v>33834</v>
      </c>
      <c r="B3762" s="4" t="inlineStr">
        <is>
          <t>cost3mo-lay-2023-p02-sable-brown-sn0150</t>
        </is>
      </c>
      <c r="C3762" s="4" t="inlineStr">
        <is>
          <t>W00031886A</t>
        </is>
      </c>
      <c r="D3762" s="6">
        <f>IF(F3762&gt;=5, F3762-5, IF(F3762&lt;5, 0, F3762))</f>
        <v/>
      </c>
      <c r="E3762">
        <f>VLOOKUP(B3762,[1]Namshi!$A:$B,2,0)</f>
        <v/>
      </c>
      <c r="F3762" s="4">
        <f>SUMIFS('Dubai Stock'!I:I,'Dubai Stock'!H:H,Final_UAE!B:B)</f>
        <v/>
      </c>
      <c r="H3762" s="8" t="e">
        <v>#N/A</v>
      </c>
      <c r="I3762" s="8" t="n"/>
    </row>
    <row r="3763">
      <c r="A3763" s="4" t="n">
        <v>33834</v>
      </c>
      <c r="B3763" s="4" t="inlineStr">
        <is>
          <t>sc50207-bab-000504-0207-51</t>
        </is>
      </c>
      <c r="C3763" s="4" t="inlineStr">
        <is>
          <t>W00031886A</t>
        </is>
      </c>
      <c r="D3763" s="6">
        <f>IF(F3763&gt;=5, F3763-5, IF(F3763&lt;5, 0, F3763))</f>
        <v/>
      </c>
      <c r="E3763">
        <f>VLOOKUP(B3763,[1]Namshi!$A:$B,2,0)</f>
        <v/>
      </c>
      <c r="F3763" s="4">
        <f>SUMIFS('Dubai Stock'!I:I,'Dubai Stock'!H:H,Final_UAE!B:B)</f>
        <v/>
      </c>
      <c r="H3763" s="8" t="e">
        <v>#N/A</v>
      </c>
    </row>
    <row r="3764">
      <c r="A3764" s="4" t="n">
        <v>33834</v>
      </c>
      <c r="B3764" s="4" t="inlineStr">
        <is>
          <t>sacchan-30s-kali-black</t>
        </is>
      </c>
      <c r="C3764" s="4" t="inlineStr">
        <is>
          <t>W00031886A</t>
        </is>
      </c>
      <c r="D3764" s="6">
        <f>IF(F3764&gt;=5, F3764-5, IF(F3764&lt;5, 0, F3764))</f>
        <v/>
      </c>
      <c r="E3764">
        <f>VLOOKUP(B3764,[1]Namshi!$A:$B,2,0)</f>
        <v/>
      </c>
      <c r="F3764" s="4">
        <f>SUMIFS('Dubai Stock'!I:I,'Dubai Stock'!H:H,Final_UAE!B:B)</f>
        <v/>
      </c>
      <c r="H3764" s="8" t="e">
        <v>#N/A</v>
      </c>
      <c r="I3764" s="8" t="n"/>
    </row>
    <row r="3765">
      <c r="A3765" s="4" t="n">
        <v>33834</v>
      </c>
      <c r="B3765" s="4" t="inlineStr">
        <is>
          <t>cost3mo-lay-2022-p02-sweet-hazel-sn0200</t>
        </is>
      </c>
      <c r="C3765" s="4" t="inlineStr">
        <is>
          <t>W00031886A</t>
        </is>
      </c>
      <c r="D3765" s="6">
        <f>IF(F3765&gt;=5, F3765-5, IF(F3765&lt;5, 0, F3765))</f>
        <v/>
      </c>
      <c r="E3765">
        <f>VLOOKUP(B3765,[1]Namshi!$A:$B,2,0)</f>
        <v/>
      </c>
      <c r="F3765" s="4">
        <f>SUMIFS('Dubai Stock'!I:I,'Dubai Stock'!H:H,Final_UAE!B:B)</f>
        <v/>
      </c>
      <c r="H3765" s="8" t="e">
        <v>#N/A</v>
      </c>
      <c r="I3765" s="8" t="n"/>
    </row>
    <row r="3766">
      <c r="A3766" s="4" t="n">
        <v>33834</v>
      </c>
      <c r="B3766" s="4" t="inlineStr">
        <is>
          <t>clstdai-dai-aqua-p90-sn0375</t>
        </is>
      </c>
      <c r="C3766" s="4" t="inlineStr">
        <is>
          <t>W00031886A</t>
        </is>
      </c>
      <c r="D3766" s="6">
        <f>IF(F3766&gt;=5, F3766-5, IF(F3766&lt;5, 0, F3766))</f>
        <v/>
      </c>
      <c r="E3766">
        <f>VLOOKUP(B3766,[1]Namshi!$A:$B,2,0)</f>
        <v/>
      </c>
      <c r="F3766" s="4">
        <f>SUMIFS('Dubai Stock'!I:I,'Dubai Stock'!H:H,Final_UAE!B:B)</f>
        <v/>
      </c>
      <c r="H3766" s="8" t="e">
        <v>#N/A</v>
      </c>
      <c r="I3766" s="8" t="n"/>
    </row>
    <row r="3767">
      <c r="A3767" s="4" t="n">
        <v>33834</v>
      </c>
      <c r="B3767" s="4" t="inlineStr">
        <is>
          <t>su60107-bla-000281-0107-54</t>
        </is>
      </c>
      <c r="C3767" s="4" t="inlineStr">
        <is>
          <t>W00031886A</t>
        </is>
      </c>
      <c r="D3767" s="6">
        <f>IF(F3767&gt;=5, F3767-5, IF(F3767&lt;5, 0, F3767))</f>
        <v/>
      </c>
      <c r="E3767">
        <f>VLOOKUP(B3767,[1]Namshi!$A:$B,2,0)</f>
        <v/>
      </c>
      <c r="F3767" s="4">
        <f>SUMIFS('Dubai Stock'!I:I,'Dubai Stock'!H:H,Final_UAE!B:B)</f>
        <v/>
      </c>
      <c r="H3767" s="8" t="e">
        <v>#N/A</v>
      </c>
    </row>
    <row r="3768">
      <c r="A3768" s="4" t="n">
        <v>33834</v>
      </c>
      <c r="B3768" s="4" t="inlineStr">
        <is>
          <t>costmon-ama-2022-p02-tan-sn0300</t>
        </is>
      </c>
      <c r="C3768" s="4" t="inlineStr">
        <is>
          <t>W00031886A</t>
        </is>
      </c>
      <c r="D3768" s="6">
        <f>IF(F3768&gt;=5, F3768-5, IF(F3768&lt;5, 0, F3768))</f>
        <v/>
      </c>
      <c r="E3768">
        <f>VLOOKUP(B3768,[1]Namshi!$A:$B,2,0)</f>
        <v/>
      </c>
      <c r="F3768" s="4">
        <f>SUMIFS('Dubai Stock'!I:I,'Dubai Stock'!H:H,Final_UAE!B:B)</f>
        <v/>
      </c>
      <c r="H3768" s="8" t="e">
        <v>#N/A</v>
      </c>
      <c r="I3768" s="8" t="n"/>
    </row>
    <row r="3769">
      <c r="A3769" s="4" t="n">
        <v>33834</v>
      </c>
      <c r="B3769" s="4" t="inlineStr">
        <is>
          <t>cost3mo-lay-lens-p02-chocolate-brown-sn0550</t>
        </is>
      </c>
      <c r="C3769" s="4" t="inlineStr">
        <is>
          <t>W00031886A</t>
        </is>
      </c>
      <c r="D3769" s="6">
        <f>IF(F3769&gt;=5, F3769-5, IF(F3769&lt;5, 0, F3769))</f>
        <v/>
      </c>
      <c r="E3769">
        <f>VLOOKUP(B3769,[1]Namshi!$A:$B,2,0)</f>
        <v/>
      </c>
      <c r="F3769" s="4">
        <f>SUMIFS('Dubai Stock'!I:I,'Dubai Stock'!H:H,Final_UAE!B:B)</f>
        <v/>
      </c>
      <c r="H3769" s="8" t="e">
        <v>#N/A</v>
      </c>
      <c r="I3769" s="8" t="n"/>
    </row>
    <row r="3770">
      <c r="A3770" s="4" t="n">
        <v>33834</v>
      </c>
      <c r="B3770" s="4" t="inlineStr">
        <is>
          <t>costdai-ama-dail-p10-sugar-sn0600</t>
        </is>
      </c>
      <c r="C3770" s="4" t="inlineStr">
        <is>
          <t>W00031886A</t>
        </is>
      </c>
      <c r="D3770" s="6">
        <f>IF(F3770&gt;=5, F3770-5, IF(F3770&lt;5, 0, F3770))</f>
        <v/>
      </c>
      <c r="E3770">
        <f>VLOOKUP(B3770,[1]Namshi!$A:$B,2,0)</f>
        <v/>
      </c>
      <c r="F3770" s="4">
        <f>SUMIFS('Dubai Stock'!I:I,'Dubai Stock'!H:H,Final_UAE!B:B)</f>
        <v/>
      </c>
      <c r="H3770" s="8" t="e">
        <v>#N/A</v>
      </c>
      <c r="I3770" s="8" t="n"/>
    </row>
    <row r="3771">
      <c r="A3771" s="4" t="n">
        <v>33834</v>
      </c>
      <c r="B3771" s="4" t="inlineStr">
        <is>
          <t>cost3mo-lay-2021-p02-stardust-gray-sn0300</t>
        </is>
      </c>
      <c r="C3771" s="4" t="inlineStr">
        <is>
          <t>W00031886A</t>
        </is>
      </c>
      <c r="D3771" s="6">
        <f>IF(F3771&gt;=5, F3771-5, IF(F3771&lt;5, 0, F3771))</f>
        <v/>
      </c>
      <c r="E3771">
        <f>VLOOKUP(B3771,[1]Namshi!$A:$B,2,0)</f>
        <v/>
      </c>
      <c r="F3771" s="4">
        <f>SUMIFS('Dubai Stock'!I:I,'Dubai Stock'!H:H,Final_UAE!B:B)</f>
        <v/>
      </c>
      <c r="H3771" s="8" t="e">
        <v>#N/A</v>
      </c>
      <c r="I3771" s="8" t="n"/>
    </row>
    <row r="3772">
      <c r="A3772" s="4" t="n">
        <v>33834</v>
      </c>
      <c r="B3772" s="4" t="inlineStr">
        <is>
          <t>clstdai-acu-oasy-p30-sn0375</t>
        </is>
      </c>
      <c r="C3772" s="4" t="inlineStr">
        <is>
          <t>W00031886A</t>
        </is>
      </c>
      <c r="D3772" s="6">
        <f>IF(F3772&gt;=5, F3772-5, IF(F3772&lt;5, 0, F3772))</f>
        <v/>
      </c>
      <c r="E3772">
        <f>VLOOKUP(B3772,[1]Namshi!$A:$B,2,0)</f>
        <v/>
      </c>
      <c r="F3772" s="4">
        <f>SUMIFS('Dubai Stock'!I:I,'Dubai Stock'!H:H,Final_UAE!B:B)</f>
        <v/>
      </c>
      <c r="H3772" s="8" t="e">
        <v>#N/A</v>
      </c>
      <c r="I3772" s="8" t="n"/>
    </row>
    <row r="3773">
      <c r="A3773" s="4" t="n">
        <v>33834</v>
      </c>
      <c r="B3773" s="4" t="inlineStr">
        <is>
          <t>costmon-ama-2022-p02-tan-sn0325</t>
        </is>
      </c>
      <c r="C3773" s="4" t="inlineStr">
        <is>
          <t>W00031886A</t>
        </is>
      </c>
      <c r="D3773" s="6">
        <f>IF(F3773&gt;=5, F3773-5, IF(F3773&lt;5, 0, F3773))</f>
        <v/>
      </c>
      <c r="E3773">
        <f>VLOOKUP(B3773,[1]Namshi!$A:$B,2,0)</f>
        <v/>
      </c>
      <c r="F3773" s="4">
        <f>SUMIFS('Dubai Stock'!I:I,'Dubai Stock'!H:H,Final_UAE!B:B)</f>
        <v/>
      </c>
      <c r="H3773" s="8" t="e">
        <v>#N/A</v>
      </c>
      <c r="I3773" s="8" t="n"/>
    </row>
    <row r="3774">
      <c r="A3774" s="4" t="n">
        <v>33834</v>
      </c>
      <c r="B3774" s="4" t="inlineStr">
        <is>
          <t>clstdai-dai-aqua-p30-sn0125</t>
        </is>
      </c>
      <c r="C3774" s="4" t="inlineStr">
        <is>
          <t>W00031886A</t>
        </is>
      </c>
      <c r="D3774" s="6">
        <f>IF(F3774&gt;=5, F3774-5, IF(F3774&lt;5, 0, F3774))</f>
        <v/>
      </c>
      <c r="E3774">
        <f>VLOOKUP(B3774,[1]Namshi!$A:$B,2,0)</f>
        <v/>
      </c>
      <c r="F3774" s="4">
        <f>SUMIFS('Dubai Stock'!I:I,'Dubai Stock'!H:H,Final_UAE!B:B)</f>
        <v/>
      </c>
      <c r="H3774" s="8" t="e">
        <v>#N/A</v>
      </c>
      <c r="I3774" s="8" t="n"/>
    </row>
    <row r="3775">
      <c r="A3775" s="4" t="n">
        <v>33834</v>
      </c>
      <c r="B3775" s="4" t="inlineStr">
        <is>
          <t>sc50904-bab-000527-0904-48</t>
        </is>
      </c>
      <c r="C3775" s="4" t="inlineStr">
        <is>
          <t>W00031886A</t>
        </is>
      </c>
      <c r="D3775" s="6">
        <f>IF(F3775&gt;=5, F3775-5, IF(F3775&lt;5, 0, F3775))</f>
        <v/>
      </c>
      <c r="E3775">
        <f>VLOOKUP(B3775,[1]Namshi!$A:$B,2,0)</f>
        <v/>
      </c>
      <c r="F3775" s="4">
        <f>SUMIFS('Dubai Stock'!I:I,'Dubai Stock'!H:H,Final_UAE!B:B)</f>
        <v/>
      </c>
      <c r="H3775" s="8" t="e">
        <v>#N/A</v>
      </c>
    </row>
    <row r="3776">
      <c r="A3776" s="4" t="n">
        <v>33834</v>
      </c>
      <c r="B3776" s="4" t="inlineStr">
        <is>
          <t>fu50518-spc-000520-0500-51</t>
        </is>
      </c>
      <c r="C3776" s="4" t="inlineStr">
        <is>
          <t>W00031886A</t>
        </is>
      </c>
      <c r="D3776" s="6">
        <f>IF(F3776&gt;=5, F3776-5, IF(F3776&lt;5, 0, F3776))</f>
        <v/>
      </c>
      <c r="E3776">
        <f>VLOOKUP(B3776,[1]Namshi!$A:$B,2,0)</f>
        <v/>
      </c>
      <c r="F3776" s="4">
        <f>SUMIFS('Dubai Stock'!I:I,'Dubai Stock'!H:H,Final_UAE!B:B)</f>
        <v/>
      </c>
      <c r="H3776" s="8" t="e">
        <v>#N/A</v>
      </c>
      <c r="I3776" s="8" t="n"/>
    </row>
    <row r="3777">
      <c r="A3777" s="4" t="n">
        <v>33834</v>
      </c>
      <c r="B3777" s="4" t="inlineStr">
        <is>
          <t>sw72907-bla-000231-2901-58</t>
        </is>
      </c>
      <c r="C3777" s="4" t="inlineStr">
        <is>
          <t>W00031886A</t>
        </is>
      </c>
      <c r="D3777" s="6">
        <f>IF(F3777&gt;=5, F3777-5, IF(F3777&lt;5, 0, F3777))</f>
        <v/>
      </c>
      <c r="E3777">
        <f>VLOOKUP(B3777,[1]Namshi!$A:$B,2,0)</f>
        <v/>
      </c>
      <c r="F3777" s="4">
        <f>SUMIFS('Dubai Stock'!I:I,'Dubai Stock'!H:H,Final_UAE!B:B)</f>
        <v/>
      </c>
      <c r="H3777" s="8" t="e">
        <v>#N/A</v>
      </c>
    </row>
    <row r="3778">
      <c r="A3778" s="4" t="n">
        <v>33834</v>
      </c>
      <c r="B3778" s="4" t="inlineStr">
        <is>
          <t>sw30107-bla-000208-0107-54</t>
        </is>
      </c>
      <c r="C3778" s="4" t="inlineStr">
        <is>
          <t>W00031886A</t>
        </is>
      </c>
      <c r="D3778" s="6">
        <f>IF(F3778&gt;=5, F3778-5, IF(F3778&lt;5, 0, F3778))</f>
        <v/>
      </c>
      <c r="E3778">
        <f>VLOOKUP(B3778,[1]Namshi!$A:$B,2,0)</f>
        <v/>
      </c>
      <c r="F3778" s="4">
        <f>SUMIFS('Dubai Stock'!I:I,'Dubai Stock'!H:H,Final_UAE!B:B)</f>
        <v/>
      </c>
      <c r="H3778" s="8" t="e">
        <v>#N/A</v>
      </c>
    </row>
    <row r="3779">
      <c r="A3779" s="4" t="n">
        <v>33834</v>
      </c>
      <c r="B3779" s="4" t="inlineStr">
        <is>
          <t>su50602-30s-000237-0404-51</t>
        </is>
      </c>
      <c r="C3779" s="4" t="inlineStr">
        <is>
          <t>W00031886A</t>
        </is>
      </c>
      <c r="D3779" s="6">
        <f>IF(F3779&gt;=5, F3779-5, IF(F3779&lt;5, 0, F3779))</f>
        <v/>
      </c>
      <c r="E3779">
        <f>VLOOKUP(B3779,[1]Namshi!$A:$B,2,0)</f>
        <v/>
      </c>
      <c r="F3779" s="4">
        <f>SUMIFS('Dubai Stock'!I:I,'Dubai Stock'!H:H,Final_UAE!B:B)</f>
        <v/>
      </c>
      <c r="H3779" s="8" t="e">
        <v>#N/A</v>
      </c>
    </row>
    <row r="3780">
      <c r="A3780" s="4" t="n">
        <v>33834</v>
      </c>
      <c r="B3780" s="4" t="inlineStr">
        <is>
          <t>cost3mo-lay-2024-p02-terra-brown-sn0375</t>
        </is>
      </c>
      <c r="C3780" s="4" t="inlineStr">
        <is>
          <t>W00031886A</t>
        </is>
      </c>
      <c r="D3780" s="6">
        <f>IF(F3780&gt;=5, F3780-5, IF(F3780&lt;5, 0, F3780))</f>
        <v/>
      </c>
      <c r="E3780">
        <f>VLOOKUP(B3780,[1]Namshi!$A:$B,2,0)</f>
        <v/>
      </c>
      <c r="F3780" s="4">
        <f>SUMIFS('Dubai Stock'!I:I,'Dubai Stock'!H:H,Final_UAE!B:B)</f>
        <v/>
      </c>
      <c r="H3780" s="8" t="e">
        <v>#N/A</v>
      </c>
      <c r="I3780" s="8" t="n"/>
    </row>
    <row r="3781">
      <c r="A3781" s="4" t="n">
        <v>33834</v>
      </c>
      <c r="B3781" s="4" t="inlineStr">
        <is>
          <t>fm40118-spc-000517-0100-54</t>
        </is>
      </c>
      <c r="C3781" s="4" t="inlineStr">
        <is>
          <t>W00031886A</t>
        </is>
      </c>
      <c r="D3781" s="6">
        <f>IF(F3781&gt;=5, F3781-5, IF(F3781&lt;5, 0, F3781))</f>
        <v/>
      </c>
      <c r="E3781">
        <f>VLOOKUP(B3781,[1]Namshi!$A:$B,2,0)</f>
        <v/>
      </c>
      <c r="F3781" s="4">
        <f>SUMIFS('Dubai Stock'!I:I,'Dubai Stock'!H:H,Final_UAE!B:B)</f>
        <v/>
      </c>
      <c r="H3781" s="8" t="e">
        <v>#N/A</v>
      </c>
      <c r="I3781" s="8" t="n"/>
    </row>
    <row r="3782">
      <c r="A3782" s="4" t="n">
        <v>33834</v>
      </c>
      <c r="B3782" s="4" t="inlineStr">
        <is>
          <t>cost3mo-lay-2025-p02-emerald-glow-sn0350</t>
        </is>
      </c>
      <c r="C3782" s="4" t="inlineStr">
        <is>
          <t>W00031886A</t>
        </is>
      </c>
      <c r="D3782" s="6">
        <f>IF(F3782&gt;=5, F3782-5, IF(F3782&lt;5, 0, F3782))</f>
        <v/>
      </c>
      <c r="E3782">
        <f>VLOOKUP(B3782,[1]Namshi!$A:$B,2,0)</f>
        <v/>
      </c>
      <c r="F3782" s="4">
        <f>SUMIFS('Dubai Stock'!I:I,'Dubai Stock'!H:H,Final_UAE!B:B)</f>
        <v/>
      </c>
      <c r="H3782" s="8" t="e">
        <v>#N/A</v>
      </c>
      <c r="I3782" s="8" t="n"/>
    </row>
    <row r="3783">
      <c r="A3783" s="4" t="n">
        <v>33834</v>
      </c>
      <c r="B3783" s="4" t="inlineStr">
        <is>
          <t>cost3mo-lay-lens-p02-crystal-brown-sn0375</t>
        </is>
      </c>
      <c r="C3783" s="4" t="inlineStr">
        <is>
          <t>W00031886A</t>
        </is>
      </c>
      <c r="D3783" s="6">
        <f>IF(F3783&gt;=5, F3783-5, IF(F3783&lt;5, 0, F3783))</f>
        <v/>
      </c>
      <c r="E3783">
        <f>VLOOKUP(B3783,[1]Namshi!$A:$B,2,0)</f>
        <v/>
      </c>
      <c r="F3783" s="4">
        <f>SUMIFS('Dubai Stock'!I:I,'Dubai Stock'!H:H,Final_UAE!B:B)</f>
        <v/>
      </c>
      <c r="H3783" s="8" t="e">
        <v>#N/A</v>
      </c>
      <c r="I3783" s="8" t="n"/>
    </row>
    <row r="3784">
      <c r="A3784" s="4" t="n">
        <v>33834</v>
      </c>
      <c r="B3784" s="4" t="inlineStr">
        <is>
          <t>clstdai-eve-pure-p30-sn0475</t>
        </is>
      </c>
      <c r="C3784" s="4" t="inlineStr">
        <is>
          <t>W00031886A</t>
        </is>
      </c>
      <c r="D3784" s="6">
        <f>IF(F3784&gt;=5, F3784-5, IF(F3784&lt;5, 0, F3784))</f>
        <v/>
      </c>
      <c r="E3784">
        <f>VLOOKUP(B3784,[1]Namshi!$A:$B,2,0)</f>
        <v/>
      </c>
      <c r="F3784" s="4">
        <f>SUMIFS('Dubai Stock'!I:I,'Dubai Stock'!H:H,Final_UAE!B:B)</f>
        <v/>
      </c>
      <c r="H3784" s="8" t="n">
        <v>186</v>
      </c>
      <c r="I3784" s="8" t="n">
        <v>104.3</v>
      </c>
    </row>
    <row r="3785">
      <c r="A3785" s="4" t="n">
        <v>33834</v>
      </c>
      <c r="B3785" s="4" t="inlineStr">
        <is>
          <t>cost3mo-cel-natu-p01-azure-blue-sp0200</t>
        </is>
      </c>
      <c r="C3785" s="4" t="inlineStr">
        <is>
          <t>W00031886A</t>
        </is>
      </c>
      <c r="D3785" s="6">
        <f>IF(F3785&gt;=5, F3785-5, IF(F3785&lt;5, 0, F3785))</f>
        <v/>
      </c>
      <c r="E3785">
        <f>VLOOKUP(B3785,[1]Namshi!$A:$B,2,0)</f>
        <v/>
      </c>
      <c r="F3785" s="4">
        <f>SUMIFS('Dubai Stock'!I:I,'Dubai Stock'!H:H,Final_UAE!B:B)</f>
        <v/>
      </c>
      <c r="H3785" s="8" t="e">
        <v>#N/A</v>
      </c>
      <c r="I3785" s="8" t="n"/>
    </row>
    <row r="3786">
      <c r="A3786" s="4" t="n">
        <v>33834</v>
      </c>
      <c r="B3786" s="4" t="inlineStr">
        <is>
          <t>sm10104-30s-000505-0104-58</t>
        </is>
      </c>
      <c r="C3786" s="4" t="inlineStr">
        <is>
          <t>W00031886A</t>
        </is>
      </c>
      <c r="D3786" s="6">
        <f>IF(F3786&gt;=5, F3786-5, IF(F3786&lt;5, 0, F3786))</f>
        <v/>
      </c>
      <c r="E3786">
        <f>VLOOKUP(B3786,[1]Namshi!$A:$B,2,0)</f>
        <v/>
      </c>
      <c r="F3786" s="4">
        <f>SUMIFS('Dubai Stock'!I:I,'Dubai Stock'!H:H,Final_UAE!B:B)</f>
        <v/>
      </c>
      <c r="H3786" s="8" t="e">
        <v>#N/A</v>
      </c>
      <c r="I3786" s="8" t="n"/>
    </row>
    <row r="3787">
      <c r="A3787" s="4" t="n">
        <v>33834</v>
      </c>
      <c r="B3787" s="4" t="inlineStr">
        <is>
          <t>cltobiw-acu-oasy-p06-sn0225-cn0075-a010</t>
        </is>
      </c>
      <c r="C3787" s="4" t="inlineStr">
        <is>
          <t>W00031886A</t>
        </is>
      </c>
      <c r="D3787" s="6">
        <f>IF(F3787&gt;=5, F3787-5, IF(F3787&lt;5, 0, F3787))</f>
        <v/>
      </c>
      <c r="E3787">
        <f>VLOOKUP(B3787,[1]Namshi!$A:$B,2,0)</f>
        <v/>
      </c>
      <c r="F3787" s="4">
        <f>SUMIFS('Dubai Stock'!I:I,'Dubai Stock'!H:H,Final_UAE!B:B)</f>
        <v/>
      </c>
      <c r="H3787" s="8" t="e">
        <v>#N/A</v>
      </c>
      <c r="I3787" s="8" t="n"/>
    </row>
    <row r="3788">
      <c r="A3788" s="4" t="n">
        <v>33834</v>
      </c>
      <c r="B3788" s="4" t="inlineStr">
        <is>
          <t>sacchan-30s-chain123-blu-etta-blue</t>
        </is>
      </c>
      <c r="C3788" s="4" t="inlineStr">
        <is>
          <t>W00031886A</t>
        </is>
      </c>
      <c r="D3788" s="6">
        <f>IF(F3788&gt;=5, F3788-5, IF(F3788&lt;5, 0, F3788))</f>
        <v/>
      </c>
      <c r="E3788">
        <f>VLOOKUP(B3788,[1]Namshi!$A:$B,2,0)</f>
        <v/>
      </c>
      <c r="F3788" s="4">
        <f>SUMIFS('Dubai Stock'!I:I,'Dubai Stock'!H:H,Final_UAE!B:B)</f>
        <v/>
      </c>
      <c r="H3788" s="8" t="e">
        <v>#N/A</v>
      </c>
      <c r="I3788" s="8" t="n"/>
    </row>
    <row r="3789">
      <c r="A3789" s="4" t="n">
        <v>33834</v>
      </c>
      <c r="B3789" s="4" t="inlineStr">
        <is>
          <t>clstdai-acu-oasy-p30-sn0100</t>
        </is>
      </c>
      <c r="C3789" s="4" t="inlineStr">
        <is>
          <t>W00031886A</t>
        </is>
      </c>
      <c r="D3789" s="6">
        <f>IF(F3789&gt;=5, F3789-5, IF(F3789&lt;5, 0, F3789))</f>
        <v/>
      </c>
      <c r="E3789">
        <f>VLOOKUP(B3789,[1]Namshi!$A:$B,2,0)</f>
        <v/>
      </c>
      <c r="F3789" s="4">
        <f>SUMIFS('Dubai Stock'!I:I,'Dubai Stock'!H:H,Final_UAE!B:B)</f>
        <v/>
      </c>
      <c r="H3789" s="8" t="e">
        <v>#N/A</v>
      </c>
      <c r="I3789" s="8" t="n"/>
    </row>
    <row r="3790">
      <c r="A3790" s="4" t="n">
        <v>33834</v>
      </c>
      <c r="B3790" s="4" t="inlineStr">
        <is>
          <t>cost3mo-lay-lens-p02-cloudy-gray-sn0200</t>
        </is>
      </c>
      <c r="C3790" s="4" t="inlineStr">
        <is>
          <t>W00031886A</t>
        </is>
      </c>
      <c r="D3790" s="6">
        <f>IF(F3790&gt;=5, F3790-5, IF(F3790&lt;5, 0, F3790))</f>
        <v/>
      </c>
      <c r="E3790">
        <f>VLOOKUP(B3790,[1]Namshi!$A:$B,2,0)</f>
        <v/>
      </c>
      <c r="F3790" s="4">
        <f>SUMIFS('Dubai Stock'!I:I,'Dubai Stock'!H:H,Final_UAE!B:B)</f>
        <v/>
      </c>
      <c r="H3790" s="8" t="e">
        <v>#N/A</v>
      </c>
      <c r="I3790" s="8" t="n"/>
    </row>
    <row r="3791">
      <c r="A3791" s="4" t="n">
        <v>33834</v>
      </c>
      <c r="B3791" s="4" t="inlineStr">
        <is>
          <t>clstdai-eve-elit-p30-sn0750</t>
        </is>
      </c>
      <c r="C3791" s="4" t="inlineStr">
        <is>
          <t>W00031886A</t>
        </is>
      </c>
      <c r="D3791" s="6">
        <f>IF(F3791&gt;=5, F3791-5, IF(F3791&lt;5, 0, F3791))</f>
        <v/>
      </c>
      <c r="E3791">
        <f>VLOOKUP(B3791,[1]Namshi!$A:$B,2,0)</f>
        <v/>
      </c>
      <c r="F3791" s="4">
        <f>SUMIFS('Dubai Stock'!I:I,'Dubai Stock'!H:H,Final_UAE!B:B)</f>
        <v/>
      </c>
      <c r="H3791" s="8" t="n">
        <v>261</v>
      </c>
      <c r="I3791" s="8" t="n">
        <v>146.3</v>
      </c>
    </row>
    <row r="3792">
      <c r="A3792" s="4" t="n">
        <v>33834</v>
      </c>
      <c r="B3792" s="4" t="inlineStr">
        <is>
          <t>clstdai-lay-cont-p30-dazzle-black-sn0900</t>
        </is>
      </c>
      <c r="C3792" s="4" t="inlineStr">
        <is>
          <t>W00031886A</t>
        </is>
      </c>
      <c r="D3792" s="6">
        <f>IF(F3792&gt;=5, F3792-5, IF(F3792&lt;5, 0, F3792))</f>
        <v/>
      </c>
      <c r="E3792">
        <f>VLOOKUP(B3792,[1]Namshi!$A:$B,2,0)</f>
        <v/>
      </c>
      <c r="F3792" s="4">
        <f>SUMIFS('Dubai Stock'!I:I,'Dubai Stock'!H:H,Final_UAE!B:B)</f>
        <v/>
      </c>
      <c r="H3792" s="8" t="e">
        <v>#N/A</v>
      </c>
      <c r="I3792" s="8" t="n"/>
    </row>
    <row r="3793">
      <c r="A3793" s="4" t="n">
        <v>33834</v>
      </c>
      <c r="B3793" s="4" t="inlineStr">
        <is>
          <t>cltodai-acu-mois-p30-sn0750-cn0075-a010</t>
        </is>
      </c>
      <c r="C3793" s="4" t="inlineStr">
        <is>
          <t>W00031886A</t>
        </is>
      </c>
      <c r="D3793" s="6">
        <f>IF(F3793&gt;=5, F3793-5, IF(F3793&lt;5, 0, F3793))</f>
        <v/>
      </c>
      <c r="E3793">
        <f>VLOOKUP(B3793,[1]Namshi!$A:$B,2,0)</f>
        <v/>
      </c>
      <c r="F3793" s="4">
        <f>SUMIFS('Dubai Stock'!I:I,'Dubai Stock'!H:H,Final_UAE!B:B)</f>
        <v/>
      </c>
      <c r="H3793" s="8" t="e">
        <v>#N/A</v>
      </c>
      <c r="I3793" s="8" t="n"/>
    </row>
    <row r="3794">
      <c r="A3794" s="4" t="n">
        <v>33834</v>
      </c>
      <c r="B3794" s="4" t="inlineStr">
        <is>
          <t>clstdai-lay-cont-p90-dazzle-brown-sn0050</t>
        </is>
      </c>
      <c r="C3794" s="4" t="inlineStr">
        <is>
          <t>W00031886A</t>
        </is>
      </c>
      <c r="D3794" s="6">
        <f>IF(F3794&gt;=5, F3794-5, IF(F3794&lt;5, 0, F3794))</f>
        <v/>
      </c>
      <c r="E3794">
        <f>VLOOKUP(B3794,[1]Namshi!$A:$B,2,0)</f>
        <v/>
      </c>
      <c r="F3794" s="4">
        <f>SUMIFS('Dubai Stock'!I:I,'Dubai Stock'!H:H,Final_UAE!B:B)</f>
        <v/>
      </c>
      <c r="H3794" s="8" t="e">
        <v>#N/A</v>
      </c>
      <c r="I3794" s="8" t="n"/>
    </row>
    <row r="3795">
      <c r="A3795" s="4" t="n">
        <v>33834</v>
      </c>
      <c r="B3795" s="4" t="inlineStr">
        <is>
          <t>cost3mo-lay-2021-p02-polar-gray-sn0325</t>
        </is>
      </c>
      <c r="C3795" s="4" t="inlineStr">
        <is>
          <t>W00031886A</t>
        </is>
      </c>
      <c r="D3795" s="6">
        <f>IF(F3795&gt;=5, F3795-5, IF(F3795&lt;5, 0, F3795))</f>
        <v/>
      </c>
      <c r="E3795">
        <f>VLOOKUP(B3795,[1]Namshi!$A:$B,2,0)</f>
        <v/>
      </c>
      <c r="F3795" s="4">
        <f>SUMIFS('Dubai Stock'!I:I,'Dubai Stock'!H:H,Final_UAE!B:B)</f>
        <v/>
      </c>
      <c r="H3795" s="8" t="e">
        <v>#N/A</v>
      </c>
      <c r="I3795" s="8" t="n"/>
    </row>
    <row r="3796">
      <c r="A3796" s="4" t="n">
        <v>33834</v>
      </c>
      <c r="B3796" s="4" t="inlineStr">
        <is>
          <t>clstdai-acu-dfvi-p60-sn0750</t>
        </is>
      </c>
      <c r="C3796" s="4" t="inlineStr">
        <is>
          <t>W00031886A</t>
        </is>
      </c>
      <c r="D3796" s="6">
        <f>IF(F3796&gt;=5, F3796-5, IF(F3796&lt;5, 0, F3796))</f>
        <v/>
      </c>
      <c r="E3796">
        <f>VLOOKUP(B3796,[1]Namshi!$A:$B,2,0)</f>
        <v/>
      </c>
      <c r="F3796" s="4">
        <f>SUMIFS('Dubai Stock'!I:I,'Dubai Stock'!H:H,Final_UAE!B:B)</f>
        <v/>
      </c>
      <c r="H3796" s="8" t="e">
        <v>#N/A</v>
      </c>
      <c r="I3796" s="8" t="n"/>
    </row>
    <row r="3797">
      <c r="A3797" s="4" t="n">
        <v>33834</v>
      </c>
      <c r="B3797" s="4" t="inlineStr">
        <is>
          <t>clstdai-acu-dfna-p90-sn0850</t>
        </is>
      </c>
      <c r="C3797" s="4" t="inlineStr">
        <is>
          <t>W00031886A</t>
        </is>
      </c>
      <c r="D3797" s="6">
        <f>IF(F3797&gt;=5, F3797-5, IF(F3797&lt;5, 0, F3797))</f>
        <v/>
      </c>
      <c r="E3797">
        <f>VLOOKUP(B3797,[1]Namshi!$A:$B,2,0)</f>
        <v/>
      </c>
      <c r="F3797" s="4">
        <f>SUMIFS('Dubai Stock'!I:I,'Dubai Stock'!H:H,Final_UAE!B:B)</f>
        <v/>
      </c>
      <c r="H3797" s="8" t="e">
        <v>#N/A</v>
      </c>
      <c r="I3797" s="8" t="n"/>
    </row>
    <row r="3798">
      <c r="A3798" s="4" t="n">
        <v>33834</v>
      </c>
      <c r="B3798" s="4" t="inlineStr">
        <is>
          <t>clstdai-acu-oasy-p90-sn1000</t>
        </is>
      </c>
      <c r="C3798" s="4" t="inlineStr">
        <is>
          <t>W00031886A</t>
        </is>
      </c>
      <c r="D3798" s="6">
        <f>IF(F3798&gt;=5, F3798-5, IF(F3798&lt;5, 0, F3798))</f>
        <v/>
      </c>
      <c r="E3798">
        <f>VLOOKUP(B3798,[1]Namshi!$A:$B,2,0)</f>
        <v/>
      </c>
      <c r="F3798" s="4">
        <f>SUMIFS('Dubai Stock'!I:I,'Dubai Stock'!H:H,Final_UAE!B:B)</f>
        <v/>
      </c>
      <c r="H3798" s="8" t="e">
        <v>#N/A</v>
      </c>
      <c r="I3798" s="8" t="n"/>
    </row>
    <row r="3799">
      <c r="A3799" s="4" t="n">
        <v>33834</v>
      </c>
      <c r="B3799" s="4" t="inlineStr">
        <is>
          <t>clstdai-dai-aqua-p90-sp0400</t>
        </is>
      </c>
      <c r="C3799" s="4" t="inlineStr">
        <is>
          <t>W00031886A</t>
        </is>
      </c>
      <c r="D3799" s="6">
        <f>IF(F3799&gt;=5, F3799-5, IF(F3799&lt;5, 0, F3799))</f>
        <v/>
      </c>
      <c r="E3799">
        <f>VLOOKUP(B3799,[1]Namshi!$A:$B,2,0)</f>
        <v/>
      </c>
      <c r="F3799" s="4">
        <f>SUMIFS('Dubai Stock'!I:I,'Dubai Stock'!H:H,Final_UAE!B:B)</f>
        <v/>
      </c>
      <c r="H3799" s="8" t="e">
        <v>#N/A</v>
      </c>
      <c r="I3799" s="8" t="n"/>
    </row>
    <row r="3800">
      <c r="A3800" s="4" t="n">
        <v>33834</v>
      </c>
      <c r="B3800" s="4" t="inlineStr">
        <is>
          <t>clstdai-acu-oasy-p30-sn0750</t>
        </is>
      </c>
      <c r="C3800" s="4" t="inlineStr">
        <is>
          <t>W00031886A</t>
        </is>
      </c>
      <c r="D3800" s="6">
        <f>IF(F3800&gt;=5, F3800-5, IF(F3800&lt;5, 0, F3800))</f>
        <v/>
      </c>
      <c r="E3800">
        <f>VLOOKUP(B3800,[1]Namshi!$A:$B,2,0)</f>
        <v/>
      </c>
      <c r="F3800" s="4">
        <f>SUMIFS('Dubai Stock'!I:I,'Dubai Stock'!H:H,Final_UAE!B:B)</f>
        <v/>
      </c>
      <c r="H3800" s="8" t="e">
        <v>#N/A</v>
      </c>
      <c r="I3800" s="8" t="n"/>
    </row>
    <row r="3801">
      <c r="A3801" s="4" t="n">
        <v>33834</v>
      </c>
      <c r="B3801" s="4" t="inlineStr">
        <is>
          <t>clstdai-lay-cont-p90-dazzle-black-sn0800</t>
        </is>
      </c>
      <c r="C3801" s="4" t="inlineStr">
        <is>
          <t>W00031886A</t>
        </is>
      </c>
      <c r="D3801" s="6">
        <f>IF(F3801&gt;=5, F3801-5, IF(F3801&lt;5, 0, F3801))</f>
        <v/>
      </c>
      <c r="E3801">
        <f>VLOOKUP(B3801,[1]Namshi!$A:$B,2,0)</f>
        <v/>
      </c>
      <c r="F3801" s="4">
        <f>SUMIFS('Dubai Stock'!I:I,'Dubai Stock'!H:H,Final_UAE!B:B)</f>
        <v/>
      </c>
      <c r="H3801" s="8" t="e">
        <v>#N/A</v>
      </c>
      <c r="I3801" s="8" t="n"/>
    </row>
    <row r="3802">
      <c r="A3802" s="4" t="n">
        <v>33834</v>
      </c>
      <c r="B3802" s="4" t="inlineStr">
        <is>
          <t>costdai-acu-dffr-p30-hazel-sn0325</t>
        </is>
      </c>
      <c r="C3802" s="4" t="inlineStr">
        <is>
          <t>W00031886A</t>
        </is>
      </c>
      <c r="D3802" s="6">
        <f>IF(F3802&gt;=5, F3802-5, IF(F3802&lt;5, 0, F3802))</f>
        <v/>
      </c>
      <c r="E3802">
        <f>VLOOKUP(B3802,[1]Namshi!$A:$B,2,0)</f>
        <v/>
      </c>
      <c r="F3802" s="4">
        <f>SUMIFS('Dubai Stock'!I:I,'Dubai Stock'!H:H,Final_UAE!B:B)</f>
        <v/>
      </c>
      <c r="H3802" s="8" t="e">
        <v>#N/A</v>
      </c>
      <c r="I3802" s="8" t="n"/>
    </row>
    <row r="3803">
      <c r="A3803" s="4" t="n">
        <v>33834</v>
      </c>
      <c r="B3803" s="4" t="inlineStr">
        <is>
          <t>sm72706-30s-000209-2706-60</t>
        </is>
      </c>
      <c r="C3803" s="4" t="inlineStr">
        <is>
          <t>W00031886A</t>
        </is>
      </c>
      <c r="D3803" s="6">
        <f>IF(F3803&gt;=5, F3803-5, IF(F3803&lt;5, 0, F3803))</f>
        <v/>
      </c>
      <c r="E3803">
        <f>VLOOKUP(B3803,[1]Namshi!$A:$B,2,0)</f>
        <v/>
      </c>
      <c r="F3803" s="4">
        <f>SUMIFS('Dubai Stock'!I:I,'Dubai Stock'!H:H,Final_UAE!B:B)</f>
        <v/>
      </c>
      <c r="H3803" s="8" t="e">
        <v>#N/A</v>
      </c>
    </row>
    <row r="3804">
      <c r="A3804" s="4" t="n">
        <v>33834</v>
      </c>
      <c r="B3804" s="4" t="inlineStr">
        <is>
          <t>fu20418-spc-000813-0418-49</t>
        </is>
      </c>
      <c r="C3804" s="4" t="inlineStr">
        <is>
          <t>W00031886A</t>
        </is>
      </c>
      <c r="D3804" s="6">
        <f>IF(F3804&gt;=5, F3804-5, IF(F3804&lt;5, 0, F3804))</f>
        <v/>
      </c>
      <c r="E3804">
        <f>VLOOKUP(B3804,[1]Namshi!$A:$B,2,0)</f>
        <v/>
      </c>
      <c r="F3804" s="4">
        <f>SUMIFS('Dubai Stock'!I:I,'Dubai Stock'!H:H,Final_UAE!B:B)</f>
        <v/>
      </c>
      <c r="H3804" s="8" t="e">
        <v>#N/A</v>
      </c>
      <c r="I3804" s="8" t="n"/>
    </row>
    <row r="3805">
      <c r="A3805" s="4" t="n">
        <v>33834</v>
      </c>
      <c r="B3805" s="4" t="inlineStr">
        <is>
          <t>cost3mo-lay-2022-p02-cosmo-gray-sn0500</t>
        </is>
      </c>
      <c r="C3805" s="4" t="inlineStr">
        <is>
          <t>W00031886A</t>
        </is>
      </c>
      <c r="D3805" s="6">
        <f>IF(F3805&gt;=5, F3805-5, IF(F3805&lt;5, 0, F3805))</f>
        <v/>
      </c>
      <c r="E3805">
        <f>VLOOKUP(B3805,[1]Namshi!$A:$B,2,0)</f>
        <v/>
      </c>
      <c r="F3805" s="4">
        <f>SUMIFS('Dubai Stock'!I:I,'Dubai Stock'!H:H,Final_UAE!B:B)</f>
        <v/>
      </c>
      <c r="H3805" s="8" t="e">
        <v>#N/A</v>
      </c>
      <c r="I3805" s="8" t="n"/>
    </row>
    <row r="3806">
      <c r="A3806" s="4" t="n">
        <v>33834</v>
      </c>
      <c r="B3806" s="4" t="inlineStr">
        <is>
          <t>sw30510-30s-000243-0510-57</t>
        </is>
      </c>
      <c r="C3806" s="4" t="inlineStr">
        <is>
          <t>W00031886A</t>
        </is>
      </c>
      <c r="D3806" s="6">
        <f>IF(F3806&gt;=5, F3806-5, IF(F3806&lt;5, 0, F3806))</f>
        <v/>
      </c>
      <c r="E3806">
        <f>VLOOKUP(B3806,[1]Namshi!$A:$B,2,0)</f>
        <v/>
      </c>
      <c r="F3806" s="4">
        <f>SUMIFS('Dubai Stock'!I:I,'Dubai Stock'!H:H,Final_UAE!B:B)</f>
        <v/>
      </c>
      <c r="H3806" s="8" t="e">
        <v>#N/A</v>
      </c>
    </row>
    <row r="3807">
      <c r="A3807" s="4" t="n">
        <v>33834</v>
      </c>
      <c r="B3807" s="4" t="inlineStr">
        <is>
          <t>clstbiw-acu-oasy-p06-sn0700</t>
        </is>
      </c>
      <c r="C3807" s="4" t="inlineStr">
        <is>
          <t>W00031886A</t>
        </is>
      </c>
      <c r="D3807" s="6">
        <f>IF(F3807&gt;=5, F3807-5, IF(F3807&lt;5, 0, F3807))</f>
        <v/>
      </c>
      <c r="E3807">
        <f>VLOOKUP(B3807,[1]Namshi!$A:$B,2,0)</f>
        <v/>
      </c>
      <c r="F3807" s="4">
        <f>SUMIFS('Dubai Stock'!I:I,'Dubai Stock'!H:H,Final_UAE!B:B)</f>
        <v/>
      </c>
      <c r="H3807" s="8" t="e">
        <v>#N/A</v>
      </c>
      <c r="I3807" s="8" t="n"/>
    </row>
    <row r="3808">
      <c r="A3808" s="4" t="n">
        <v>33834</v>
      </c>
      <c r="B3808" s="4" t="inlineStr">
        <is>
          <t>clstdai-acu-dfna-p60-sn0175</t>
        </is>
      </c>
      <c r="C3808" s="4" t="inlineStr">
        <is>
          <t>W00031886A</t>
        </is>
      </c>
      <c r="D3808" s="6">
        <f>IF(F3808&gt;=5, F3808-5, IF(F3808&lt;5, 0, F3808))</f>
        <v/>
      </c>
      <c r="E3808">
        <f>VLOOKUP(B3808,[1]Namshi!$A:$B,2,0)</f>
        <v/>
      </c>
      <c r="F3808" s="4">
        <f>SUMIFS('Dubai Stock'!I:I,'Dubai Stock'!H:H,Final_UAE!B:B)</f>
        <v/>
      </c>
      <c r="H3808" s="8" t="e">
        <v>#N/A</v>
      </c>
      <c r="I3808" s="8" t="n"/>
    </row>
    <row r="3809">
      <c r="A3809" s="4" t="n">
        <v>33834</v>
      </c>
      <c r="B3809" s="4" t="inlineStr">
        <is>
          <t>clstdai-eve-elit-p90-sp0350</t>
        </is>
      </c>
      <c r="C3809" s="4" t="inlineStr">
        <is>
          <t>W00031886A</t>
        </is>
      </c>
      <c r="D3809" s="6">
        <f>IF(F3809&gt;=5, F3809-5, IF(F3809&lt;5, 0, F3809))</f>
        <v/>
      </c>
      <c r="E3809">
        <f>VLOOKUP(B3809,[1]Namshi!$A:$B,2,0)</f>
        <v/>
      </c>
      <c r="F3809" s="4">
        <f>SUMIFS('Dubai Stock'!I:I,'Dubai Stock'!H:H,Final_UAE!B:B)</f>
        <v/>
      </c>
      <c r="H3809" s="8" t="n">
        <v>729</v>
      </c>
      <c r="I3809" s="8" t="n">
        <v>357</v>
      </c>
    </row>
    <row r="3810">
      <c r="A3810" s="4" t="n">
        <v>33834</v>
      </c>
      <c r="B3810" s="4" t="inlineStr">
        <is>
          <t>fw32318-spc-000810-2318-58</t>
        </is>
      </c>
      <c r="C3810" s="4" t="inlineStr">
        <is>
          <t>W00031886A</t>
        </is>
      </c>
      <c r="D3810" s="6">
        <f>IF(F3810&gt;=5, F3810-5, IF(F3810&lt;5, 0, F3810))</f>
        <v/>
      </c>
      <c r="E3810">
        <f>VLOOKUP(B3810,[1]Namshi!$A:$B,2,0)</f>
        <v/>
      </c>
      <c r="F3810" s="4">
        <f>SUMIFS('Dubai Stock'!I:I,'Dubai Stock'!H:H,Final_UAE!B:B)</f>
        <v/>
      </c>
      <c r="H3810" s="8" t="e">
        <v>#N/A</v>
      </c>
      <c r="I3810" s="8" t="n"/>
    </row>
    <row r="3811">
      <c r="A3811" s="4" t="n">
        <v>33834</v>
      </c>
      <c r="B3811" s="4" t="inlineStr">
        <is>
          <t>costmon-ama-2022-p02-tiger-eyes-sn0350</t>
        </is>
      </c>
      <c r="C3811" s="4" t="inlineStr">
        <is>
          <t>W00031886A</t>
        </is>
      </c>
      <c r="D3811" s="6">
        <f>IF(F3811&gt;=5, F3811-5, IF(F3811&lt;5, 0, F3811))</f>
        <v/>
      </c>
      <c r="E3811">
        <f>VLOOKUP(B3811,[1]Namshi!$A:$B,2,0)</f>
        <v/>
      </c>
      <c r="F3811" s="4">
        <f>SUMIFS('Dubai Stock'!I:I,'Dubai Stock'!H:H,Final_UAE!B:B)</f>
        <v/>
      </c>
      <c r="H3811" s="8" t="e">
        <v>#N/A</v>
      </c>
      <c r="I3811" s="8" t="n"/>
    </row>
    <row r="3812">
      <c r="A3812" s="4" t="n">
        <v>33834</v>
      </c>
      <c r="B3812" s="4" t="inlineStr">
        <is>
          <t>clstdai-eve-elit-p90-sn1150</t>
        </is>
      </c>
      <c r="C3812" s="4" t="inlineStr">
        <is>
          <t>W00031886A</t>
        </is>
      </c>
      <c r="D3812" s="6">
        <f>IF(F3812&gt;=5, F3812-5, IF(F3812&lt;5, 0, F3812))</f>
        <v/>
      </c>
      <c r="E3812">
        <f>VLOOKUP(B3812,[1]Namshi!$A:$B,2,0)</f>
        <v/>
      </c>
      <c r="F3812" s="4">
        <f>SUMIFS('Dubai Stock'!I:I,'Dubai Stock'!H:H,Final_UAE!B:B)</f>
        <v/>
      </c>
      <c r="H3812" s="8" t="n">
        <v>729</v>
      </c>
      <c r="I3812" s="8" t="n">
        <v>357</v>
      </c>
    </row>
    <row r="3813">
      <c r="A3813" s="4" t="n">
        <v>33834</v>
      </c>
      <c r="B3813" s="4" t="inlineStr">
        <is>
          <t>sm41402-30s-000299-1402p-53</t>
        </is>
      </c>
      <c r="C3813" s="4" t="inlineStr">
        <is>
          <t>W00031886A</t>
        </is>
      </c>
      <c r="D3813" s="6">
        <f>IF(F3813&gt;=5, F3813-5, IF(F3813&lt;5, 0, F3813))</f>
        <v/>
      </c>
      <c r="E3813">
        <f>VLOOKUP(B3813,[1]Namshi!$A:$B,2,0)</f>
        <v/>
      </c>
      <c r="F3813" s="4">
        <f>SUMIFS('Dubai Stock'!I:I,'Dubai Stock'!H:H,Final_UAE!B:B)</f>
        <v/>
      </c>
      <c r="H3813" s="8" t="e">
        <v>#N/A</v>
      </c>
    </row>
    <row r="3814">
      <c r="A3814" s="4" t="n">
        <v>33834</v>
      </c>
      <c r="B3814" s="4" t="inlineStr">
        <is>
          <t>clstdai-acu-omax-p90-sn0300</t>
        </is>
      </c>
      <c r="C3814" s="4" t="inlineStr">
        <is>
          <t>W00031886A</t>
        </is>
      </c>
      <c r="D3814" s="6">
        <f>IF(F3814&gt;=5, F3814-5, IF(F3814&lt;5, 0, F3814))</f>
        <v/>
      </c>
      <c r="E3814">
        <f>VLOOKUP(B3814,[1]Namshi!$A:$B,2,0)</f>
        <v/>
      </c>
      <c r="F3814" s="4">
        <f>SUMIFS('Dubai Stock'!I:I,'Dubai Stock'!H:H,Final_UAE!B:B)</f>
        <v/>
      </c>
      <c r="H3814" s="8" t="e">
        <v>#N/A</v>
      </c>
      <c r="I3814" s="8" t="n"/>
    </row>
    <row r="3815">
      <c r="A3815" s="4" t="n">
        <v>33834</v>
      </c>
      <c r="B3815" s="4" t="inlineStr">
        <is>
          <t>cost3mo-cel-natu-p01-azure-blue-sp0250</t>
        </is>
      </c>
      <c r="C3815" s="4" t="inlineStr">
        <is>
          <t>W00031886A</t>
        </is>
      </c>
      <c r="D3815" s="6">
        <f>IF(F3815&gt;=5, F3815-5, IF(F3815&lt;5, 0, F3815))</f>
        <v/>
      </c>
      <c r="E3815">
        <f>VLOOKUP(B3815,[1]Namshi!$A:$B,2,0)</f>
        <v/>
      </c>
      <c r="F3815" s="4">
        <f>SUMIFS('Dubai Stock'!I:I,'Dubai Stock'!H:H,Final_UAE!B:B)</f>
        <v/>
      </c>
      <c r="H3815" s="8" t="e">
        <v>#N/A</v>
      </c>
      <c r="I3815" s="8" t="n"/>
    </row>
    <row r="3816">
      <c r="A3816" s="4" t="n">
        <v>33834</v>
      </c>
      <c r="B3816" s="4" t="inlineStr">
        <is>
          <t>clstbiw-acu-oasy-p06-sn0500</t>
        </is>
      </c>
      <c r="C3816" s="4" t="inlineStr">
        <is>
          <t>W00031886A</t>
        </is>
      </c>
      <c r="D3816" s="6">
        <f>IF(F3816&gt;=5, F3816-5, IF(F3816&lt;5, 0, F3816))</f>
        <v/>
      </c>
      <c r="E3816">
        <f>VLOOKUP(B3816,[1]Namshi!$A:$B,2,0)</f>
        <v/>
      </c>
      <c r="F3816" s="4">
        <f>SUMIFS('Dubai Stock'!I:I,'Dubai Stock'!H:H,Final_UAE!B:B)</f>
        <v/>
      </c>
      <c r="H3816" s="8" t="e">
        <v>#N/A</v>
      </c>
      <c r="I3816" s="8" t="n"/>
    </row>
    <row r="3817">
      <c r="A3817" s="4" t="n">
        <v>33834</v>
      </c>
      <c r="B3817" s="4" t="inlineStr">
        <is>
          <t>cltodai-acu-mois-p30-sn0175-cn0075-a010</t>
        </is>
      </c>
      <c r="C3817" s="4" t="inlineStr">
        <is>
          <t>W00031886A</t>
        </is>
      </c>
      <c r="D3817" s="6">
        <f>IF(F3817&gt;=5, F3817-5, IF(F3817&lt;5, 0, F3817))</f>
        <v/>
      </c>
      <c r="E3817">
        <f>VLOOKUP(B3817,[1]Namshi!$A:$B,2,0)</f>
        <v/>
      </c>
      <c r="F3817" s="4">
        <f>SUMIFS('Dubai Stock'!I:I,'Dubai Stock'!H:H,Final_UAE!B:B)</f>
        <v/>
      </c>
      <c r="H3817" s="8" t="e">
        <v>#N/A</v>
      </c>
      <c r="I3817" s="8" t="n"/>
    </row>
    <row r="3818">
      <c r="A3818" s="4" t="n">
        <v>33834</v>
      </c>
      <c r="B3818" s="4" t="inlineStr">
        <is>
          <t>costdai-ama-dail-p10-honey-sn0850</t>
        </is>
      </c>
      <c r="C3818" s="4" t="inlineStr">
        <is>
          <t>W00031886A</t>
        </is>
      </c>
      <c r="D3818" s="6">
        <f>IF(F3818&gt;=5, F3818-5, IF(F3818&lt;5, 0, F3818))</f>
        <v/>
      </c>
      <c r="E3818">
        <f>VLOOKUP(B3818,[1]Namshi!$A:$B,2,0)</f>
        <v/>
      </c>
      <c r="F3818" s="4">
        <f>SUMIFS('Dubai Stock'!I:I,'Dubai Stock'!H:H,Final_UAE!B:B)</f>
        <v/>
      </c>
      <c r="H3818" s="8" t="e">
        <v>#N/A</v>
      </c>
      <c r="I3818" s="8" t="n"/>
    </row>
    <row r="3819">
      <c r="A3819" s="4" t="n">
        <v>33834</v>
      </c>
      <c r="B3819" s="4" t="inlineStr">
        <is>
          <t>cltobiw-acu-oasy-p06-sn0850-cn0175-a040</t>
        </is>
      </c>
      <c r="C3819" s="4" t="inlineStr">
        <is>
          <t>W00031886A</t>
        </is>
      </c>
      <c r="D3819" s="6">
        <f>IF(F3819&gt;=5, F3819-5, IF(F3819&lt;5, 0, F3819))</f>
        <v/>
      </c>
      <c r="E3819">
        <f>VLOOKUP(B3819,[1]Namshi!$A:$B,2,0)</f>
        <v/>
      </c>
      <c r="F3819" s="4">
        <f>SUMIFS('Dubai Stock'!I:I,'Dubai Stock'!H:H,Final_UAE!B:B)</f>
        <v/>
      </c>
      <c r="H3819" s="8" t="e">
        <v>#N/A</v>
      </c>
      <c r="I3819" s="8" t="n"/>
    </row>
    <row r="3820">
      <c r="A3820" s="4" t="n">
        <v>33834</v>
      </c>
      <c r="B3820" s="4" t="inlineStr">
        <is>
          <t>sw30202-30s-000272-0202-49</t>
        </is>
      </c>
      <c r="C3820" s="4" t="inlineStr">
        <is>
          <t>W00031886A</t>
        </is>
      </c>
      <c r="D3820" s="6">
        <f>IF(F3820&gt;=5, F3820-5, IF(F3820&lt;5, 0, F3820))</f>
        <v/>
      </c>
      <c r="E3820">
        <f>VLOOKUP(B3820,[1]Namshi!$A:$B,2,0)</f>
        <v/>
      </c>
      <c r="F3820" s="4">
        <f>SUMIFS('Dubai Stock'!I:I,'Dubai Stock'!H:H,Final_UAE!B:B)</f>
        <v/>
      </c>
      <c r="H3820" s="8" t="e">
        <v>#N/A</v>
      </c>
    </row>
    <row r="3821">
      <c r="A3821" s="4" t="n">
        <v>33834</v>
      </c>
      <c r="B3821" s="4" t="inlineStr">
        <is>
          <t>clstdai-sof-sdai-p30-sn0350</t>
        </is>
      </c>
      <c r="C3821" s="4" t="inlineStr">
        <is>
          <t>W00031886A</t>
        </is>
      </c>
      <c r="D3821" s="6">
        <f>IF(F3821&gt;=5, F3821-5, IF(F3821&lt;5, 0, F3821))</f>
        <v/>
      </c>
      <c r="E3821">
        <f>VLOOKUP(B3821,[1]Namshi!$A:$B,2,0)</f>
        <v/>
      </c>
      <c r="F3821" s="4">
        <f>SUMIFS('Dubai Stock'!I:I,'Dubai Stock'!H:H,Final_UAE!B:B)</f>
        <v/>
      </c>
      <c r="H3821" s="8" t="e">
        <v>#N/A</v>
      </c>
      <c r="I3821" s="8" t="n"/>
    </row>
    <row r="3822">
      <c r="A3822" s="4" t="n">
        <v>33834</v>
      </c>
      <c r="B3822" s="4" t="inlineStr">
        <is>
          <t>clstbiw-acu-oasy-p06-sp0425</t>
        </is>
      </c>
      <c r="C3822" s="4" t="inlineStr">
        <is>
          <t>W00031886A</t>
        </is>
      </c>
      <c r="D3822" s="6">
        <f>IF(F3822&gt;=5, F3822-5, IF(F3822&lt;5, 0, F3822))</f>
        <v/>
      </c>
      <c r="E3822">
        <f>VLOOKUP(B3822,[1]Namshi!$A:$B,2,0)</f>
        <v/>
      </c>
      <c r="F3822" s="4">
        <f>SUMIFS('Dubai Stock'!I:I,'Dubai Stock'!H:H,Final_UAE!B:B)</f>
        <v/>
      </c>
      <c r="H3822" s="8" t="e">
        <v>#N/A</v>
      </c>
      <c r="I3822" s="8" t="n"/>
    </row>
    <row r="3823">
      <c r="A3823" s="4" t="n">
        <v>33834</v>
      </c>
      <c r="B3823" s="4" t="inlineStr">
        <is>
          <t>clstdai-sof-sdai-p90-sn0900</t>
        </is>
      </c>
      <c r="C3823" s="4" t="inlineStr">
        <is>
          <t>W00031886A</t>
        </is>
      </c>
      <c r="D3823" s="6">
        <f>IF(F3823&gt;=5, F3823-5, IF(F3823&lt;5, 0, F3823))</f>
        <v/>
      </c>
      <c r="E3823">
        <f>VLOOKUP(B3823,[1]Namshi!$A:$B,2,0)</f>
        <v/>
      </c>
      <c r="F3823" s="4">
        <f>SUMIFS('Dubai Stock'!I:I,'Dubai Stock'!H:H,Final_UAE!B:B)</f>
        <v/>
      </c>
      <c r="H3823" s="8" t="e">
        <v>#N/A</v>
      </c>
      <c r="I3823" s="8" t="n"/>
    </row>
    <row r="3824">
      <c r="A3824" s="4" t="n">
        <v>33834</v>
      </c>
      <c r="B3824" s="4" t="inlineStr">
        <is>
          <t>clstmon-bme-bm55-p06-sn0550</t>
        </is>
      </c>
      <c r="C3824" s="4" t="inlineStr">
        <is>
          <t>W00031886A</t>
        </is>
      </c>
      <c r="D3824" s="6">
        <f>IF(F3824&gt;=5, F3824-5, IF(F3824&lt;5, 0, F3824))</f>
        <v/>
      </c>
      <c r="E3824">
        <f>VLOOKUP(B3824,[1]Namshi!$A:$B,2,0)</f>
        <v/>
      </c>
      <c r="F3824" s="4">
        <f>SUMIFS('Dubai Stock'!I:I,'Dubai Stock'!H:H,Final_UAE!B:B)</f>
        <v/>
      </c>
      <c r="H3824" s="8" t="e">
        <v>#N/A</v>
      </c>
      <c r="I3824" s="8" t="n"/>
    </row>
    <row r="3825">
      <c r="A3825" s="4" t="n">
        <v>33834</v>
      </c>
      <c r="B3825" s="4" t="inlineStr">
        <is>
          <t>clstbiw-acu-0002-p06-sn0250</t>
        </is>
      </c>
      <c r="C3825" s="4" t="inlineStr">
        <is>
          <t>W00031886A</t>
        </is>
      </c>
      <c r="D3825" s="6">
        <f>IF(F3825&gt;=5, F3825-5, IF(F3825&lt;5, 0, F3825))</f>
        <v/>
      </c>
      <c r="E3825">
        <f>VLOOKUP(B3825,[1]Namshi!$A:$B,2,0)</f>
        <v/>
      </c>
      <c r="F3825" s="4">
        <f>SUMIFS('Dubai Stock'!I:I,'Dubai Stock'!H:H,Final_UAE!B:B)</f>
        <v/>
      </c>
      <c r="H3825" s="8" t="e">
        <v>#N/A</v>
      </c>
      <c r="I3825" s="8" t="n"/>
    </row>
    <row r="3826">
      <c r="A3826" s="4" t="n">
        <v>33834</v>
      </c>
      <c r="B3826" s="4" t="inlineStr">
        <is>
          <t>sw101207-bla-000312-1207-56</t>
        </is>
      </c>
      <c r="C3826" s="4" t="inlineStr">
        <is>
          <t>W00031886A</t>
        </is>
      </c>
      <c r="D3826" s="6">
        <f>IF(F3826&gt;=5, F3826-5, IF(F3826&lt;5, 0, F3826))</f>
        <v/>
      </c>
      <c r="E3826">
        <f>VLOOKUP(B3826,[1]Namshi!$A:$B,2,0)</f>
        <v/>
      </c>
      <c r="F3826" s="4">
        <f>SUMIFS('Dubai Stock'!I:I,'Dubai Stock'!H:H,Final_UAE!B:B)</f>
        <v/>
      </c>
      <c r="H3826" s="8" t="e">
        <v>#N/A</v>
      </c>
    </row>
    <row r="3827">
      <c r="A3827" s="4" t="n">
        <v>33834</v>
      </c>
      <c r="B3827" s="4" t="inlineStr">
        <is>
          <t>clstdai-acu-omax-p30-sn0200</t>
        </is>
      </c>
      <c r="C3827" s="4" t="inlineStr">
        <is>
          <t>W00031886A</t>
        </is>
      </c>
      <c r="D3827" s="6">
        <f>IF(F3827&gt;=5, F3827-5, IF(F3827&lt;5, 0, F3827))</f>
        <v/>
      </c>
      <c r="E3827">
        <f>VLOOKUP(B3827,[1]Namshi!$A:$B,2,0)</f>
        <v/>
      </c>
      <c r="F3827" s="4">
        <f>SUMIFS('Dubai Stock'!I:I,'Dubai Stock'!H:H,Final_UAE!B:B)</f>
        <v/>
      </c>
      <c r="H3827" s="8" t="e">
        <v>#N/A</v>
      </c>
      <c r="I3827" s="8" t="n"/>
    </row>
    <row r="3828">
      <c r="A3828" s="4" t="n">
        <v>33834</v>
      </c>
      <c r="B3828" s="4" t="inlineStr">
        <is>
          <t>clstdai-sof-sdai-p30-sp0650</t>
        </is>
      </c>
      <c r="C3828" s="4" t="inlineStr">
        <is>
          <t>W00031886A</t>
        </is>
      </c>
      <c r="D3828" s="6">
        <f>IF(F3828&gt;=5, F3828-5, IF(F3828&lt;5, 0, F3828))</f>
        <v/>
      </c>
      <c r="E3828">
        <f>VLOOKUP(B3828,[1]Namshi!$A:$B,2,0)</f>
        <v/>
      </c>
      <c r="F3828" s="4">
        <f>SUMIFS('Dubai Stock'!I:I,'Dubai Stock'!H:H,Final_UAE!B:B)</f>
        <v/>
      </c>
      <c r="H3828" s="8" t="e">
        <v>#N/A</v>
      </c>
      <c r="I3828" s="8" t="n"/>
    </row>
    <row r="3829">
      <c r="A3829" s="4" t="n">
        <v>33834</v>
      </c>
      <c r="B3829" s="4" t="inlineStr">
        <is>
          <t>sw30702-bla-000252-0702-54</t>
        </is>
      </c>
      <c r="C3829" s="4" t="inlineStr">
        <is>
          <t>W00031886A</t>
        </is>
      </c>
      <c r="D3829" s="6">
        <f>IF(F3829&gt;=5, F3829-5, IF(F3829&lt;5, 0, F3829))</f>
        <v/>
      </c>
      <c r="E3829">
        <f>VLOOKUP(B3829,[1]Namshi!$A:$B,2,0)</f>
        <v/>
      </c>
      <c r="F3829" s="4">
        <f>SUMIFS('Dubai Stock'!I:I,'Dubai Stock'!H:H,Final_UAE!B:B)</f>
        <v/>
      </c>
      <c r="H3829" s="8" t="e">
        <v>#N/A</v>
      </c>
    </row>
    <row r="3830">
      <c r="A3830" s="4" t="n">
        <v>33834</v>
      </c>
      <c r="B3830" s="4" t="inlineStr">
        <is>
          <t>clstdai-lay-cont-p30-dazzle-brown-sn0575</t>
        </is>
      </c>
      <c r="C3830" s="4" t="inlineStr">
        <is>
          <t>W00031886A</t>
        </is>
      </c>
      <c r="D3830" s="6">
        <f>IF(F3830&gt;=5, F3830-5, IF(F3830&lt;5, 0, F3830))</f>
        <v/>
      </c>
      <c r="E3830">
        <f>VLOOKUP(B3830,[1]Namshi!$A:$B,2,0)</f>
        <v/>
      </c>
      <c r="F3830" s="4">
        <f>SUMIFS('Dubai Stock'!I:I,'Dubai Stock'!H:H,Final_UAE!B:B)</f>
        <v/>
      </c>
      <c r="H3830" s="8" t="e">
        <v>#N/A</v>
      </c>
      <c r="I3830" s="8" t="n"/>
    </row>
    <row r="3831">
      <c r="A3831" s="4" t="n">
        <v>33834</v>
      </c>
      <c r="B3831" s="4" t="inlineStr">
        <is>
          <t>fc40218-bab-00551-0218d-47</t>
        </is>
      </c>
      <c r="C3831" s="4" t="inlineStr">
        <is>
          <t>W00031886A</t>
        </is>
      </c>
      <c r="D3831" s="6">
        <f>IF(F3831&gt;=5, F3831-5, IF(F3831&lt;5, 0, F3831))</f>
        <v/>
      </c>
      <c r="E3831">
        <f>VLOOKUP(B3831,[1]Namshi!$A:$B,2,0)</f>
        <v/>
      </c>
      <c r="F3831" s="4">
        <f>SUMIFS('Dubai Stock'!I:I,'Dubai Stock'!H:H,Final_UAE!B:B)</f>
        <v/>
      </c>
      <c r="H3831" s="8" t="e">
        <v>#N/A</v>
      </c>
      <c r="I3831" s="8" t="n"/>
    </row>
    <row r="3832">
      <c r="A3832" s="4" t="n">
        <v>33834</v>
      </c>
      <c r="B3832" s="4" t="inlineStr">
        <is>
          <t>costmon-ama-2023-p02-chai-sn0225</t>
        </is>
      </c>
      <c r="C3832" s="4" t="inlineStr">
        <is>
          <t>W00031886A</t>
        </is>
      </c>
      <c r="D3832" s="6">
        <f>IF(F3832&gt;=5, F3832-5, IF(F3832&lt;5, 0, F3832))</f>
        <v/>
      </c>
      <c r="E3832">
        <f>VLOOKUP(B3832,[1]Namshi!$A:$B,2,0)</f>
        <v/>
      </c>
      <c r="F3832" s="4">
        <f>SUMIFS('Dubai Stock'!I:I,'Dubai Stock'!H:H,Final_UAE!B:B)</f>
        <v/>
      </c>
      <c r="H3832" s="8" t="e">
        <v>#N/A</v>
      </c>
      <c r="I3832" s="8" t="n"/>
    </row>
    <row r="3833">
      <c r="A3833" s="4" t="n">
        <v>33834</v>
      </c>
      <c r="B3833" s="4" t="inlineStr">
        <is>
          <t>clstdai-dai-aqua-p90-sp0225</t>
        </is>
      </c>
      <c r="C3833" s="4" t="inlineStr">
        <is>
          <t>W00031886A</t>
        </is>
      </c>
      <c r="D3833" s="6">
        <f>IF(F3833&gt;=5, F3833-5, IF(F3833&lt;5, 0, F3833))</f>
        <v/>
      </c>
      <c r="E3833">
        <f>VLOOKUP(B3833,[1]Namshi!$A:$B,2,0)</f>
        <v/>
      </c>
      <c r="F3833" s="4">
        <f>SUMIFS('Dubai Stock'!I:I,'Dubai Stock'!H:H,Final_UAE!B:B)</f>
        <v/>
      </c>
      <c r="H3833" s="8" t="e">
        <v>#N/A</v>
      </c>
      <c r="I3833" s="8" t="n"/>
    </row>
    <row r="3834">
      <c r="A3834" s="4" t="n">
        <v>33834</v>
      </c>
      <c r="B3834" s="4" t="inlineStr">
        <is>
          <t>cost3mo-lay-lens-p02-chocolate-brown-sn0450</t>
        </is>
      </c>
      <c r="C3834" s="4" t="inlineStr">
        <is>
          <t>W00031886A</t>
        </is>
      </c>
      <c r="D3834" s="6">
        <f>IF(F3834&gt;=5, F3834-5, IF(F3834&lt;5, 0, F3834))</f>
        <v/>
      </c>
      <c r="E3834">
        <f>VLOOKUP(B3834,[1]Namshi!$A:$B,2,0)</f>
        <v/>
      </c>
      <c r="F3834" s="4">
        <f>SUMIFS('Dubai Stock'!I:I,'Dubai Stock'!H:H,Final_UAE!B:B)</f>
        <v/>
      </c>
      <c r="H3834" s="8" t="e">
        <v>#N/A</v>
      </c>
      <c r="I3834" s="8" t="n"/>
    </row>
    <row r="3835">
      <c r="A3835" s="4" t="n">
        <v>33834</v>
      </c>
      <c r="B3835" s="4" t="inlineStr">
        <is>
          <t>sw30404-30s-000270-0404-53</t>
        </is>
      </c>
      <c r="C3835" s="4" t="inlineStr">
        <is>
          <t>W00031886A</t>
        </is>
      </c>
      <c r="D3835" s="6">
        <f>IF(F3835&gt;=5, F3835-5, IF(F3835&lt;5, 0, F3835))</f>
        <v/>
      </c>
      <c r="E3835">
        <f>VLOOKUP(B3835,[1]Namshi!$A:$B,2,0)</f>
        <v/>
      </c>
      <c r="F3835" s="4">
        <f>SUMIFS('Dubai Stock'!I:I,'Dubai Stock'!H:H,Final_UAE!B:B)</f>
        <v/>
      </c>
      <c r="H3835" s="8" t="e">
        <v>#N/A</v>
      </c>
    </row>
    <row r="3836">
      <c r="A3836" s="4" t="n">
        <v>33834</v>
      </c>
      <c r="B3836" s="4" t="inlineStr">
        <is>
          <t>cost3mo-lay-2022-p02-royal-green-sn0100</t>
        </is>
      </c>
      <c r="C3836" s="4" t="inlineStr">
        <is>
          <t>W00031886A</t>
        </is>
      </c>
      <c r="D3836" s="6">
        <f>IF(F3836&gt;=5, F3836-5, IF(F3836&lt;5, 0, F3836))</f>
        <v/>
      </c>
      <c r="E3836">
        <f>VLOOKUP(B3836,[1]Namshi!$A:$B,2,0)</f>
        <v/>
      </c>
      <c r="F3836" s="4">
        <f>SUMIFS('Dubai Stock'!I:I,'Dubai Stock'!H:H,Final_UAE!B:B)</f>
        <v/>
      </c>
      <c r="H3836" s="8" t="e">
        <v>#N/A</v>
      </c>
      <c r="I3836" s="8" t="n"/>
    </row>
    <row r="3837">
      <c r="A3837" s="4" t="n">
        <v>33834</v>
      </c>
      <c r="B3837" s="4" t="inlineStr">
        <is>
          <t>costdai-ama-dail-p10-shadow-sn0375</t>
        </is>
      </c>
      <c r="C3837" s="4" t="inlineStr">
        <is>
          <t>W00031886A</t>
        </is>
      </c>
      <c r="D3837" s="6">
        <f>IF(F3837&gt;=5, F3837-5, IF(F3837&lt;5, 0, F3837))</f>
        <v/>
      </c>
      <c r="E3837">
        <f>VLOOKUP(B3837,[1]Namshi!$A:$B,2,0)</f>
        <v/>
      </c>
      <c r="F3837" s="4">
        <f>SUMIFS('Dubai Stock'!I:I,'Dubai Stock'!H:H,Final_UAE!B:B)</f>
        <v/>
      </c>
      <c r="H3837" s="8" t="e">
        <v>#N/A</v>
      </c>
      <c r="I3837" s="8" t="n"/>
    </row>
    <row r="3838">
      <c r="A3838" s="4" t="n">
        <v>33834</v>
      </c>
      <c r="B3838" s="4" t="inlineStr">
        <is>
          <t>sc20207-bab-000512-0207d-48</t>
        </is>
      </c>
      <c r="C3838" s="4" t="inlineStr">
        <is>
          <t>W00031886A</t>
        </is>
      </c>
      <c r="D3838" s="6">
        <f>IF(F3838&gt;=5, F3838-5, IF(F3838&lt;5, 0, F3838))</f>
        <v/>
      </c>
      <c r="E3838">
        <f>VLOOKUP(B3838,[1]Namshi!$A:$B,2,0)</f>
        <v/>
      </c>
      <c r="F3838" s="4">
        <f>SUMIFS('Dubai Stock'!I:I,'Dubai Stock'!H:H,Final_UAE!B:B)</f>
        <v/>
      </c>
      <c r="H3838" s="8" t="e">
        <v>#N/A</v>
      </c>
    </row>
    <row r="3839">
      <c r="A3839" s="4" t="n">
        <v>33834</v>
      </c>
      <c r="B3839" s="4" t="inlineStr">
        <is>
          <t>fm20618-spc-000654-0618-49</t>
        </is>
      </c>
      <c r="C3839" s="4" t="inlineStr">
        <is>
          <t>W00031886A</t>
        </is>
      </c>
      <c r="D3839" s="6">
        <f>IF(F3839&gt;=5, F3839-5, IF(F3839&lt;5, 0, F3839))</f>
        <v/>
      </c>
      <c r="E3839">
        <f>VLOOKUP(B3839,[1]Namshi!$A:$B,2,0)</f>
        <v/>
      </c>
      <c r="F3839" s="4">
        <f>SUMIFS('Dubai Stock'!I:I,'Dubai Stock'!H:H,Final_UAE!B:B)</f>
        <v/>
      </c>
      <c r="H3839" s="8" t="e">
        <v>#N/A</v>
      </c>
      <c r="I3839" s="8" t="n"/>
    </row>
    <row r="3840">
      <c r="A3840" s="4" t="n">
        <v>33834</v>
      </c>
      <c r="B3840" s="4" t="inlineStr">
        <is>
          <t>su42904-bla-000314-2904-53</t>
        </is>
      </c>
      <c r="C3840" s="4" t="inlineStr">
        <is>
          <t>W00031886A</t>
        </is>
      </c>
      <c r="D3840" s="6">
        <f>IF(F3840&gt;=5, F3840-5, IF(F3840&lt;5, 0, F3840))</f>
        <v/>
      </c>
      <c r="E3840">
        <f>VLOOKUP(B3840,[1]Namshi!$A:$B,2,0)</f>
        <v/>
      </c>
      <c r="F3840" s="4">
        <f>SUMIFS('Dubai Stock'!I:I,'Dubai Stock'!H:H,Final_UAE!B:B)</f>
        <v/>
      </c>
      <c r="H3840" s="8" t="e">
        <v>#N/A</v>
      </c>
    </row>
    <row r="3841">
      <c r="A3841" s="4" t="n">
        <v>33834</v>
      </c>
      <c r="B3841" s="4" t="inlineStr">
        <is>
          <t>sw50107-30s-000275-0101-48</t>
        </is>
      </c>
      <c r="C3841" s="4" t="inlineStr">
        <is>
          <t>W00031886A</t>
        </is>
      </c>
      <c r="D3841" s="6">
        <f>IF(F3841&gt;=5, F3841-5, IF(F3841&lt;5, 0, F3841))</f>
        <v/>
      </c>
      <c r="E3841">
        <f>VLOOKUP(B3841,[1]Namshi!$A:$B,2,0)</f>
        <v/>
      </c>
      <c r="F3841" s="4">
        <f>SUMIFS('Dubai Stock'!I:I,'Dubai Stock'!H:H,Final_UAE!B:B)</f>
        <v/>
      </c>
      <c r="H3841" s="8" t="e">
        <v>#N/A</v>
      </c>
    </row>
    <row r="3842">
      <c r="A3842" s="4" t="n">
        <v>33834</v>
      </c>
      <c r="B3842" s="4" t="inlineStr">
        <is>
          <t>cost3mo-lay-lens-p02-forest-green-sn0275</t>
        </is>
      </c>
      <c r="C3842" s="4" t="inlineStr">
        <is>
          <t>W00031886A</t>
        </is>
      </c>
      <c r="D3842" s="6">
        <f>IF(F3842&gt;=5, F3842-5, IF(F3842&lt;5, 0, F3842))</f>
        <v/>
      </c>
      <c r="E3842">
        <f>VLOOKUP(B3842,[1]Namshi!$A:$B,2,0)</f>
        <v/>
      </c>
      <c r="F3842" s="4">
        <f>SUMIFS('Dubai Stock'!I:I,'Dubai Stock'!H:H,Final_UAE!B:B)</f>
        <v/>
      </c>
      <c r="H3842" s="8" t="e">
        <v>#N/A</v>
      </c>
      <c r="I3842" s="8" t="n"/>
    </row>
    <row r="3843">
      <c r="A3843" s="4" t="n">
        <v>33834</v>
      </c>
      <c r="B3843" s="4" t="inlineStr">
        <is>
          <t>clstdai-acu-dfna-p30-sn0175</t>
        </is>
      </c>
      <c r="C3843" s="4" t="inlineStr">
        <is>
          <t>W00031886A</t>
        </is>
      </c>
      <c r="D3843" s="6">
        <f>IF(F3843&gt;=5, F3843-5, IF(F3843&lt;5, 0, F3843))</f>
        <v/>
      </c>
      <c r="E3843">
        <f>VLOOKUP(B3843,[1]Namshi!$A:$B,2,0)</f>
        <v/>
      </c>
      <c r="F3843" s="4">
        <f>SUMIFS('Dubai Stock'!I:I,'Dubai Stock'!H:H,Final_UAE!B:B)</f>
        <v/>
      </c>
      <c r="H3843" s="8" t="e">
        <v>#N/A</v>
      </c>
      <c r="I3843" s="8" t="n"/>
    </row>
    <row r="3844">
      <c r="A3844" s="4" t="n">
        <v>33834</v>
      </c>
      <c r="B3844" s="4" t="inlineStr">
        <is>
          <t>cost3mo-lay-2021-p02-polar-gray-sn0075</t>
        </is>
      </c>
      <c r="C3844" s="4" t="inlineStr">
        <is>
          <t>W00031886A</t>
        </is>
      </c>
      <c r="D3844" s="6">
        <f>IF(F3844&gt;=5, F3844-5, IF(F3844&lt;5, 0, F3844))</f>
        <v/>
      </c>
      <c r="E3844">
        <f>VLOOKUP(B3844,[1]Namshi!$A:$B,2,0)</f>
        <v/>
      </c>
      <c r="F3844" s="4">
        <f>SUMIFS('Dubai Stock'!I:I,'Dubai Stock'!H:H,Final_UAE!B:B)</f>
        <v/>
      </c>
      <c r="H3844" s="8" t="e">
        <v>#N/A</v>
      </c>
      <c r="I3844" s="8" t="n"/>
    </row>
    <row r="3845">
      <c r="A3845" s="4" t="n">
        <v>33834</v>
      </c>
      <c r="B3845" s="4" t="inlineStr">
        <is>
          <t>clstdai-acu-omax-p30-sp0600</t>
        </is>
      </c>
      <c r="C3845" s="4" t="inlineStr">
        <is>
          <t>W00031886A</t>
        </is>
      </c>
      <c r="D3845" s="6">
        <f>IF(F3845&gt;=5, F3845-5, IF(F3845&lt;5, 0, F3845))</f>
        <v/>
      </c>
      <c r="E3845">
        <f>VLOOKUP(B3845,[1]Namshi!$A:$B,2,0)</f>
        <v/>
      </c>
      <c r="F3845" s="4">
        <f>SUMIFS('Dubai Stock'!I:I,'Dubai Stock'!H:H,Final_UAE!B:B)</f>
        <v/>
      </c>
      <c r="H3845" s="8" t="e">
        <v>#N/A</v>
      </c>
      <c r="I3845" s="8" t="n"/>
    </row>
    <row r="3846">
      <c r="A3846" s="4" t="n">
        <v>33834</v>
      </c>
      <c r="B3846" s="4" t="inlineStr">
        <is>
          <t>clstdai-acu-oasy-p90-sn0650</t>
        </is>
      </c>
      <c r="C3846" s="4" t="inlineStr">
        <is>
          <t>W00031886A</t>
        </is>
      </c>
      <c r="D3846" s="6">
        <f>IF(F3846&gt;=5, F3846-5, IF(F3846&lt;5, 0, F3846))</f>
        <v/>
      </c>
      <c r="E3846">
        <f>VLOOKUP(B3846,[1]Namshi!$A:$B,2,0)</f>
        <v/>
      </c>
      <c r="F3846" s="4">
        <f>SUMIFS('Dubai Stock'!I:I,'Dubai Stock'!H:H,Final_UAE!B:B)</f>
        <v/>
      </c>
      <c r="H3846" s="8" t="e">
        <v>#N/A</v>
      </c>
      <c r="I3846" s="8" t="n"/>
    </row>
    <row r="3847">
      <c r="A3847" s="4" t="n">
        <v>33834</v>
      </c>
      <c r="B3847" s="4" t="inlineStr">
        <is>
          <t>clstbiw-acu-oasy-p18-sn0850</t>
        </is>
      </c>
      <c r="C3847" s="4" t="inlineStr">
        <is>
          <t>W00031886A</t>
        </is>
      </c>
      <c r="D3847" s="6">
        <f>IF(F3847&gt;=5, F3847-5, IF(F3847&lt;5, 0, F3847))</f>
        <v/>
      </c>
      <c r="E3847">
        <f>VLOOKUP(B3847,[1]Namshi!$A:$B,2,0)</f>
        <v/>
      </c>
      <c r="F3847" s="4">
        <f>SUMIFS('Dubai Stock'!I:I,'Dubai Stock'!H:H,Final_UAE!B:B)</f>
        <v/>
      </c>
      <c r="H3847" s="8" t="e">
        <v>#N/A</v>
      </c>
      <c r="I3847" s="8" t="n"/>
    </row>
    <row r="3848">
      <c r="A3848" s="4" t="n">
        <v>33834</v>
      </c>
      <c r="B3848" s="4" t="inlineStr">
        <is>
          <t>sw100202-30s-000290-0202-54</t>
        </is>
      </c>
      <c r="C3848" s="4" t="inlineStr">
        <is>
          <t>W00031886A</t>
        </is>
      </c>
      <c r="D3848" s="6">
        <f>IF(F3848&gt;=5, F3848-5, IF(F3848&lt;5, 0, F3848))</f>
        <v/>
      </c>
      <c r="E3848">
        <f>VLOOKUP(B3848,[1]Namshi!$A:$B,2,0)</f>
        <v/>
      </c>
      <c r="F3848" s="4">
        <f>SUMIFS('Dubai Stock'!I:I,'Dubai Stock'!H:H,Final_UAE!B:B)</f>
        <v/>
      </c>
      <c r="H3848" s="8" t="e">
        <v>#N/A</v>
      </c>
    </row>
    <row r="3849">
      <c r="A3849" s="4" t="n">
        <v>33834</v>
      </c>
      <c r="B3849" s="4" t="inlineStr">
        <is>
          <t>clstdai-eve-elit-p30-sn0025</t>
        </is>
      </c>
      <c r="C3849" s="4" t="inlineStr">
        <is>
          <t>W00031886A</t>
        </is>
      </c>
      <c r="D3849" s="6">
        <f>IF(F3849&gt;=5, F3849-5, IF(F3849&lt;5, 0, F3849))</f>
        <v/>
      </c>
      <c r="E3849">
        <f>VLOOKUP(B3849,[1]Namshi!$A:$B,2,0)</f>
        <v/>
      </c>
      <c r="F3849" s="4">
        <f>SUMIFS('Dubai Stock'!I:I,'Dubai Stock'!H:H,Final_UAE!B:B)</f>
        <v/>
      </c>
      <c r="H3849" s="8" t="n">
        <v>261</v>
      </c>
      <c r="I3849" s="8" t="n">
        <v>146.3</v>
      </c>
    </row>
    <row r="3850">
      <c r="A3850" s="4" t="n">
        <v>33834</v>
      </c>
      <c r="B3850" s="4" t="inlineStr">
        <is>
          <t>clstdai-lay-cont-p90-dazzle-black-sn0075</t>
        </is>
      </c>
      <c r="C3850" s="4" t="inlineStr">
        <is>
          <t>W00031886A</t>
        </is>
      </c>
      <c r="D3850" s="6">
        <f>IF(F3850&gt;=5, F3850-5, IF(F3850&lt;5, 0, F3850))</f>
        <v/>
      </c>
      <c r="E3850">
        <f>VLOOKUP(B3850,[1]Namshi!$A:$B,2,0)</f>
        <v/>
      </c>
      <c r="F3850" s="4">
        <f>SUMIFS('Dubai Stock'!I:I,'Dubai Stock'!H:H,Final_UAE!B:B)</f>
        <v/>
      </c>
      <c r="H3850" s="8" t="e">
        <v>#N/A</v>
      </c>
      <c r="I3850" s="8" t="n"/>
    </row>
    <row r="3851">
      <c r="A3851" s="4" t="n">
        <v>33834</v>
      </c>
      <c r="B3851" s="4" t="inlineStr">
        <is>
          <t>cost3mo-lay-2023-p02-selene-green-sn0275</t>
        </is>
      </c>
      <c r="C3851" s="4" t="inlineStr">
        <is>
          <t>W00031886A</t>
        </is>
      </c>
      <c r="D3851" s="6">
        <f>IF(F3851&gt;=5, F3851-5, IF(F3851&lt;5, 0, F3851))</f>
        <v/>
      </c>
      <c r="E3851">
        <f>VLOOKUP(B3851,[1]Namshi!$A:$B,2,0)</f>
        <v/>
      </c>
      <c r="F3851" s="4">
        <f>SUMIFS('Dubai Stock'!I:I,'Dubai Stock'!H:H,Final_UAE!B:B)</f>
        <v/>
      </c>
      <c r="H3851" s="8" t="e">
        <v>#N/A</v>
      </c>
      <c r="I3851" s="8" t="n"/>
    </row>
    <row r="3852">
      <c r="A3852" s="4" t="n">
        <v>33834</v>
      </c>
      <c r="B3852" s="4" t="inlineStr">
        <is>
          <t>clstdai-cla-iris-p30-jazz-black-sn0250</t>
        </is>
      </c>
      <c r="C3852" s="4" t="inlineStr">
        <is>
          <t>W00031886A</t>
        </is>
      </c>
      <c r="D3852" s="6">
        <f>IF(F3852&gt;=5, F3852-5, IF(F3852&lt;5, 0, F3852))</f>
        <v/>
      </c>
      <c r="E3852">
        <f>VLOOKUP(B3852,[1]Namshi!$A:$B,2,0)</f>
        <v/>
      </c>
      <c r="F3852" s="4">
        <f>SUMIFS('Dubai Stock'!I:I,'Dubai Stock'!H:H,Final_UAE!B:B)</f>
        <v/>
      </c>
      <c r="H3852" s="8" t="e">
        <v>#N/A</v>
      </c>
      <c r="I3852" s="8" t="n"/>
    </row>
    <row r="3853">
      <c r="A3853" s="4" t="n">
        <v>33834</v>
      </c>
      <c r="B3853" s="4" t="inlineStr">
        <is>
          <t>PSKU_33834_32318958232932562171_X</t>
        </is>
      </c>
      <c r="C3853" s="4" t="inlineStr">
        <is>
          <t>W00031886A</t>
        </is>
      </c>
      <c r="D3853" s="6">
        <f>IF(F3853&gt;=5, F3853-5, IF(F3853&lt;5, 0, F3853))</f>
        <v/>
      </c>
      <c r="E3853">
        <f>VLOOKUP(B3853,[1]Namshi!$A:$B,2,0)</f>
        <v/>
      </c>
      <c r="F3853" s="4">
        <f>SUMIFS('Dubai Stock'!I:I,'Dubai Stock'!H:H,Final_UAE!B:B)</f>
        <v/>
      </c>
      <c r="H3853" s="8" t="e">
        <v>#N/A</v>
      </c>
      <c r="I3853" s="8" t="n"/>
    </row>
    <row r="3854">
      <c r="A3854" s="4" t="n">
        <v>33834</v>
      </c>
      <c r="B3854" s="4" t="inlineStr">
        <is>
          <t>clstdai-eve-elit-p90-sp0125</t>
        </is>
      </c>
      <c r="C3854" s="4" t="inlineStr">
        <is>
          <t>W00031886A</t>
        </is>
      </c>
      <c r="D3854" s="6">
        <f>IF(F3854&gt;=5, F3854-5, IF(F3854&lt;5, 0, F3854))</f>
        <v/>
      </c>
      <c r="E3854">
        <f>VLOOKUP(B3854,[1]Namshi!$A:$B,2,0)</f>
        <v/>
      </c>
      <c r="F3854" s="4">
        <f>SUMIFS('Dubai Stock'!I:I,'Dubai Stock'!H:H,Final_UAE!B:B)</f>
        <v/>
      </c>
      <c r="H3854" s="8" t="n">
        <v>729</v>
      </c>
      <c r="I3854" s="8" t="n">
        <v>357</v>
      </c>
    </row>
    <row r="3855">
      <c r="A3855" s="4" t="n">
        <v>33834</v>
      </c>
      <c r="B3855" s="4" t="inlineStr">
        <is>
          <t>sm71207-30s-000246-1207-61</t>
        </is>
      </c>
      <c r="C3855" s="4" t="inlineStr">
        <is>
          <t>W00031886A</t>
        </is>
      </c>
      <c r="D3855" s="6">
        <f>IF(F3855&gt;=5, F3855-5, IF(F3855&lt;5, 0, F3855))</f>
        <v/>
      </c>
      <c r="E3855">
        <f>VLOOKUP(B3855,[1]Namshi!$A:$B,2,0)</f>
        <v/>
      </c>
      <c r="F3855" s="4">
        <f>SUMIFS('Dubai Stock'!I:I,'Dubai Stock'!H:H,Final_UAE!B:B)</f>
        <v/>
      </c>
      <c r="H3855" s="8" t="e">
        <v>#N/A</v>
      </c>
    </row>
    <row r="3856">
      <c r="A3856" s="4" t="n">
        <v>33834</v>
      </c>
      <c r="B3856" s="4" t="inlineStr">
        <is>
          <t>cost3mo-lay-2022-p02-cosmo-gray-sn0550</t>
        </is>
      </c>
      <c r="C3856" s="4" t="inlineStr">
        <is>
          <t>W00031886A</t>
        </is>
      </c>
      <c r="D3856" s="6">
        <f>IF(F3856&gt;=5, F3856-5, IF(F3856&lt;5, 0, F3856))</f>
        <v/>
      </c>
      <c r="E3856">
        <f>VLOOKUP(B3856,[1]Namshi!$A:$B,2,0)</f>
        <v/>
      </c>
      <c r="F3856" s="4">
        <f>SUMIFS('Dubai Stock'!I:I,'Dubai Stock'!H:H,Final_UAE!B:B)</f>
        <v/>
      </c>
      <c r="H3856" s="8" t="e">
        <v>#N/A</v>
      </c>
      <c r="I3856" s="8" t="n"/>
    </row>
    <row r="3857">
      <c r="A3857" s="4" t="n">
        <v>33834</v>
      </c>
      <c r="B3857" s="4" t="inlineStr">
        <is>
          <t>clstdai-acu-oasy-p120-sn0050</t>
        </is>
      </c>
      <c r="C3857" s="4" t="inlineStr">
        <is>
          <t>W00031886A</t>
        </is>
      </c>
      <c r="D3857" s="6">
        <f>IF(F3857&gt;=5, F3857-5, IF(F3857&lt;5, 0, F3857))</f>
        <v/>
      </c>
      <c r="E3857">
        <f>VLOOKUP(B3857,[1]Namshi!$A:$B,2,0)</f>
        <v/>
      </c>
      <c r="F3857" s="4">
        <f>SUMIFS('Dubai Stock'!I:I,'Dubai Stock'!H:H,Final_UAE!B:B)</f>
        <v/>
      </c>
      <c r="H3857" s="8" t="e">
        <v>#N/A</v>
      </c>
      <c r="I3857" s="8" t="n"/>
    </row>
    <row r="3858">
      <c r="A3858" s="4" t="n">
        <v>33834</v>
      </c>
      <c r="B3858" s="4" t="inlineStr">
        <is>
          <t>sw30107-30s-000257-0107-52</t>
        </is>
      </c>
      <c r="C3858" s="4" t="inlineStr">
        <is>
          <t>W00031886A</t>
        </is>
      </c>
      <c r="D3858" s="6">
        <f>IF(F3858&gt;=5, F3858-5, IF(F3858&lt;5, 0, F3858))</f>
        <v/>
      </c>
      <c r="E3858">
        <f>VLOOKUP(B3858,[1]Namshi!$A:$B,2,0)</f>
        <v/>
      </c>
      <c r="F3858" s="4">
        <f>SUMIFS('Dubai Stock'!I:I,'Dubai Stock'!H:H,Final_UAE!B:B)</f>
        <v/>
      </c>
      <c r="H3858" s="8" t="e">
        <v>#N/A</v>
      </c>
    </row>
    <row r="3859">
      <c r="A3859" s="4" t="n">
        <v>33834</v>
      </c>
      <c r="B3859" s="4" t="inlineStr">
        <is>
          <t>cost3mo-lay-2024-p02-terra-brown-sn0325</t>
        </is>
      </c>
      <c r="C3859" s="4" t="inlineStr">
        <is>
          <t>W00031886A</t>
        </is>
      </c>
      <c r="D3859" s="6">
        <f>IF(F3859&gt;=5, F3859-5, IF(F3859&lt;5, 0, F3859))</f>
        <v/>
      </c>
      <c r="E3859">
        <f>VLOOKUP(B3859,[1]Namshi!$A:$B,2,0)</f>
        <v/>
      </c>
      <c r="F3859" s="4">
        <f>SUMIFS('Dubai Stock'!I:I,'Dubai Stock'!H:H,Final_UAE!B:B)</f>
        <v/>
      </c>
      <c r="H3859" s="8" t="e">
        <v>#N/A</v>
      </c>
      <c r="I3859" s="8" t="n"/>
    </row>
    <row r="3860">
      <c r="A3860" s="4" t="n">
        <v>33834</v>
      </c>
      <c r="B3860" s="4" t="inlineStr">
        <is>
          <t>clstdai-acu-mois-p30-sp0550</t>
        </is>
      </c>
      <c r="C3860" s="4" t="inlineStr">
        <is>
          <t>W00031886A</t>
        </is>
      </c>
      <c r="D3860" s="6">
        <f>IF(F3860&gt;=5, F3860-5, IF(F3860&lt;5, 0, F3860))</f>
        <v/>
      </c>
      <c r="E3860">
        <f>VLOOKUP(B3860,[1]Namshi!$A:$B,2,0)</f>
        <v/>
      </c>
      <c r="F3860" s="4">
        <f>SUMIFS('Dubai Stock'!I:I,'Dubai Stock'!H:H,Final_UAE!B:B)</f>
        <v/>
      </c>
      <c r="H3860" s="8" t="e">
        <v>#N/A</v>
      </c>
      <c r="I3860" s="8" t="n"/>
    </row>
    <row r="3861">
      <c r="A3861" s="4" t="n">
        <v>33834</v>
      </c>
      <c r="B3861" s="4" t="inlineStr">
        <is>
          <t>clstdai-acu-dfvi-p90-sn0050</t>
        </is>
      </c>
      <c r="C3861" s="4" t="inlineStr">
        <is>
          <t>W00031886A</t>
        </is>
      </c>
      <c r="D3861" s="6">
        <f>IF(F3861&gt;=5, F3861-5, IF(F3861&lt;5, 0, F3861))</f>
        <v/>
      </c>
      <c r="E3861">
        <f>VLOOKUP(B3861,[1]Namshi!$A:$B,2,0)</f>
        <v/>
      </c>
      <c r="F3861" s="4">
        <f>SUMIFS('Dubai Stock'!I:I,'Dubai Stock'!H:H,Final_UAE!B:B)</f>
        <v/>
      </c>
      <c r="H3861" s="8" t="e">
        <v>#N/A</v>
      </c>
      <c r="I3861" s="8" t="n"/>
    </row>
    <row r="3862">
      <c r="A3862" s="4" t="n">
        <v>33834</v>
      </c>
      <c r="B3862" s="4" t="inlineStr">
        <is>
          <t>clstdai-eve-elit-p30-sp0350</t>
        </is>
      </c>
      <c r="C3862" s="4" t="inlineStr">
        <is>
          <t>W00031886A</t>
        </is>
      </c>
      <c r="D3862" s="6">
        <f>IF(F3862&gt;=5, F3862-5, IF(F3862&lt;5, 0, F3862))</f>
        <v/>
      </c>
      <c r="E3862">
        <f>VLOOKUP(B3862,[1]Namshi!$A:$B,2,0)</f>
        <v/>
      </c>
      <c r="F3862" s="4">
        <f>SUMIFS('Dubai Stock'!I:I,'Dubai Stock'!H:H,Final_UAE!B:B)</f>
        <v/>
      </c>
      <c r="H3862" s="8" t="n">
        <v>261</v>
      </c>
      <c r="I3862" s="8" t="n">
        <v>146.3</v>
      </c>
    </row>
    <row r="3863">
      <c r="A3863" s="4" t="n">
        <v>33834</v>
      </c>
      <c r="B3863" s="4" t="inlineStr">
        <is>
          <t>clstdai-eve-pure-p30-sn0500</t>
        </is>
      </c>
      <c r="C3863" s="4" t="inlineStr">
        <is>
          <t>W00031886A</t>
        </is>
      </c>
      <c r="D3863" s="6">
        <f>IF(F3863&gt;=5, F3863-5, IF(F3863&lt;5, 0, F3863))</f>
        <v/>
      </c>
      <c r="E3863">
        <f>VLOOKUP(B3863,[1]Namshi!$A:$B,2,0)</f>
        <v/>
      </c>
      <c r="F3863" s="4">
        <f>SUMIFS('Dubai Stock'!I:I,'Dubai Stock'!H:H,Final_UAE!B:B)</f>
        <v/>
      </c>
      <c r="H3863" s="8" t="n">
        <v>186</v>
      </c>
      <c r="I3863" s="8" t="n">
        <v>104.3</v>
      </c>
    </row>
    <row r="3864">
      <c r="A3864" s="4" t="n">
        <v>33834</v>
      </c>
      <c r="B3864" s="4" t="inlineStr">
        <is>
          <t>sm50106-30s-000248-0106-53</t>
        </is>
      </c>
      <c r="C3864" s="4" t="inlineStr">
        <is>
          <t>W00031886A</t>
        </is>
      </c>
      <c r="D3864" s="6">
        <f>IF(F3864&gt;=5, F3864-5, IF(F3864&lt;5, 0, F3864))</f>
        <v/>
      </c>
      <c r="E3864">
        <f>VLOOKUP(B3864,[1]Namshi!$A:$B,2,0)</f>
        <v/>
      </c>
      <c r="F3864" s="4">
        <f>SUMIFS('Dubai Stock'!I:I,'Dubai Stock'!H:H,Final_UAE!B:B)</f>
        <v/>
      </c>
      <c r="H3864" s="8" t="e">
        <v>#N/A</v>
      </c>
    </row>
    <row r="3865">
      <c r="A3865" s="4" t="n">
        <v>33834</v>
      </c>
      <c r="B3865" s="4" t="inlineStr">
        <is>
          <t>sw31107-bla-000328-1107-52</t>
        </is>
      </c>
      <c r="C3865" s="4" t="inlineStr">
        <is>
          <t>W00031886A</t>
        </is>
      </c>
      <c r="D3865" s="6">
        <f>IF(F3865&gt;=5, F3865-5, IF(F3865&lt;5, 0, F3865))</f>
        <v/>
      </c>
      <c r="E3865">
        <f>VLOOKUP(B3865,[1]Namshi!$A:$B,2,0)</f>
        <v/>
      </c>
      <c r="F3865" s="4">
        <f>SUMIFS('Dubai Stock'!I:I,'Dubai Stock'!H:H,Final_UAE!B:B)</f>
        <v/>
      </c>
      <c r="H3865" s="8" t="e">
        <v>#N/A</v>
      </c>
    </row>
    <row r="3866">
      <c r="A3866" s="4" t="n">
        <v>33834</v>
      </c>
      <c r="B3866" s="4" t="inlineStr">
        <is>
          <t>sw40710-30s-000274-1010-54</t>
        </is>
      </c>
      <c r="C3866" s="4" t="inlineStr">
        <is>
          <t>W00031886A</t>
        </is>
      </c>
      <c r="D3866" s="6">
        <f>IF(F3866&gt;=5, F3866-5, IF(F3866&lt;5, 0, F3866))</f>
        <v/>
      </c>
      <c r="E3866">
        <f>VLOOKUP(B3866,[1]Namshi!$A:$B,2,0)</f>
        <v/>
      </c>
      <c r="F3866" s="4">
        <f>SUMIFS('Dubai Stock'!I:I,'Dubai Stock'!H:H,Final_UAE!B:B)</f>
        <v/>
      </c>
      <c r="H3866" s="8" t="e">
        <v>#N/A</v>
      </c>
    </row>
    <row r="3867">
      <c r="A3867" s="4" t="n">
        <v>33834</v>
      </c>
      <c r="B3867" s="4" t="inlineStr">
        <is>
          <t>cost3mo-lay-2025-p02-desert-topaz-sn0600</t>
        </is>
      </c>
      <c r="C3867" s="4" t="inlineStr">
        <is>
          <t>W00031886A</t>
        </is>
      </c>
      <c r="D3867" s="6">
        <f>IF(F3867&gt;=5, F3867-5, IF(F3867&lt;5, 0, F3867))</f>
        <v/>
      </c>
      <c r="E3867">
        <f>VLOOKUP(B3867,[1]Namshi!$A:$B,2,0)</f>
        <v/>
      </c>
      <c r="F3867" s="4">
        <f>SUMIFS('Dubai Stock'!I:I,'Dubai Stock'!H:H,Final_UAE!B:B)</f>
        <v/>
      </c>
      <c r="H3867" s="8" t="e">
        <v>#N/A</v>
      </c>
      <c r="I3867" s="8" t="n"/>
    </row>
    <row r="3868">
      <c r="A3868" s="4" t="n">
        <v>33834</v>
      </c>
      <c r="B3868" s="4" t="inlineStr">
        <is>
          <t>cost3mo-lay-2021-p02-willow-green-sn0550</t>
        </is>
      </c>
      <c r="C3868" s="4" t="inlineStr">
        <is>
          <t>W00031886A</t>
        </is>
      </c>
      <c r="D3868" s="6">
        <f>IF(F3868&gt;=5, F3868-5, IF(F3868&lt;5, 0, F3868))</f>
        <v/>
      </c>
      <c r="E3868">
        <f>VLOOKUP(B3868,[1]Namshi!$A:$B,2,0)</f>
        <v/>
      </c>
      <c r="F3868" s="4">
        <f>SUMIFS('Dubai Stock'!I:I,'Dubai Stock'!H:H,Final_UAE!B:B)</f>
        <v/>
      </c>
      <c r="H3868" s="8" t="e">
        <v>#N/A</v>
      </c>
      <c r="I3868" s="8" t="n"/>
    </row>
    <row r="3869">
      <c r="A3869" s="4" t="n">
        <v>33834</v>
      </c>
      <c r="B3869" s="4" t="inlineStr">
        <is>
          <t>clstbiw-acu-oasy-p06-sp0400</t>
        </is>
      </c>
      <c r="C3869" s="4" t="inlineStr">
        <is>
          <t>W00031886A</t>
        </is>
      </c>
      <c r="D3869" s="6">
        <f>IF(F3869&gt;=5, F3869-5, IF(F3869&lt;5, 0, F3869))</f>
        <v/>
      </c>
      <c r="E3869">
        <f>VLOOKUP(B3869,[1]Namshi!$A:$B,2,0)</f>
        <v/>
      </c>
      <c r="F3869" s="4">
        <f>SUMIFS('Dubai Stock'!I:I,'Dubai Stock'!H:H,Final_UAE!B:B)</f>
        <v/>
      </c>
      <c r="H3869" s="8" t="e">
        <v>#N/A</v>
      </c>
      <c r="I3869" s="8" t="n"/>
    </row>
    <row r="3870">
      <c r="A3870" s="4" t="n">
        <v>33834</v>
      </c>
      <c r="B3870" s="4" t="inlineStr">
        <is>
          <t>su60107-bla-000282-0101-48</t>
        </is>
      </c>
      <c r="C3870" s="4" t="inlineStr">
        <is>
          <t>W00031886A</t>
        </is>
      </c>
      <c r="D3870" s="6">
        <f>IF(F3870&gt;=5, F3870-5, IF(F3870&lt;5, 0, F3870))</f>
        <v/>
      </c>
      <c r="E3870">
        <f>VLOOKUP(B3870,[1]Namshi!$A:$B,2,0)</f>
        <v/>
      </c>
      <c r="F3870" s="4">
        <f>SUMIFS('Dubai Stock'!I:I,'Dubai Stock'!H:H,Final_UAE!B:B)</f>
        <v/>
      </c>
      <c r="H3870" s="8" t="e">
        <v>#N/A</v>
      </c>
    </row>
    <row r="3871">
      <c r="A3871" s="4" t="n">
        <v>33834</v>
      </c>
      <c r="B3871" s="4" t="inlineStr">
        <is>
          <t>clstdai-btr-oned-p90-sn0175</t>
        </is>
      </c>
      <c r="C3871" s="4" t="inlineStr">
        <is>
          <t>W00031886A</t>
        </is>
      </c>
      <c r="D3871" s="6">
        <f>IF(F3871&gt;=5, F3871-5, IF(F3871&lt;5, 0, F3871))</f>
        <v/>
      </c>
      <c r="E3871">
        <f>VLOOKUP(B3871,[1]Namshi!$A:$B,2,0)</f>
        <v/>
      </c>
      <c r="F3871" s="4">
        <f>SUMIFS('Dubai Stock'!I:I,'Dubai Stock'!H:H,Final_UAE!B:B)</f>
        <v/>
      </c>
      <c r="H3871" s="8" t="e">
        <v>#N/A</v>
      </c>
      <c r="I3871" s="8" t="n"/>
    </row>
    <row r="3872">
      <c r="A3872" s="4" t="n">
        <v>33834</v>
      </c>
      <c r="B3872" s="4" t="inlineStr">
        <is>
          <t>cost3mo-lay-lens-p02-crystal-brown-sn0500</t>
        </is>
      </c>
      <c r="C3872" s="4" t="inlineStr">
        <is>
          <t>W00031886A</t>
        </is>
      </c>
      <c r="D3872" s="6">
        <f>IF(F3872&gt;=5, F3872-5, IF(F3872&lt;5, 0, F3872))</f>
        <v/>
      </c>
      <c r="E3872">
        <f>VLOOKUP(B3872,[1]Namshi!$A:$B,2,0)</f>
        <v/>
      </c>
      <c r="F3872" s="4">
        <f>SUMIFS('Dubai Stock'!I:I,'Dubai Stock'!H:H,Final_UAE!B:B)</f>
        <v/>
      </c>
      <c r="H3872" s="8" t="e">
        <v>#N/A</v>
      </c>
      <c r="I3872" s="8" t="n"/>
    </row>
    <row r="3873">
      <c r="A3873" s="4" t="n">
        <v>33834</v>
      </c>
      <c r="B3873" s="4" t="inlineStr">
        <is>
          <t>clstbiw-acu-0002-p06-sn0900</t>
        </is>
      </c>
      <c r="C3873" s="4" t="inlineStr">
        <is>
          <t>W00031886A</t>
        </is>
      </c>
      <c r="D3873" s="6">
        <f>IF(F3873&gt;=5, F3873-5, IF(F3873&lt;5, 0, F3873))</f>
        <v/>
      </c>
      <c r="E3873">
        <f>VLOOKUP(B3873,[1]Namshi!$A:$B,2,0)</f>
        <v/>
      </c>
      <c r="F3873" s="4">
        <f>SUMIFS('Dubai Stock'!I:I,'Dubai Stock'!H:H,Final_UAE!B:B)</f>
        <v/>
      </c>
      <c r="H3873" s="8" t="e">
        <v>#N/A</v>
      </c>
      <c r="I3873" s="8" t="n"/>
    </row>
    <row r="3874">
      <c r="A3874" s="4" t="n">
        <v>33834</v>
      </c>
      <c r="B3874" s="4" t="inlineStr">
        <is>
          <t>cost3mo-lay-2025-p02-desert-topaz-sn0450</t>
        </is>
      </c>
      <c r="C3874" s="4" t="inlineStr">
        <is>
          <t>W00031886A</t>
        </is>
      </c>
      <c r="D3874" s="6">
        <f>IF(F3874&gt;=5, F3874-5, IF(F3874&lt;5, 0, F3874))</f>
        <v/>
      </c>
      <c r="E3874">
        <f>VLOOKUP(B3874,[1]Namshi!$A:$B,2,0)</f>
        <v/>
      </c>
      <c r="F3874" s="4">
        <f>SUMIFS('Dubai Stock'!I:I,'Dubai Stock'!H:H,Final_UAE!B:B)</f>
        <v/>
      </c>
      <c r="H3874" s="8" t="e">
        <v>#N/A</v>
      </c>
      <c r="I3874" s="8" t="n"/>
    </row>
    <row r="3875">
      <c r="A3875" s="4" t="n">
        <v>33834</v>
      </c>
      <c r="B3875" s="4" t="inlineStr">
        <is>
          <t>clstdai-eve-elit-p90-sp0800</t>
        </is>
      </c>
      <c r="C3875" s="4" t="inlineStr">
        <is>
          <t>W00031886A</t>
        </is>
      </c>
      <c r="D3875" s="6">
        <f>IF(F3875&gt;=5, F3875-5, IF(F3875&lt;5, 0, F3875))</f>
        <v/>
      </c>
      <c r="E3875">
        <f>VLOOKUP(B3875,[1]Namshi!$A:$B,2,0)</f>
        <v/>
      </c>
      <c r="F3875" s="4">
        <f>SUMIFS('Dubai Stock'!I:I,'Dubai Stock'!H:H,Final_UAE!B:B)</f>
        <v/>
      </c>
      <c r="H3875" s="8" t="n">
        <v>729</v>
      </c>
      <c r="I3875" s="8" t="n">
        <v>357</v>
      </c>
    </row>
    <row r="3876">
      <c r="A3876" s="4" t="n">
        <v>33834</v>
      </c>
      <c r="B3876" s="4" t="inlineStr">
        <is>
          <t>costdai-acu-dffr-p30-grayzel-sn0600</t>
        </is>
      </c>
      <c r="C3876" s="4" t="inlineStr">
        <is>
          <t>W00031886A</t>
        </is>
      </c>
      <c r="D3876" s="6">
        <f>IF(F3876&gt;=5, F3876-5, IF(F3876&lt;5, 0, F3876))</f>
        <v/>
      </c>
      <c r="E3876">
        <f>VLOOKUP(B3876,[1]Namshi!$A:$B,2,0)</f>
        <v/>
      </c>
      <c r="F3876" s="4">
        <f>SUMIFS('Dubai Stock'!I:I,'Dubai Stock'!H:H,Final_UAE!B:B)</f>
        <v/>
      </c>
      <c r="H3876" s="8" t="e">
        <v>#N/A</v>
      </c>
      <c r="I3876" s="8" t="n"/>
    </row>
    <row r="3877">
      <c r="A3877" s="4" t="n">
        <v>33834</v>
      </c>
      <c r="B3877" s="4" t="inlineStr">
        <is>
          <t>clstdai-dai-aqua-p90-sn0425</t>
        </is>
      </c>
      <c r="C3877" s="4" t="inlineStr">
        <is>
          <t>W00031886A</t>
        </is>
      </c>
      <c r="D3877" s="6">
        <f>IF(F3877&gt;=5, F3877-5, IF(F3877&lt;5, 0, F3877))</f>
        <v/>
      </c>
      <c r="E3877">
        <f>VLOOKUP(B3877,[1]Namshi!$A:$B,2,0)</f>
        <v/>
      </c>
      <c r="F3877" s="4">
        <f>SUMIFS('Dubai Stock'!I:I,'Dubai Stock'!H:H,Final_UAE!B:B)</f>
        <v/>
      </c>
      <c r="H3877" s="8" t="e">
        <v>#N/A</v>
      </c>
      <c r="I3877" s="8" t="n"/>
    </row>
    <row r="3878">
      <c r="A3878" s="4" t="n">
        <v>33834</v>
      </c>
      <c r="B3878" s="4" t="inlineStr">
        <is>
          <t>clstdai-dai-aqua-p30-sn0600</t>
        </is>
      </c>
      <c r="C3878" s="4" t="inlineStr">
        <is>
          <t>W00031886A</t>
        </is>
      </c>
      <c r="D3878" s="6">
        <f>IF(F3878&gt;=5, F3878-5, IF(F3878&lt;5, 0, F3878))</f>
        <v/>
      </c>
      <c r="E3878">
        <f>VLOOKUP(B3878,[1]Namshi!$A:$B,2,0)</f>
        <v/>
      </c>
      <c r="F3878" s="4">
        <f>SUMIFS('Dubai Stock'!I:I,'Dubai Stock'!H:H,Final_UAE!B:B)</f>
        <v/>
      </c>
      <c r="H3878" s="8" t="e">
        <v>#N/A</v>
      </c>
      <c r="I3878" s="8" t="n"/>
    </row>
    <row r="3879">
      <c r="A3879" s="4" t="n">
        <v>33834</v>
      </c>
      <c r="B3879" s="4" t="inlineStr">
        <is>
          <t>clstdai-sof-sdai-p30-sp0300</t>
        </is>
      </c>
      <c r="C3879" s="4" t="inlineStr">
        <is>
          <t>W00031886A</t>
        </is>
      </c>
      <c r="D3879" s="6">
        <f>IF(F3879&gt;=5, F3879-5, IF(F3879&lt;5, 0, F3879))</f>
        <v/>
      </c>
      <c r="E3879">
        <f>VLOOKUP(B3879,[1]Namshi!$A:$B,2,0)</f>
        <v/>
      </c>
      <c r="F3879" s="4">
        <f>SUMIFS('Dubai Stock'!I:I,'Dubai Stock'!H:H,Final_UAE!B:B)</f>
        <v/>
      </c>
      <c r="H3879" s="8" t="e">
        <v>#N/A</v>
      </c>
      <c r="I3879" s="8" t="n"/>
    </row>
    <row r="3880">
      <c r="A3880" s="4" t="n">
        <v>33834</v>
      </c>
      <c r="B3880" s="4" t="inlineStr">
        <is>
          <t>clstdai-acu-dfvi-p60-sn0575</t>
        </is>
      </c>
      <c r="C3880" s="4" t="inlineStr">
        <is>
          <t>W00031886A</t>
        </is>
      </c>
      <c r="D3880" s="6">
        <f>IF(F3880&gt;=5, F3880-5, IF(F3880&lt;5, 0, F3880))</f>
        <v/>
      </c>
      <c r="E3880">
        <f>VLOOKUP(B3880,[1]Namshi!$A:$B,2,0)</f>
        <v/>
      </c>
      <c r="F3880" s="4">
        <f>SUMIFS('Dubai Stock'!I:I,'Dubai Stock'!H:H,Final_UAE!B:B)</f>
        <v/>
      </c>
      <c r="H3880" s="8" t="e">
        <v>#N/A</v>
      </c>
      <c r="I3880" s="8" t="n"/>
    </row>
    <row r="3881">
      <c r="A3881" s="4" t="n">
        <v>33834</v>
      </c>
      <c r="B3881" s="4" t="inlineStr">
        <is>
          <t>cost3mo-lay-2021-p02-polar-gray-sn0200</t>
        </is>
      </c>
      <c r="C3881" s="4" t="inlineStr">
        <is>
          <t>W00031886A</t>
        </is>
      </c>
      <c r="D3881" s="6">
        <f>IF(F3881&gt;=5, F3881-5, IF(F3881&lt;5, 0, F3881))</f>
        <v/>
      </c>
      <c r="E3881">
        <f>VLOOKUP(B3881,[1]Namshi!$A:$B,2,0)</f>
        <v/>
      </c>
      <c r="F3881" s="4">
        <f>SUMIFS('Dubai Stock'!I:I,'Dubai Stock'!H:H,Final_UAE!B:B)</f>
        <v/>
      </c>
      <c r="H3881" s="8" t="e">
        <v>#N/A</v>
      </c>
      <c r="I3881" s="8" t="n"/>
    </row>
    <row r="3882">
      <c r="A3882" s="4" t="n">
        <v>33834</v>
      </c>
      <c r="B3882" s="4" t="inlineStr">
        <is>
          <t>cost3mo-lay-2022-p02-sage-gray-sn0300</t>
        </is>
      </c>
      <c r="C3882" s="4" t="inlineStr">
        <is>
          <t>W00031886A</t>
        </is>
      </c>
      <c r="D3882" s="6">
        <f>IF(F3882&gt;=5, F3882-5, IF(F3882&lt;5, 0, F3882))</f>
        <v/>
      </c>
      <c r="E3882">
        <f>VLOOKUP(B3882,[1]Namshi!$A:$B,2,0)</f>
        <v/>
      </c>
      <c r="F3882" s="4">
        <f>SUMIFS('Dubai Stock'!I:I,'Dubai Stock'!H:H,Final_UAE!B:B)</f>
        <v/>
      </c>
      <c r="H3882" s="8" t="e">
        <v>#N/A</v>
      </c>
      <c r="I3882" s="8" t="n"/>
    </row>
    <row r="3883">
      <c r="A3883" s="4" t="n">
        <v>33834</v>
      </c>
      <c r="B3883" s="4" t="inlineStr">
        <is>
          <t>cost3mo-lay-2023-p02-selene-green-sp0000</t>
        </is>
      </c>
      <c r="C3883" s="4" t="inlineStr">
        <is>
          <t>W00031886A</t>
        </is>
      </c>
      <c r="D3883" s="6">
        <f>IF(F3883&gt;=5, F3883-5, IF(F3883&lt;5, 0, F3883))</f>
        <v/>
      </c>
      <c r="E3883">
        <f>VLOOKUP(B3883,[1]Namshi!$A:$B,2,0)</f>
        <v/>
      </c>
      <c r="F3883" s="4">
        <f>SUMIFS('Dubai Stock'!I:I,'Dubai Stock'!H:H,Final_UAE!B:B)</f>
        <v/>
      </c>
      <c r="H3883" s="8" t="e">
        <v>#N/A</v>
      </c>
      <c r="I3883" s="8" t="n"/>
    </row>
    <row r="3884">
      <c r="A3884" s="4" t="n">
        <v>33834</v>
      </c>
      <c r="B3884" s="4" t="inlineStr">
        <is>
          <t>costmon-ama-lens-p02-dark-sepia-sn0300</t>
        </is>
      </c>
      <c r="C3884" s="4" t="inlineStr">
        <is>
          <t>W00031886A</t>
        </is>
      </c>
      <c r="D3884" s="6">
        <f>IF(F3884&gt;=5, F3884-5, IF(F3884&lt;5, 0, F3884))</f>
        <v/>
      </c>
      <c r="E3884">
        <f>VLOOKUP(B3884,[1]Namshi!$A:$B,2,0)</f>
        <v/>
      </c>
      <c r="F3884" s="4">
        <f>SUMIFS('Dubai Stock'!I:I,'Dubai Stock'!H:H,Final_UAE!B:B)</f>
        <v/>
      </c>
      <c r="H3884" s="8" t="e">
        <v>#N/A</v>
      </c>
      <c r="I3884" s="8" t="n"/>
    </row>
    <row r="3885">
      <c r="A3885" s="4" t="n">
        <v>33834</v>
      </c>
      <c r="B3885" s="4" t="inlineStr">
        <is>
          <t>sw50107-30s-000431-0107-50</t>
        </is>
      </c>
      <c r="C3885" s="4" t="inlineStr">
        <is>
          <t>W00031886A</t>
        </is>
      </c>
      <c r="D3885" s="6">
        <f>IF(F3885&gt;=5, F3885-5, IF(F3885&lt;5, 0, F3885))</f>
        <v/>
      </c>
      <c r="E3885">
        <f>VLOOKUP(B3885,[1]Namshi!$A:$B,2,0)</f>
        <v/>
      </c>
      <c r="F3885" s="4">
        <f>SUMIFS('Dubai Stock'!I:I,'Dubai Stock'!H:H,Final_UAE!B:B)</f>
        <v/>
      </c>
      <c r="H3885" s="8" t="e">
        <v>#N/A</v>
      </c>
    </row>
    <row r="3886">
      <c r="A3886" s="4" t="n">
        <v>33834</v>
      </c>
      <c r="B3886" s="4" t="inlineStr">
        <is>
          <t>clstdai-btr-oned-p30-sp0350</t>
        </is>
      </c>
      <c r="C3886" s="4" t="inlineStr">
        <is>
          <t>W00031886A</t>
        </is>
      </c>
      <c r="D3886" s="6">
        <f>IF(F3886&gt;=5, F3886-5, IF(F3886&lt;5, 0, F3886))</f>
        <v/>
      </c>
      <c r="E3886">
        <f>VLOOKUP(B3886,[1]Namshi!$A:$B,2,0)</f>
        <v/>
      </c>
      <c r="F3886" s="4">
        <f>SUMIFS('Dubai Stock'!I:I,'Dubai Stock'!H:H,Final_UAE!B:B)</f>
        <v/>
      </c>
      <c r="H3886" s="8" t="e">
        <v>#N/A</v>
      </c>
      <c r="I3886" s="8" t="n"/>
    </row>
    <row r="3887">
      <c r="A3887" s="4" t="n">
        <v>33834</v>
      </c>
      <c r="B3887" s="4" t="inlineStr">
        <is>
          <t>fm71318-spc-000815-1318-50</t>
        </is>
      </c>
      <c r="C3887" s="4" t="inlineStr">
        <is>
          <t>W00031886A</t>
        </is>
      </c>
      <c r="D3887" s="6">
        <f>IF(F3887&gt;=5, F3887-5, IF(F3887&lt;5, 0, F3887))</f>
        <v/>
      </c>
      <c r="E3887">
        <f>VLOOKUP(B3887,[1]Namshi!$A:$B,2,0)</f>
        <v/>
      </c>
      <c r="F3887" s="4">
        <f>SUMIFS('Dubai Stock'!I:I,'Dubai Stock'!H:H,Final_UAE!B:B)</f>
        <v/>
      </c>
      <c r="H3887" s="8" t="e">
        <v>#N/A</v>
      </c>
      <c r="I3887" s="8" t="n"/>
    </row>
    <row r="3888">
      <c r="A3888" s="4" t="n">
        <v>33834</v>
      </c>
      <c r="B3888" s="4" t="inlineStr">
        <is>
          <t>clstdai-eve-elit-p90-sp0075</t>
        </is>
      </c>
      <c r="C3888" s="4" t="inlineStr">
        <is>
          <t>W00031886A</t>
        </is>
      </c>
      <c r="D3888" s="6">
        <f>IF(F3888&gt;=5, F3888-5, IF(F3888&lt;5, 0, F3888))</f>
        <v/>
      </c>
      <c r="E3888">
        <f>VLOOKUP(B3888,[1]Namshi!$A:$B,2,0)</f>
        <v/>
      </c>
      <c r="F3888" s="4">
        <f>SUMIFS('Dubai Stock'!I:I,'Dubai Stock'!H:H,Final_UAE!B:B)</f>
        <v/>
      </c>
      <c r="H3888" s="8" t="n">
        <v>729</v>
      </c>
      <c r="I3888" s="8" t="n">
        <v>357</v>
      </c>
    </row>
    <row r="3889">
      <c r="A3889" s="4" t="n">
        <v>33834</v>
      </c>
      <c r="B3889" s="4" t="inlineStr">
        <is>
          <t>cost3mo-lay-2024-p02-moon-gray-sn0175</t>
        </is>
      </c>
      <c r="C3889" s="4" t="inlineStr">
        <is>
          <t>W00031886A</t>
        </is>
      </c>
      <c r="D3889" s="6">
        <f>IF(F3889&gt;=5, F3889-5, IF(F3889&lt;5, 0, F3889))</f>
        <v/>
      </c>
      <c r="E3889">
        <f>VLOOKUP(B3889,[1]Namshi!$A:$B,2,0)</f>
        <v/>
      </c>
      <c r="F3889" s="4">
        <f>SUMIFS('Dubai Stock'!I:I,'Dubai Stock'!H:H,Final_UAE!B:B)</f>
        <v/>
      </c>
      <c r="H3889" s="8" t="e">
        <v>#N/A</v>
      </c>
      <c r="I3889" s="8" t="n"/>
    </row>
    <row r="3890">
      <c r="A3890" s="4" t="n">
        <v>33834</v>
      </c>
      <c r="B3890" s="4" t="inlineStr">
        <is>
          <t>cost3mo-lay-2021-p02-polar-gray-sn0175</t>
        </is>
      </c>
      <c r="C3890" s="4" t="inlineStr">
        <is>
          <t>W00031886A</t>
        </is>
      </c>
      <c r="D3890" s="6">
        <f>IF(F3890&gt;=5, F3890-5, IF(F3890&lt;5, 0, F3890))</f>
        <v/>
      </c>
      <c r="E3890">
        <f>VLOOKUP(B3890,[1]Namshi!$A:$B,2,0)</f>
        <v/>
      </c>
      <c r="F3890" s="4">
        <f>SUMIFS('Dubai Stock'!I:I,'Dubai Stock'!H:H,Final_UAE!B:B)</f>
        <v/>
      </c>
      <c r="H3890" s="8" t="e">
        <v>#N/A</v>
      </c>
      <c r="I3890" s="8" t="n"/>
    </row>
    <row r="3891">
      <c r="A3891" s="4" t="n">
        <v>33834</v>
      </c>
      <c r="B3891" s="4" t="inlineStr">
        <is>
          <t>cost3mo-cel-natu-p01-real-shade-sp0400</t>
        </is>
      </c>
      <c r="C3891" s="4" t="inlineStr">
        <is>
          <t>W00031886A</t>
        </is>
      </c>
      <c r="D3891" s="6">
        <f>IF(F3891&gt;=5, F3891-5, IF(F3891&lt;5, 0, F3891))</f>
        <v/>
      </c>
      <c r="E3891">
        <f>VLOOKUP(B3891,[1]Namshi!$A:$B,2,0)</f>
        <v/>
      </c>
      <c r="F3891" s="4">
        <f>SUMIFS('Dubai Stock'!I:I,'Dubai Stock'!H:H,Final_UAE!B:B)</f>
        <v/>
      </c>
      <c r="H3891" s="8" t="e">
        <v>#N/A</v>
      </c>
      <c r="I3891" s="8" t="n"/>
    </row>
    <row r="3892">
      <c r="A3892" s="4" t="n">
        <v>33834</v>
      </c>
      <c r="B3892" s="4" t="inlineStr">
        <is>
          <t>clstdai-lay-cont-p60-dazzle-brown-sn0475</t>
        </is>
      </c>
      <c r="C3892" s="4" t="inlineStr">
        <is>
          <t>W00031886A</t>
        </is>
      </c>
      <c r="D3892" s="6">
        <f>IF(F3892&gt;=5, F3892-5, IF(F3892&lt;5, 0, F3892))</f>
        <v/>
      </c>
      <c r="E3892">
        <f>VLOOKUP(B3892,[1]Namshi!$A:$B,2,0)</f>
        <v/>
      </c>
      <c r="F3892" s="4">
        <f>SUMIFS('Dubai Stock'!I:I,'Dubai Stock'!H:H,Final_UAE!B:B)</f>
        <v/>
      </c>
      <c r="H3892" s="8" t="e">
        <v>#N/A</v>
      </c>
      <c r="I3892" s="8" t="n"/>
    </row>
    <row r="3893">
      <c r="A3893" s="4" t="n">
        <v>33834</v>
      </c>
      <c r="B3893" s="4" t="inlineStr">
        <is>
          <t>clstdai-acu-dfvi-p90-sn0075</t>
        </is>
      </c>
      <c r="C3893" s="4" t="inlineStr">
        <is>
          <t>W00031886A</t>
        </is>
      </c>
      <c r="D3893" s="6">
        <f>IF(F3893&gt;=5, F3893-5, IF(F3893&lt;5, 0, F3893))</f>
        <v/>
      </c>
      <c r="E3893">
        <f>VLOOKUP(B3893,[1]Namshi!$A:$B,2,0)</f>
        <v/>
      </c>
      <c r="F3893" s="4">
        <f>SUMIFS('Dubai Stock'!I:I,'Dubai Stock'!H:H,Final_UAE!B:B)</f>
        <v/>
      </c>
      <c r="H3893" s="8" t="e">
        <v>#N/A</v>
      </c>
      <c r="I3893" s="8" t="n"/>
    </row>
    <row r="3894">
      <c r="A3894" s="4" t="n">
        <v>33834</v>
      </c>
      <c r="B3894" s="4" t="inlineStr">
        <is>
          <t>clstdai-acu-mois-p60-sn0700</t>
        </is>
      </c>
      <c r="C3894" s="4" t="inlineStr">
        <is>
          <t>W00031886A</t>
        </is>
      </c>
      <c r="D3894" s="6">
        <f>IF(F3894&gt;=5, F3894-5, IF(F3894&lt;5, 0, F3894))</f>
        <v/>
      </c>
      <c r="E3894">
        <f>VLOOKUP(B3894,[1]Namshi!$A:$B,2,0)</f>
        <v/>
      </c>
      <c r="F3894" s="4">
        <f>SUMIFS('Dubai Stock'!I:I,'Dubai Stock'!H:H,Final_UAE!B:B)</f>
        <v/>
      </c>
      <c r="H3894" s="8" t="e">
        <v>#N/A</v>
      </c>
      <c r="I3894" s="8" t="n"/>
    </row>
    <row r="3895">
      <c r="A3895" s="4" t="n">
        <v>33834</v>
      </c>
      <c r="B3895" s="4" t="inlineStr">
        <is>
          <t>costdai-acu-dffr-p30-green-sn0250</t>
        </is>
      </c>
      <c r="C3895" s="4" t="inlineStr">
        <is>
          <t>W00031886A</t>
        </is>
      </c>
      <c r="D3895" s="6">
        <f>IF(F3895&gt;=5, F3895-5, IF(F3895&lt;5, 0, F3895))</f>
        <v/>
      </c>
      <c r="E3895">
        <f>VLOOKUP(B3895,[1]Namshi!$A:$B,2,0)</f>
        <v/>
      </c>
      <c r="F3895" s="4">
        <f>SUMIFS('Dubai Stock'!I:I,'Dubai Stock'!H:H,Final_UAE!B:B)</f>
        <v/>
      </c>
      <c r="H3895" s="8" t="e">
        <v>#N/A</v>
      </c>
      <c r="I3895" s="8" t="n"/>
    </row>
    <row r="3896">
      <c r="A3896" s="4" t="n">
        <v>33834</v>
      </c>
      <c r="B3896" s="4" t="inlineStr">
        <is>
          <t>clstdai-dai-tot1-p90-sn0400</t>
        </is>
      </c>
      <c r="C3896" s="4" t="inlineStr">
        <is>
          <t>W00031886A</t>
        </is>
      </c>
      <c r="D3896" s="6">
        <f>IF(F3896&gt;=5, F3896-5, IF(F3896&lt;5, 0, F3896))</f>
        <v/>
      </c>
      <c r="E3896">
        <f>VLOOKUP(B3896,[1]Namshi!$A:$B,2,0)</f>
        <v/>
      </c>
      <c r="F3896" s="4">
        <f>SUMIFS('Dubai Stock'!I:I,'Dubai Stock'!H:H,Final_UAE!B:B)</f>
        <v/>
      </c>
      <c r="H3896" s="8" t="e">
        <v>#N/A</v>
      </c>
      <c r="I3896" s="8" t="n"/>
    </row>
    <row r="3897">
      <c r="A3897" s="4" t="n">
        <v>33834</v>
      </c>
      <c r="B3897" s="4" t="inlineStr">
        <is>
          <t>sm50104-30s-000251-0104-51</t>
        </is>
      </c>
      <c r="C3897" s="4" t="inlineStr">
        <is>
          <t>W00031886A</t>
        </is>
      </c>
      <c r="D3897" s="6">
        <f>IF(F3897&gt;=5, F3897-5, IF(F3897&lt;5, 0, F3897))</f>
        <v/>
      </c>
      <c r="E3897">
        <f>VLOOKUP(B3897,[1]Namshi!$A:$B,2,0)</f>
        <v/>
      </c>
      <c r="F3897" s="4">
        <f>SUMIFS('Dubai Stock'!I:I,'Dubai Stock'!H:H,Final_UAE!B:B)</f>
        <v/>
      </c>
      <c r="H3897" s="8" t="e">
        <v>#N/A</v>
      </c>
    </row>
    <row r="3898">
      <c r="A3898" s="4" t="n">
        <v>33834</v>
      </c>
      <c r="B3898" s="4" t="inlineStr">
        <is>
          <t>costdai-acu-dffr-p10-hazel-sn0275</t>
        </is>
      </c>
      <c r="C3898" s="4" t="inlineStr">
        <is>
          <t>W00031886A</t>
        </is>
      </c>
      <c r="D3898" s="6">
        <f>IF(F3898&gt;=5, F3898-5, IF(F3898&lt;5, 0, F3898))</f>
        <v/>
      </c>
      <c r="E3898">
        <f>VLOOKUP(B3898,[1]Namshi!$A:$B,2,0)</f>
        <v/>
      </c>
      <c r="F3898" s="4">
        <f>SUMIFS('Dubai Stock'!I:I,'Dubai Stock'!H:H,Final_UAE!B:B)</f>
        <v/>
      </c>
      <c r="H3898" s="8" t="e">
        <v>#N/A</v>
      </c>
      <c r="I3898" s="8" t="n"/>
    </row>
    <row r="3899">
      <c r="A3899" s="4" t="n">
        <v>33834</v>
      </c>
      <c r="B3899" s="4" t="inlineStr">
        <is>
          <t>PSKU_33834_06068933771124168554_X</t>
        </is>
      </c>
      <c r="C3899" s="4" t="inlineStr">
        <is>
          <t>W00031886A</t>
        </is>
      </c>
      <c r="D3899" s="6">
        <f>IF(F3899&gt;=5, F3899-5, IF(F3899&lt;5, 0, F3899))</f>
        <v/>
      </c>
      <c r="E3899">
        <f>VLOOKUP(B3899,[1]Namshi!$A:$B,2,0)</f>
        <v/>
      </c>
      <c r="F3899" s="4">
        <f>SUMIFS('Dubai Stock'!I:I,'Dubai Stock'!H:H,Final_UAE!B:B)</f>
        <v/>
      </c>
      <c r="H3899" s="8" t="e">
        <v>#N/A</v>
      </c>
      <c r="I3899" s="8" t="n"/>
    </row>
    <row r="3900">
      <c r="A3900" s="4" t="n">
        <v>33834</v>
      </c>
      <c r="B3900" s="4" t="inlineStr">
        <is>
          <t>clstdai-acu-mois-p30-sp0450</t>
        </is>
      </c>
      <c r="C3900" s="4" t="inlineStr">
        <is>
          <t>W00031886A</t>
        </is>
      </c>
      <c r="D3900" s="6">
        <f>IF(F3900&gt;=5, F3900-5, IF(F3900&lt;5, 0, F3900))</f>
        <v/>
      </c>
      <c r="E3900">
        <f>VLOOKUP(B3900,[1]Namshi!$A:$B,2,0)</f>
        <v/>
      </c>
      <c r="F3900" s="4">
        <f>SUMIFS('Dubai Stock'!I:I,'Dubai Stock'!H:H,Final_UAE!B:B)</f>
        <v/>
      </c>
      <c r="H3900" s="8" t="e">
        <v>#N/A</v>
      </c>
      <c r="I3900" s="8" t="n"/>
    </row>
    <row r="3901">
      <c r="A3901" s="4" t="n">
        <v>33834</v>
      </c>
      <c r="B3901" s="4" t="inlineStr">
        <is>
          <t>sm100107-30s-000447-0107-53</t>
        </is>
      </c>
      <c r="C3901" s="4" t="inlineStr">
        <is>
          <t>W00031886A</t>
        </is>
      </c>
      <c r="D3901" s="6">
        <f>IF(F3901&gt;=5, F3901-5, IF(F3901&lt;5, 0, F3901))</f>
        <v/>
      </c>
      <c r="E3901">
        <f>VLOOKUP(B3901,[1]Namshi!$A:$B,2,0)</f>
        <v/>
      </c>
      <c r="F3901" s="4">
        <f>SUMIFS('Dubai Stock'!I:I,'Dubai Stock'!H:H,Final_UAE!B:B)</f>
        <v/>
      </c>
      <c r="H3901" s="8" t="e">
        <v>#N/A</v>
      </c>
    </row>
    <row r="3902">
      <c r="A3902" s="4" t="n">
        <v>33834</v>
      </c>
      <c r="B3902" s="4" t="inlineStr">
        <is>
          <t>sw70507-bla-000247-0501-59</t>
        </is>
      </c>
      <c r="C3902" s="4" t="inlineStr">
        <is>
          <t>W00031886A</t>
        </is>
      </c>
      <c r="D3902" s="6">
        <f>IF(F3902&gt;=5, F3902-5, IF(F3902&lt;5, 0, F3902))</f>
        <v/>
      </c>
      <c r="E3902">
        <f>VLOOKUP(B3902,[1]Namshi!$A:$B,2,0)</f>
        <v/>
      </c>
      <c r="F3902" s="4">
        <f>SUMIFS('Dubai Stock'!I:I,'Dubai Stock'!H:H,Final_UAE!B:B)</f>
        <v/>
      </c>
      <c r="H3902" s="8" t="e">
        <v>#N/A</v>
      </c>
    </row>
    <row r="3903">
      <c r="A3903" s="4" t="n">
        <v>33834</v>
      </c>
      <c r="B3903" s="4" t="inlineStr">
        <is>
          <t>clstmon-bme-bm55-p06-sp0425</t>
        </is>
      </c>
      <c r="C3903" s="4" t="inlineStr">
        <is>
          <t>W00031886A</t>
        </is>
      </c>
      <c r="D3903" s="6">
        <f>IF(F3903&gt;=5, F3903-5, IF(F3903&lt;5, 0, F3903))</f>
        <v/>
      </c>
      <c r="E3903">
        <f>VLOOKUP(B3903,[1]Namshi!$A:$B,2,0)</f>
        <v/>
      </c>
      <c r="F3903" s="4">
        <f>SUMIFS('Dubai Stock'!I:I,'Dubai Stock'!H:H,Final_UAE!B:B)</f>
        <v/>
      </c>
      <c r="H3903" s="8" t="e">
        <v>#N/A</v>
      </c>
      <c r="I3903" s="8" t="n"/>
    </row>
    <row r="3904">
      <c r="A3904" s="4" t="n">
        <v>33834</v>
      </c>
      <c r="B3904" s="4" t="inlineStr">
        <is>
          <t>clstdai-eve-pure-p30-sp0550</t>
        </is>
      </c>
      <c r="C3904" s="4" t="inlineStr">
        <is>
          <t>W00031886A</t>
        </is>
      </c>
      <c r="D3904" s="6">
        <f>IF(F3904&gt;=5, F3904-5, IF(F3904&lt;5, 0, F3904))</f>
        <v/>
      </c>
      <c r="E3904">
        <f>VLOOKUP(B3904,[1]Namshi!$A:$B,2,0)</f>
        <v/>
      </c>
      <c r="F3904" s="4">
        <f>SUMIFS('Dubai Stock'!I:I,'Dubai Stock'!H:H,Final_UAE!B:B)</f>
        <v/>
      </c>
      <c r="H3904" s="8" t="n">
        <v>186</v>
      </c>
      <c r="I3904" s="8" t="n">
        <v>104.3</v>
      </c>
    </row>
    <row r="3905">
      <c r="A3905" s="4" t="n">
        <v>33834</v>
      </c>
      <c r="B3905" s="4" t="inlineStr">
        <is>
          <t>clstdai-eve-pure-p90-sn0850</t>
        </is>
      </c>
      <c r="C3905" s="4" t="inlineStr">
        <is>
          <t>W00031886A</t>
        </is>
      </c>
      <c r="D3905" s="6">
        <f>IF(F3905&gt;=5, F3905-5, IF(F3905&lt;5, 0, F3905))</f>
        <v/>
      </c>
      <c r="E3905">
        <f>VLOOKUP(B3905,[1]Namshi!$A:$B,2,0)</f>
        <v/>
      </c>
      <c r="F3905" s="4">
        <f>SUMIFS('Dubai Stock'!I:I,'Dubai Stock'!H:H,Final_UAE!B:B)</f>
        <v/>
      </c>
      <c r="H3905" s="8" t="n">
        <v>529</v>
      </c>
      <c r="I3905" s="8" t="n">
        <v>259</v>
      </c>
    </row>
    <row r="3906">
      <c r="A3906" s="4" t="n">
        <v>33834</v>
      </c>
      <c r="B3906" s="4" t="inlineStr">
        <is>
          <t>clstdai-eve-elit-p90-sn1050</t>
        </is>
      </c>
      <c r="C3906" s="4" t="inlineStr">
        <is>
          <t>W00031886A</t>
        </is>
      </c>
      <c r="D3906" s="6">
        <f>IF(F3906&gt;=5, F3906-5, IF(F3906&lt;5, 0, F3906))</f>
        <v/>
      </c>
      <c r="E3906">
        <f>VLOOKUP(B3906,[1]Namshi!$A:$B,2,0)</f>
        <v/>
      </c>
      <c r="F3906" s="4">
        <f>SUMIFS('Dubai Stock'!I:I,'Dubai Stock'!H:H,Final_UAE!B:B)</f>
        <v/>
      </c>
      <c r="H3906" s="8" t="n">
        <v>729</v>
      </c>
      <c r="I3906" s="8" t="n">
        <v>357</v>
      </c>
    </row>
    <row r="3907">
      <c r="A3907" s="4" t="n">
        <v>33834</v>
      </c>
      <c r="B3907" s="4" t="inlineStr">
        <is>
          <t>cltobiw-acu-oasy-p06-sn0200-cn0075-a010</t>
        </is>
      </c>
      <c r="C3907" s="4" t="inlineStr">
        <is>
          <t>W00031886A</t>
        </is>
      </c>
      <c r="D3907" s="6">
        <f>IF(F3907&gt;=5, F3907-5, IF(F3907&lt;5, 0, F3907))</f>
        <v/>
      </c>
      <c r="E3907">
        <f>VLOOKUP(B3907,[1]Namshi!$A:$B,2,0)</f>
        <v/>
      </c>
      <c r="F3907" s="4">
        <f>SUMIFS('Dubai Stock'!I:I,'Dubai Stock'!H:H,Final_UAE!B:B)</f>
        <v/>
      </c>
      <c r="H3907" s="8" t="e">
        <v>#N/A</v>
      </c>
      <c r="I3907" s="8" t="n"/>
    </row>
    <row r="3908">
      <c r="A3908" s="4" t="n">
        <v>33834</v>
      </c>
      <c r="B3908" s="4" t="inlineStr">
        <is>
          <t>clstdai-dai-tot1-p90-sp0500</t>
        </is>
      </c>
      <c r="C3908" s="4" t="inlineStr">
        <is>
          <t>W00031886A</t>
        </is>
      </c>
      <c r="D3908" s="6">
        <f>IF(F3908&gt;=5, F3908-5, IF(F3908&lt;5, 0, F3908))</f>
        <v/>
      </c>
      <c r="E3908">
        <f>VLOOKUP(B3908,[1]Namshi!$A:$B,2,0)</f>
        <v/>
      </c>
      <c r="F3908" s="4">
        <f>SUMIFS('Dubai Stock'!I:I,'Dubai Stock'!H:H,Final_UAE!B:B)</f>
        <v/>
      </c>
      <c r="H3908" s="8" t="e">
        <v>#N/A</v>
      </c>
      <c r="I3908" s="8" t="n"/>
    </row>
    <row r="3909">
      <c r="A3909" s="4" t="n">
        <v>33834</v>
      </c>
      <c r="B3909" s="4" t="inlineStr">
        <is>
          <t>sw51304-bla-000235-1304-56</t>
        </is>
      </c>
      <c r="C3909" s="4" t="inlineStr">
        <is>
          <t>W00031886A</t>
        </is>
      </c>
      <c r="D3909" s="6">
        <f>IF(F3909&gt;=5, F3909-5, IF(F3909&lt;5, 0, F3909))</f>
        <v/>
      </c>
      <c r="E3909">
        <f>VLOOKUP(B3909,[1]Namshi!$A:$B,2,0)</f>
        <v/>
      </c>
      <c r="F3909" s="4">
        <f>SUMIFS('Dubai Stock'!I:I,'Dubai Stock'!H:H,Final_UAE!B:B)</f>
        <v/>
      </c>
      <c r="H3909" s="8" t="e">
        <v>#N/A</v>
      </c>
    </row>
    <row r="3910">
      <c r="A3910" s="4" t="n">
        <v>33834</v>
      </c>
      <c r="B3910" s="4" t="inlineStr">
        <is>
          <t>clstdai-acu-oasy-p60-sn1000</t>
        </is>
      </c>
      <c r="C3910" s="4" t="inlineStr">
        <is>
          <t>W00031886A</t>
        </is>
      </c>
      <c r="D3910" s="6">
        <f>IF(F3910&gt;=5, F3910-5, IF(F3910&lt;5, 0, F3910))</f>
        <v/>
      </c>
      <c r="E3910">
        <f>VLOOKUP(B3910,[1]Namshi!$A:$B,2,0)</f>
        <v/>
      </c>
      <c r="F3910" s="4">
        <f>SUMIFS('Dubai Stock'!I:I,'Dubai Stock'!H:H,Final_UAE!B:B)</f>
        <v/>
      </c>
      <c r="H3910" s="8" t="e">
        <v>#N/A</v>
      </c>
      <c r="I3910" s="8" t="n"/>
    </row>
    <row r="3911">
      <c r="A3911" s="4" t="n">
        <v>33834</v>
      </c>
      <c r="B3911" s="4" t="inlineStr">
        <is>
          <t>sw50107-bla-000225-0101-55</t>
        </is>
      </c>
      <c r="C3911" s="4" t="inlineStr">
        <is>
          <t>W00031886A</t>
        </is>
      </c>
      <c r="D3911" s="6">
        <f>IF(F3911&gt;=5, F3911-5, IF(F3911&lt;5, 0, F3911))</f>
        <v/>
      </c>
      <c r="E3911">
        <f>VLOOKUP(B3911,[1]Namshi!$A:$B,2,0)</f>
        <v/>
      </c>
      <c r="F3911" s="4">
        <f>SUMIFS('Dubai Stock'!I:I,'Dubai Stock'!H:H,Final_UAE!B:B)</f>
        <v/>
      </c>
      <c r="H3911" s="8" t="e">
        <v>#N/A</v>
      </c>
    </row>
    <row r="3912">
      <c r="A3912" s="4" t="n">
        <v>33834</v>
      </c>
      <c r="B3912" s="4" t="inlineStr">
        <is>
          <t>clstdai-lay-cont-p30-dazzle-brown-sn0550</t>
        </is>
      </c>
      <c r="C3912" s="4" t="inlineStr">
        <is>
          <t>W00031886A</t>
        </is>
      </c>
      <c r="D3912" s="6">
        <f>IF(F3912&gt;=5, F3912-5, IF(F3912&lt;5, 0, F3912))</f>
        <v/>
      </c>
      <c r="E3912">
        <f>VLOOKUP(B3912,[1]Namshi!$A:$B,2,0)</f>
        <v/>
      </c>
      <c r="F3912" s="4">
        <f>SUMIFS('Dubai Stock'!I:I,'Dubai Stock'!H:H,Final_UAE!B:B)</f>
        <v/>
      </c>
      <c r="H3912" s="8" t="e">
        <v>#N/A</v>
      </c>
      <c r="I3912" s="8" t="n"/>
    </row>
    <row r="3913">
      <c r="A3913" s="4" t="n">
        <v>33834</v>
      </c>
      <c r="B3913" s="4" t="inlineStr">
        <is>
          <t>clstdai-eve-pure-p30-Sn0050</t>
        </is>
      </c>
      <c r="C3913" s="4" t="inlineStr">
        <is>
          <t>W00031886A</t>
        </is>
      </c>
      <c r="D3913" s="6">
        <f>IF(F3913&gt;=5, F3913-5, IF(F3913&lt;5, 0, F3913))</f>
        <v/>
      </c>
      <c r="E3913">
        <f>VLOOKUP(B3913,[1]Namshi!$A:$B,2,0)</f>
        <v/>
      </c>
      <c r="F3913" s="4">
        <f>SUMIFS('Dubai Stock'!I:I,'Dubai Stock'!H:H,Final_UAE!B:B)</f>
        <v/>
      </c>
      <c r="H3913" s="8" t="n">
        <v>186</v>
      </c>
      <c r="I3913" s="8" t="n">
        <v>104.3</v>
      </c>
    </row>
    <row r="3914">
      <c r="A3914" s="4" t="n">
        <v>33834</v>
      </c>
      <c r="B3914" s="4" t="inlineStr">
        <is>
          <t>clstdai-lay-cont-p10-dazzle-black-sn0300</t>
        </is>
      </c>
      <c r="C3914" s="4" t="inlineStr">
        <is>
          <t>W00031886A</t>
        </is>
      </c>
      <c r="D3914" s="6">
        <f>IF(F3914&gt;=5, F3914-5, IF(F3914&lt;5, 0, F3914))</f>
        <v/>
      </c>
      <c r="E3914">
        <f>VLOOKUP(B3914,[1]Namshi!$A:$B,2,0)</f>
        <v/>
      </c>
      <c r="F3914" s="4">
        <f>SUMIFS('Dubai Stock'!I:I,'Dubai Stock'!H:H,Final_UAE!B:B)</f>
        <v/>
      </c>
      <c r="H3914" s="8" t="e">
        <v>#N/A</v>
      </c>
      <c r="I3914" s="8" t="n"/>
    </row>
    <row r="3915">
      <c r="A3915" s="4" t="n">
        <v>33834</v>
      </c>
      <c r="B3915" s="4" t="inlineStr">
        <is>
          <t>bc20918-bab-000501-0918-46</t>
        </is>
      </c>
      <c r="C3915" s="4" t="inlineStr">
        <is>
          <t>W00031886A</t>
        </is>
      </c>
      <c r="D3915" s="6">
        <f>IF(F3915&gt;=5, F3915-5, IF(F3915&lt;5, 0, F3915))</f>
        <v/>
      </c>
      <c r="E3915">
        <f>VLOOKUP(B3915,[1]Namshi!$A:$B,2,0)</f>
        <v/>
      </c>
      <c r="F3915" s="4">
        <f>SUMIFS('Dubai Stock'!I:I,'Dubai Stock'!H:H,Final_UAE!B:B)</f>
        <v/>
      </c>
      <c r="H3915" s="8" t="e">
        <v>#N/A</v>
      </c>
      <c r="I3915" s="8" t="n"/>
    </row>
    <row r="3916">
      <c r="A3916" s="4" t="n">
        <v>33834</v>
      </c>
      <c r="B3916" s="4" t="inlineStr">
        <is>
          <t>sw100507-bla-000327-0507-56</t>
        </is>
      </c>
      <c r="C3916" s="4" t="inlineStr">
        <is>
          <t>W00031886A</t>
        </is>
      </c>
      <c r="D3916" s="6">
        <f>IF(F3916&gt;=5, F3916-5, IF(F3916&lt;5, 0, F3916))</f>
        <v/>
      </c>
      <c r="E3916">
        <f>VLOOKUP(B3916,[1]Namshi!$A:$B,2,0)</f>
        <v/>
      </c>
      <c r="F3916" s="4">
        <f>SUMIFS('Dubai Stock'!I:I,'Dubai Stock'!H:H,Final_UAE!B:B)</f>
        <v/>
      </c>
      <c r="H3916" s="8" t="e">
        <v>#N/A</v>
      </c>
    </row>
    <row r="3917">
      <c r="A3917" s="4" t="n">
        <v>33834</v>
      </c>
      <c r="B3917" s="4" t="inlineStr">
        <is>
          <t>clstbiw-acu-oasy-p06-sp0300</t>
        </is>
      </c>
      <c r="C3917" s="4" t="inlineStr">
        <is>
          <t>W00031886A</t>
        </is>
      </c>
      <c r="D3917" s="6">
        <f>IF(F3917&gt;=5, F3917-5, IF(F3917&lt;5, 0, F3917))</f>
        <v/>
      </c>
      <c r="E3917">
        <f>VLOOKUP(B3917,[1]Namshi!$A:$B,2,0)</f>
        <v/>
      </c>
      <c r="F3917" s="4">
        <f>SUMIFS('Dubai Stock'!I:I,'Dubai Stock'!H:H,Final_UAE!B:B)</f>
        <v/>
      </c>
      <c r="H3917" s="8" t="e">
        <v>#N/A</v>
      </c>
      <c r="I3917" s="8" t="n"/>
    </row>
    <row r="3918">
      <c r="A3918" s="4" t="n">
        <v>33834</v>
      </c>
      <c r="B3918" s="4" t="inlineStr">
        <is>
          <t>cost3mo-lay-2025-p02-desert-topaz-sn0475</t>
        </is>
      </c>
      <c r="C3918" s="4" t="inlineStr">
        <is>
          <t>W00031886A</t>
        </is>
      </c>
      <c r="D3918" s="6">
        <f>IF(F3918&gt;=5, F3918-5, IF(F3918&lt;5, 0, F3918))</f>
        <v/>
      </c>
      <c r="E3918">
        <f>VLOOKUP(B3918,[1]Namshi!$A:$B,2,0)</f>
        <v/>
      </c>
      <c r="F3918" s="4">
        <f>SUMIFS('Dubai Stock'!I:I,'Dubai Stock'!H:H,Final_UAE!B:B)</f>
        <v/>
      </c>
      <c r="H3918" s="8" t="e">
        <v>#N/A</v>
      </c>
      <c r="I3918" s="8" t="n"/>
    </row>
    <row r="3919">
      <c r="A3919" s="4" t="n">
        <v>33834</v>
      </c>
      <c r="B3919" s="4" t="inlineStr">
        <is>
          <t>clstdai-eve-pure-p90-sp0325</t>
        </is>
      </c>
      <c r="C3919" s="4" t="inlineStr">
        <is>
          <t>W00031886A</t>
        </is>
      </c>
      <c r="D3919" s="6">
        <f>IF(F3919&gt;=5, F3919-5, IF(F3919&lt;5, 0, F3919))</f>
        <v/>
      </c>
      <c r="E3919">
        <f>VLOOKUP(B3919,[1]Namshi!$A:$B,2,0)</f>
        <v/>
      </c>
      <c r="F3919" s="4">
        <f>SUMIFS('Dubai Stock'!I:I,'Dubai Stock'!H:H,Final_UAE!B:B)</f>
        <v/>
      </c>
      <c r="H3919" s="8" t="n">
        <v>529</v>
      </c>
      <c r="I3919" s="8" t="n">
        <v>259</v>
      </c>
    </row>
    <row r="3920">
      <c r="A3920" s="4" t="n">
        <v>33834</v>
      </c>
      <c r="B3920" s="4" t="inlineStr">
        <is>
          <t>clstdai-btr-oned-p90-sn0450</t>
        </is>
      </c>
      <c r="C3920" s="4" t="inlineStr">
        <is>
          <t>W00031886A</t>
        </is>
      </c>
      <c r="D3920" s="6">
        <f>IF(F3920&gt;=5, F3920-5, IF(F3920&lt;5, 0, F3920))</f>
        <v/>
      </c>
      <c r="E3920">
        <f>VLOOKUP(B3920,[1]Namshi!$A:$B,2,0)</f>
        <v/>
      </c>
      <c r="F3920" s="4">
        <f>SUMIFS('Dubai Stock'!I:I,'Dubai Stock'!H:H,Final_UAE!B:B)</f>
        <v/>
      </c>
      <c r="H3920" s="8" t="e">
        <v>#N/A</v>
      </c>
      <c r="I3920" s="8" t="n"/>
    </row>
    <row r="3921">
      <c r="A3921" s="4" t="n">
        <v>33834</v>
      </c>
      <c r="B3921" s="4" t="inlineStr">
        <is>
          <t>sacchan-30s-chain133-blk-ivy-black</t>
        </is>
      </c>
      <c r="C3921" s="4" t="inlineStr">
        <is>
          <t>W00031886A</t>
        </is>
      </c>
      <c r="D3921" s="6">
        <f>IF(F3921&gt;=5, F3921-5, IF(F3921&lt;5, 0, F3921))</f>
        <v/>
      </c>
      <c r="E3921">
        <f>VLOOKUP(B3921,[1]Namshi!$A:$B,2,0)</f>
        <v/>
      </c>
      <c r="F3921" s="4">
        <f>SUMIFS('Dubai Stock'!I:I,'Dubai Stock'!H:H,Final_UAE!B:B)</f>
        <v/>
      </c>
      <c r="H3921" s="8" t="e">
        <v>#N/A</v>
      </c>
      <c r="I3921" s="8" t="n"/>
    </row>
    <row r="3922">
      <c r="A3922" s="4" t="n">
        <v>33834</v>
      </c>
      <c r="B3922" s="4" t="inlineStr">
        <is>
          <t>clstdai-btr-oned-p30-sp0125</t>
        </is>
      </c>
      <c r="C3922" s="4" t="inlineStr">
        <is>
          <t>W00031886A</t>
        </is>
      </c>
      <c r="D3922" s="6">
        <f>IF(F3922&gt;=5, F3922-5, IF(F3922&lt;5, 0, F3922))</f>
        <v/>
      </c>
      <c r="E3922">
        <f>VLOOKUP(B3922,[1]Namshi!$A:$B,2,0)</f>
        <v/>
      </c>
      <c r="F3922" s="4">
        <f>SUMIFS('Dubai Stock'!I:I,'Dubai Stock'!H:H,Final_UAE!B:B)</f>
        <v/>
      </c>
      <c r="H3922" s="8" t="e">
        <v>#N/A</v>
      </c>
      <c r="I3922" s="8" t="n"/>
    </row>
    <row r="3923">
      <c r="A3923" s="4" t="n">
        <v>33834</v>
      </c>
      <c r="B3923" s="4" t="inlineStr">
        <is>
          <t>clstdai-acu-dfrb-p30-sn0650</t>
        </is>
      </c>
      <c r="C3923" s="4" t="inlineStr">
        <is>
          <t>W00031886A</t>
        </is>
      </c>
      <c r="D3923" s="6">
        <f>IF(F3923&gt;=5, F3923-5, IF(F3923&lt;5, 0, F3923))</f>
        <v/>
      </c>
      <c r="E3923">
        <f>VLOOKUP(B3923,[1]Namshi!$A:$B,2,0)</f>
        <v/>
      </c>
      <c r="F3923" s="4">
        <f>SUMIFS('Dubai Stock'!I:I,'Dubai Stock'!H:H,Final_UAE!B:B)</f>
        <v/>
      </c>
      <c r="H3923" s="8" t="e">
        <v>#N/A</v>
      </c>
      <c r="I3923" s="8" t="n"/>
    </row>
    <row r="3924">
      <c r="A3924" s="4" t="n">
        <v>33834</v>
      </c>
      <c r="B3924" s="4" t="inlineStr">
        <is>
          <t>costmon-ama-2024-p02-nmr-sn0225</t>
        </is>
      </c>
      <c r="C3924" s="4" t="inlineStr">
        <is>
          <t>W00031886A</t>
        </is>
      </c>
      <c r="D3924" s="6">
        <f>IF(F3924&gt;=5, F3924-5, IF(F3924&lt;5, 0, F3924))</f>
        <v/>
      </c>
      <c r="E3924">
        <f>VLOOKUP(B3924,[1]Namshi!$A:$B,2,0)</f>
        <v/>
      </c>
      <c r="F3924" s="4">
        <f>SUMIFS('Dubai Stock'!I:I,'Dubai Stock'!H:H,Final_UAE!B:B)</f>
        <v/>
      </c>
      <c r="H3924" s="8" t="e">
        <v>#N/A</v>
      </c>
      <c r="I3924" s="8" t="n"/>
    </row>
    <row r="3925">
      <c r="A3925" s="4" t="n">
        <v>33834</v>
      </c>
      <c r="B3925" s="4" t="inlineStr">
        <is>
          <t>sm10207-30s-000222-0207-54</t>
        </is>
      </c>
      <c r="C3925" s="4" t="inlineStr">
        <is>
          <t>W00031886A</t>
        </is>
      </c>
      <c r="D3925" s="6">
        <f>IF(F3925&gt;=5, F3925-5, IF(F3925&lt;5, 0, F3925))</f>
        <v/>
      </c>
      <c r="E3925">
        <f>VLOOKUP(B3925,[1]Namshi!$A:$B,2,0)</f>
        <v/>
      </c>
      <c r="F3925" s="4">
        <f>SUMIFS('Dubai Stock'!I:I,'Dubai Stock'!H:H,Final_UAE!B:B)</f>
        <v/>
      </c>
      <c r="H3925" s="8" t="e">
        <v>#N/A</v>
      </c>
    </row>
    <row r="3926">
      <c r="A3926" s="4" t="n">
        <v>33834</v>
      </c>
      <c r="B3926" s="4" t="inlineStr">
        <is>
          <t>costmon-ama-2022-p02-cocoa-sn0150</t>
        </is>
      </c>
      <c r="C3926" s="4" t="inlineStr">
        <is>
          <t>W00031886A</t>
        </is>
      </c>
      <c r="D3926" s="6">
        <f>IF(F3926&gt;=5, F3926-5, IF(F3926&lt;5, 0, F3926))</f>
        <v/>
      </c>
      <c r="E3926">
        <f>VLOOKUP(B3926,[1]Namshi!$A:$B,2,0)</f>
        <v/>
      </c>
      <c r="F3926" s="4">
        <f>SUMIFS('Dubai Stock'!I:I,'Dubai Stock'!H:H,Final_UAE!B:B)</f>
        <v/>
      </c>
      <c r="H3926" s="8" t="e">
        <v>#N/A</v>
      </c>
      <c r="I3926" s="8" t="n"/>
    </row>
    <row r="3927">
      <c r="A3927" s="4" t="n">
        <v>33834</v>
      </c>
      <c r="B3927" s="4" t="inlineStr">
        <is>
          <t>sm12906-30s-000253-2906-57</t>
        </is>
      </c>
      <c r="C3927" s="4" t="inlineStr">
        <is>
          <t>W00031886A</t>
        </is>
      </c>
      <c r="D3927" s="6">
        <f>IF(F3927&gt;=5, F3927-5, IF(F3927&lt;5, 0, F3927))</f>
        <v/>
      </c>
      <c r="E3927">
        <f>VLOOKUP(B3927,[1]Namshi!$A:$B,2,0)</f>
        <v/>
      </c>
      <c r="F3927" s="4">
        <f>SUMIFS('Dubai Stock'!I:I,'Dubai Stock'!H:H,Final_UAE!B:B)</f>
        <v/>
      </c>
      <c r="H3927" s="8" t="e">
        <v>#N/A</v>
      </c>
    </row>
    <row r="3928">
      <c r="A3928" s="4" t="n">
        <v>33834</v>
      </c>
      <c r="B3928" s="4" t="inlineStr">
        <is>
          <t>fw32418-spc-000643-2418-53</t>
        </is>
      </c>
      <c r="C3928" s="4" t="inlineStr">
        <is>
          <t>W00031886A</t>
        </is>
      </c>
      <c r="D3928" s="6">
        <f>IF(F3928&gt;=5, F3928-5, IF(F3928&lt;5, 0, F3928))</f>
        <v/>
      </c>
      <c r="E3928">
        <f>VLOOKUP(B3928,[1]Namshi!$A:$B,2,0)</f>
        <v/>
      </c>
      <c r="F3928" s="4">
        <f>SUMIFS('Dubai Stock'!I:I,'Dubai Stock'!H:H,Final_UAE!B:B)</f>
        <v/>
      </c>
      <c r="H3928" s="8" t="e">
        <v>#N/A</v>
      </c>
      <c r="I3928" s="8" t="n"/>
    </row>
    <row r="3929">
      <c r="A3929" s="4" t="n">
        <v>33834</v>
      </c>
      <c r="B3929" s="4" t="inlineStr">
        <is>
          <t>costmon-ama-lens-p02-mocca-sp0000</t>
        </is>
      </c>
      <c r="C3929" s="4" t="inlineStr">
        <is>
          <t>W00031886A</t>
        </is>
      </c>
      <c r="D3929" s="6">
        <f>IF(F3929&gt;=5, F3929-5, IF(F3929&lt;5, 0, F3929))</f>
        <v/>
      </c>
      <c r="E3929">
        <f>VLOOKUP(B3929,[1]Namshi!$A:$B,2,0)</f>
        <v/>
      </c>
      <c r="F3929" s="4">
        <f>SUMIFS('Dubai Stock'!I:I,'Dubai Stock'!H:H,Final_UAE!B:B)</f>
        <v/>
      </c>
      <c r="H3929" s="8" t="e">
        <v>#N/A</v>
      </c>
      <c r="I3929" s="8" t="n"/>
    </row>
    <row r="3930">
      <c r="A3930" s="4" t="n">
        <v>33834</v>
      </c>
      <c r="B3930" s="4" t="inlineStr">
        <is>
          <t>cost3mo-lay-2021-p02-sunkiss-brown-sn0550</t>
        </is>
      </c>
      <c r="C3930" s="4" t="inlineStr">
        <is>
          <t>W00031886A</t>
        </is>
      </c>
      <c r="D3930" s="6">
        <f>IF(F3930&gt;=5, F3930-5, IF(F3930&lt;5, 0, F3930))</f>
        <v/>
      </c>
      <c r="E3930">
        <f>VLOOKUP(B3930,[1]Namshi!$A:$B,2,0)</f>
        <v/>
      </c>
      <c r="F3930" s="4">
        <f>SUMIFS('Dubai Stock'!I:I,'Dubai Stock'!H:H,Final_UAE!B:B)</f>
        <v/>
      </c>
      <c r="H3930" s="8" t="e">
        <v>#N/A</v>
      </c>
      <c r="I3930" s="8" t="n"/>
    </row>
    <row r="3931">
      <c r="A3931" s="4" t="n">
        <v>33834</v>
      </c>
      <c r="B3931" s="4" t="inlineStr">
        <is>
          <t>clstbiw-acu-0002-p06-sn0375</t>
        </is>
      </c>
      <c r="C3931" s="4" t="inlineStr">
        <is>
          <t>W00031886A</t>
        </is>
      </c>
      <c r="D3931" s="6">
        <f>IF(F3931&gt;=5, F3931-5, IF(F3931&lt;5, 0, F3931))</f>
        <v/>
      </c>
      <c r="E3931">
        <f>VLOOKUP(B3931,[1]Namshi!$A:$B,2,0)</f>
        <v/>
      </c>
      <c r="F3931" s="4">
        <f>SUMIFS('Dubai Stock'!I:I,'Dubai Stock'!H:H,Final_UAE!B:B)</f>
        <v/>
      </c>
      <c r="H3931" s="8" t="e">
        <v>#N/A</v>
      </c>
      <c r="I3931" s="8" t="n"/>
    </row>
    <row r="3932">
      <c r="A3932" s="4" t="n">
        <v>33834</v>
      </c>
      <c r="B3932" s="4" t="inlineStr">
        <is>
          <t>sc50907-bab-000527-0907-48</t>
        </is>
      </c>
      <c r="C3932" s="4" t="inlineStr">
        <is>
          <t>W00031886A</t>
        </is>
      </c>
      <c r="D3932" s="6">
        <f>IF(F3932&gt;=5, F3932-5, IF(F3932&lt;5, 0, F3932))</f>
        <v/>
      </c>
      <c r="E3932">
        <f>VLOOKUP(B3932,[1]Namshi!$A:$B,2,0)</f>
        <v/>
      </c>
      <c r="F3932" s="4">
        <f>SUMIFS('Dubai Stock'!I:I,'Dubai Stock'!H:H,Final_UAE!B:B)</f>
        <v/>
      </c>
      <c r="H3932" s="8" t="e">
        <v>#N/A</v>
      </c>
    </row>
    <row r="3933">
      <c r="A3933" s="4" t="n">
        <v>33834</v>
      </c>
      <c r="B3933" s="4" t="inlineStr">
        <is>
          <t>sm100707-30s-000436-0707-51</t>
        </is>
      </c>
      <c r="C3933" s="4" t="inlineStr">
        <is>
          <t>W00031886A</t>
        </is>
      </c>
      <c r="D3933" s="6">
        <f>IF(F3933&gt;=5, F3933-5, IF(F3933&lt;5, 0, F3933))</f>
        <v/>
      </c>
      <c r="E3933">
        <f>VLOOKUP(B3933,[1]Namshi!$A:$B,2,0)</f>
        <v/>
      </c>
      <c r="F3933" s="4">
        <f>SUMIFS('Dubai Stock'!I:I,'Dubai Stock'!H:H,Final_UAE!B:B)</f>
        <v/>
      </c>
      <c r="H3933" s="8" t="e">
        <v>#N/A</v>
      </c>
    </row>
    <row r="3934">
      <c r="A3934" s="4" t="n">
        <v>33834</v>
      </c>
      <c r="B3934" s="4" t="inlineStr">
        <is>
          <t>clstdai-lay-cont-p10-dazzle-black-sn0375</t>
        </is>
      </c>
      <c r="C3934" s="4" t="inlineStr">
        <is>
          <t>W00031886A</t>
        </is>
      </c>
      <c r="D3934" s="6">
        <f>IF(F3934&gt;=5, F3934-5, IF(F3934&lt;5, 0, F3934))</f>
        <v/>
      </c>
      <c r="E3934">
        <f>VLOOKUP(B3934,[1]Namshi!$A:$B,2,0)</f>
        <v/>
      </c>
      <c r="F3934" s="4">
        <f>SUMIFS('Dubai Stock'!I:I,'Dubai Stock'!H:H,Final_UAE!B:B)</f>
        <v/>
      </c>
      <c r="H3934" s="8" t="e">
        <v>#N/A</v>
      </c>
      <c r="I3934" s="8" t="n"/>
    </row>
    <row r="3935">
      <c r="A3935" s="4" t="n">
        <v>33834</v>
      </c>
      <c r="B3935" s="4" t="inlineStr">
        <is>
          <t>clstdai-acu-mois-p60-sn1000</t>
        </is>
      </c>
      <c r="C3935" s="4" t="inlineStr">
        <is>
          <t>W00031886A</t>
        </is>
      </c>
      <c r="D3935" s="6">
        <f>IF(F3935&gt;=5, F3935-5, IF(F3935&lt;5, 0, F3935))</f>
        <v/>
      </c>
      <c r="E3935">
        <f>VLOOKUP(B3935,[1]Namshi!$A:$B,2,0)</f>
        <v/>
      </c>
      <c r="F3935" s="4">
        <f>SUMIFS('Dubai Stock'!I:I,'Dubai Stock'!H:H,Final_UAE!B:B)</f>
        <v/>
      </c>
      <c r="H3935" s="8" t="e">
        <v>#N/A</v>
      </c>
      <c r="I3935" s="8" t="n"/>
    </row>
    <row r="3936">
      <c r="A3936" s="4" t="n">
        <v>33834</v>
      </c>
      <c r="B3936" s="4" t="inlineStr">
        <is>
          <t>su70504-bla-000237-0504-54</t>
        </is>
      </c>
      <c r="C3936" s="4" t="inlineStr">
        <is>
          <t>W00031886A</t>
        </is>
      </c>
      <c r="D3936" s="6">
        <f>IF(F3936&gt;=5, F3936-5, IF(F3936&lt;5, 0, F3936))</f>
        <v/>
      </c>
      <c r="E3936">
        <f>VLOOKUP(B3936,[1]Namshi!$A:$B,2,0)</f>
        <v/>
      </c>
      <c r="F3936" s="4">
        <f>SUMIFS('Dubai Stock'!I:I,'Dubai Stock'!H:H,Final_UAE!B:B)</f>
        <v/>
      </c>
      <c r="H3936" s="8" t="e">
        <v>#N/A</v>
      </c>
    </row>
    <row r="3937">
      <c r="A3937" s="4" t="n">
        <v>33834</v>
      </c>
      <c r="B3937" s="4" t="inlineStr">
        <is>
          <t>costdai-ama-dail-p10-amber-sn0325</t>
        </is>
      </c>
      <c r="C3937" s="4" t="inlineStr">
        <is>
          <t>W00031886A</t>
        </is>
      </c>
      <c r="D3937" s="6">
        <f>IF(F3937&gt;=5, F3937-5, IF(F3937&lt;5, 0, F3937))</f>
        <v/>
      </c>
      <c r="E3937">
        <f>VLOOKUP(B3937,[1]Namshi!$A:$B,2,0)</f>
        <v/>
      </c>
      <c r="F3937" s="4">
        <f>SUMIFS('Dubai Stock'!I:I,'Dubai Stock'!H:H,Final_UAE!B:B)</f>
        <v/>
      </c>
      <c r="H3937" s="8" t="e">
        <v>#N/A</v>
      </c>
      <c r="I3937" s="8" t="n"/>
    </row>
    <row r="3938">
      <c r="A3938" s="4" t="n">
        <v>33834</v>
      </c>
      <c r="B3938" s="4" t="inlineStr">
        <is>
          <t>clstdai-lay-cont-p30-dazzle-black-sn0650</t>
        </is>
      </c>
      <c r="C3938" s="4" t="inlineStr">
        <is>
          <t>W00031886A</t>
        </is>
      </c>
      <c r="D3938" s="6">
        <f>IF(F3938&gt;=5, F3938-5, IF(F3938&lt;5, 0, F3938))</f>
        <v/>
      </c>
      <c r="E3938">
        <f>VLOOKUP(B3938,[1]Namshi!$A:$B,2,0)</f>
        <v/>
      </c>
      <c r="F3938" s="4">
        <f>SUMIFS('Dubai Stock'!I:I,'Dubai Stock'!H:H,Final_UAE!B:B)</f>
        <v/>
      </c>
      <c r="H3938" s="8" t="e">
        <v>#N/A</v>
      </c>
      <c r="I3938" s="8" t="n"/>
    </row>
    <row r="3939">
      <c r="A3939" s="4" t="n">
        <v>33834</v>
      </c>
      <c r="B3939" s="4" t="inlineStr">
        <is>
          <t>sw40107-30s-000465-0107-60</t>
        </is>
      </c>
      <c r="C3939" s="4" t="inlineStr">
        <is>
          <t>W00031886A</t>
        </is>
      </c>
      <c r="D3939" s="6">
        <f>IF(F3939&gt;=5, F3939-5, IF(F3939&lt;5, 0, F3939))</f>
        <v/>
      </c>
      <c r="E3939">
        <f>VLOOKUP(B3939,[1]Namshi!$A:$B,2,0)</f>
        <v/>
      </c>
      <c r="F3939" s="4">
        <f>SUMIFS('Dubai Stock'!I:I,'Dubai Stock'!H:H,Final_UAE!B:B)</f>
        <v/>
      </c>
      <c r="H3939" s="8" t="e">
        <v>#N/A</v>
      </c>
    </row>
    <row r="3940">
      <c r="A3940" s="4" t="n">
        <v>33834</v>
      </c>
      <c r="B3940" s="4" t="inlineStr">
        <is>
          <t>fc51418-bab-000503-1418-46</t>
        </is>
      </c>
      <c r="C3940" s="4" t="inlineStr">
        <is>
          <t>W00031886A</t>
        </is>
      </c>
      <c r="D3940" s="6">
        <f>IF(F3940&gt;=5, F3940-5, IF(F3940&lt;5, 0, F3940))</f>
        <v/>
      </c>
      <c r="E3940">
        <f>VLOOKUP(B3940,[1]Namshi!$A:$B,2,0)</f>
        <v/>
      </c>
      <c r="F3940" s="4">
        <f>SUMIFS('Dubai Stock'!I:I,'Dubai Stock'!H:H,Final_UAE!B:B)</f>
        <v/>
      </c>
      <c r="H3940" s="8" t="e">
        <v>#N/A</v>
      </c>
      <c r="I3940" s="8" t="n"/>
    </row>
    <row r="3941">
      <c r="A3941" s="4" t="n">
        <v>33834</v>
      </c>
      <c r="B3941" s="4" t="inlineStr">
        <is>
          <t>costdai-ama-dail-p10-honey-sn0400</t>
        </is>
      </c>
      <c r="C3941" s="4" t="inlineStr">
        <is>
          <t>W00031886A</t>
        </is>
      </c>
      <c r="D3941" s="6">
        <f>IF(F3941&gt;=5, F3941-5, IF(F3941&lt;5, 0, F3941))</f>
        <v/>
      </c>
      <c r="E3941">
        <f>VLOOKUP(B3941,[1]Namshi!$A:$B,2,0)</f>
        <v/>
      </c>
      <c r="F3941" s="4">
        <f>SUMIFS('Dubai Stock'!I:I,'Dubai Stock'!H:H,Final_UAE!B:B)</f>
        <v/>
      </c>
      <c r="H3941" s="8" t="e">
        <v>#N/A</v>
      </c>
      <c r="I3941" s="8" t="n"/>
    </row>
    <row r="3942">
      <c r="A3942" s="4" t="n">
        <v>33834</v>
      </c>
      <c r="B3942" s="4" t="inlineStr">
        <is>
          <t>sw30107-30s-000302-0101-53</t>
        </is>
      </c>
      <c r="C3942" s="4" t="inlineStr">
        <is>
          <t>W00031886A</t>
        </is>
      </c>
      <c r="D3942" s="6">
        <f>IF(F3942&gt;=5, F3942-5, IF(F3942&lt;5, 0, F3942))</f>
        <v/>
      </c>
      <c r="E3942">
        <f>VLOOKUP(B3942,[1]Namshi!$A:$B,2,0)</f>
        <v/>
      </c>
      <c r="F3942" s="4">
        <f>SUMIFS('Dubai Stock'!I:I,'Dubai Stock'!H:H,Final_UAE!B:B)</f>
        <v/>
      </c>
      <c r="H3942" s="8" t="e">
        <v>#N/A</v>
      </c>
    </row>
    <row r="3943">
      <c r="A3943" s="4" t="n">
        <v>33834</v>
      </c>
      <c r="B3943" s="4" t="inlineStr">
        <is>
          <t>costdai-acu-dffr-p10-green-sn0325</t>
        </is>
      </c>
      <c r="C3943" s="4" t="inlineStr">
        <is>
          <t>W00031886A</t>
        </is>
      </c>
      <c r="D3943" s="6">
        <f>IF(F3943&gt;=5, F3943-5, IF(F3943&lt;5, 0, F3943))</f>
        <v/>
      </c>
      <c r="E3943">
        <f>VLOOKUP(B3943,[1]Namshi!$A:$B,2,0)</f>
        <v/>
      </c>
      <c r="F3943" s="4">
        <f>SUMIFS('Dubai Stock'!I:I,'Dubai Stock'!H:H,Final_UAE!B:B)</f>
        <v/>
      </c>
      <c r="H3943" s="8" t="e">
        <v>#N/A</v>
      </c>
      <c r="I3943" s="8" t="n"/>
    </row>
    <row r="3944">
      <c r="A3944" s="4" t="n">
        <v>33834</v>
      </c>
      <c r="B3944" s="4" t="inlineStr">
        <is>
          <t>costmon-ama-2022-p02-dream-sn0050</t>
        </is>
      </c>
      <c r="C3944" s="4" t="inlineStr">
        <is>
          <t>W00031886A</t>
        </is>
      </c>
      <c r="D3944" s="6">
        <f>IF(F3944&gt;=5, F3944-5, IF(F3944&lt;5, 0, F3944))</f>
        <v/>
      </c>
      <c r="E3944">
        <f>VLOOKUP(B3944,[1]Namshi!$A:$B,2,0)</f>
        <v/>
      </c>
      <c r="F3944" s="4">
        <f>SUMIFS('Dubai Stock'!I:I,'Dubai Stock'!H:H,Final_UAE!B:B)</f>
        <v/>
      </c>
      <c r="H3944" s="8" t="e">
        <v>#N/A</v>
      </c>
      <c r="I3944" s="8" t="n"/>
    </row>
    <row r="3945">
      <c r="A3945" s="4" t="n">
        <v>33834</v>
      </c>
      <c r="B3945" s="4" t="inlineStr">
        <is>
          <t>clstmon-sof-sl59-p06-sp0200</t>
        </is>
      </c>
      <c r="C3945" s="4" t="inlineStr">
        <is>
          <t>W00031886A</t>
        </is>
      </c>
      <c r="D3945" s="6">
        <f>IF(F3945&gt;=5, F3945-5, IF(F3945&lt;5, 0, F3945))</f>
        <v/>
      </c>
      <c r="E3945">
        <f>VLOOKUP(B3945,[1]Namshi!$A:$B,2,0)</f>
        <v/>
      </c>
      <c r="F3945" s="4">
        <f>SUMIFS('Dubai Stock'!I:I,'Dubai Stock'!H:H,Final_UAE!B:B)</f>
        <v/>
      </c>
      <c r="H3945" s="8" t="e">
        <v>#N/A</v>
      </c>
      <c r="I3945" s="8" t="n"/>
    </row>
    <row r="3946">
      <c r="A3946" s="4" t="n">
        <v>33834</v>
      </c>
      <c r="B3946" s="4" t="inlineStr">
        <is>
          <t>costdai-ama-dail-p10-shadow-sn0425</t>
        </is>
      </c>
      <c r="C3946" s="4" t="inlineStr">
        <is>
          <t>W00031886A</t>
        </is>
      </c>
      <c r="D3946" s="6">
        <f>IF(F3946&gt;=5, F3946-5, IF(F3946&lt;5, 0, F3946))</f>
        <v/>
      </c>
      <c r="E3946">
        <f>VLOOKUP(B3946,[1]Namshi!$A:$B,2,0)</f>
        <v/>
      </c>
      <c r="F3946" s="4">
        <f>SUMIFS('Dubai Stock'!I:I,'Dubai Stock'!H:H,Final_UAE!B:B)</f>
        <v/>
      </c>
      <c r="H3946" s="8" t="e">
        <v>#N/A</v>
      </c>
      <c r="I3946" s="8" t="n"/>
    </row>
    <row r="3947">
      <c r="A3947" s="4" t="n">
        <v>33834</v>
      </c>
      <c r="B3947" s="4" t="inlineStr">
        <is>
          <t>su40504-bla-000265-2904-59</t>
        </is>
      </c>
      <c r="C3947" s="4" t="inlineStr">
        <is>
          <t>W00031886A</t>
        </is>
      </c>
      <c r="D3947" s="6">
        <f>IF(F3947&gt;=5, F3947-5, IF(F3947&lt;5, 0, F3947))</f>
        <v/>
      </c>
      <c r="E3947">
        <f>VLOOKUP(B3947,[1]Namshi!$A:$B,2,0)</f>
        <v/>
      </c>
      <c r="F3947" s="4">
        <f>SUMIFS('Dubai Stock'!I:I,'Dubai Stock'!H:H,Final_UAE!B:B)</f>
        <v/>
      </c>
      <c r="H3947" s="8" t="e">
        <v>#N/A</v>
      </c>
    </row>
    <row r="3948">
      <c r="A3948" s="4" t="n">
        <v>33834</v>
      </c>
      <c r="B3948" s="4" t="inlineStr">
        <is>
          <t>clstmon-eve-prom-p06-sn0600</t>
        </is>
      </c>
      <c r="C3948" s="4" t="inlineStr">
        <is>
          <t>W00031886A</t>
        </is>
      </c>
      <c r="D3948" s="6">
        <f>IF(F3948&gt;=5, F3948-5, IF(F3948&lt;5, 0, F3948))</f>
        <v/>
      </c>
      <c r="E3948">
        <f>VLOOKUP(B3948,[1]Namshi!$A:$B,2,0)</f>
        <v/>
      </c>
      <c r="F3948" s="4">
        <f>SUMIFS('Dubai Stock'!I:I,'Dubai Stock'!H:H,Final_UAE!B:B)</f>
        <v/>
      </c>
      <c r="H3948" s="8" t="n">
        <v>212</v>
      </c>
      <c r="I3948" s="8" t="n">
        <v>111.3</v>
      </c>
    </row>
    <row r="3949">
      <c r="A3949" s="4" t="n">
        <v>33834</v>
      </c>
      <c r="B3949" s="4" t="inlineStr">
        <is>
          <t>fc20918-bab-000252-1100-42</t>
        </is>
      </c>
      <c r="C3949" s="4" t="inlineStr">
        <is>
          <t>W00031886A</t>
        </is>
      </c>
      <c r="D3949" s="6">
        <f>IF(F3949&gt;=5, F3949-5, IF(F3949&lt;5, 0, F3949))</f>
        <v/>
      </c>
      <c r="E3949">
        <f>VLOOKUP(B3949,[1]Namshi!$A:$B,2,0)</f>
        <v/>
      </c>
      <c r="F3949" s="4">
        <f>SUMIFS('Dubai Stock'!I:I,'Dubai Stock'!H:H,Final_UAE!B:B)</f>
        <v/>
      </c>
      <c r="H3949" s="8" t="e">
        <v>#N/A</v>
      </c>
      <c r="I3949" s="8" t="n"/>
    </row>
    <row r="3950">
      <c r="A3950" s="4" t="n">
        <v>33834</v>
      </c>
      <c r="B3950" s="4" t="inlineStr">
        <is>
          <t>clstdai-lay-cont-p10-dazzle-black-sn1000</t>
        </is>
      </c>
      <c r="C3950" s="4" t="inlineStr">
        <is>
          <t>W00031886A</t>
        </is>
      </c>
      <c r="D3950" s="6">
        <f>IF(F3950&gt;=5, F3950-5, IF(F3950&lt;5, 0, F3950))</f>
        <v/>
      </c>
      <c r="E3950">
        <f>VLOOKUP(B3950,[1]Namshi!$A:$B,2,0)</f>
        <v/>
      </c>
      <c r="F3950" s="4">
        <f>SUMIFS('Dubai Stock'!I:I,'Dubai Stock'!H:H,Final_UAE!B:B)</f>
        <v/>
      </c>
      <c r="H3950" s="8" t="e">
        <v>#N/A</v>
      </c>
      <c r="I3950" s="8" t="n"/>
    </row>
    <row r="3951">
      <c r="A3951" s="4" t="n">
        <v>33834</v>
      </c>
      <c r="B3951" s="4" t="inlineStr">
        <is>
          <t>clstdai-acu-dfrb-p90-sn0050</t>
        </is>
      </c>
      <c r="C3951" s="4" t="inlineStr">
        <is>
          <t>W00031886A</t>
        </is>
      </c>
      <c r="D3951" s="6">
        <f>IF(F3951&gt;=5, F3951-5, IF(F3951&lt;5, 0, F3951))</f>
        <v/>
      </c>
      <c r="E3951">
        <f>VLOOKUP(B3951,[1]Namshi!$A:$B,2,0)</f>
        <v/>
      </c>
      <c r="F3951" s="4">
        <f>SUMIFS('Dubai Stock'!I:I,'Dubai Stock'!H:H,Final_UAE!B:B)</f>
        <v/>
      </c>
      <c r="H3951" s="8" t="e">
        <v>#N/A</v>
      </c>
      <c r="I3951" s="8" t="n"/>
    </row>
    <row r="3952">
      <c r="A3952" s="4" t="n">
        <v>33834</v>
      </c>
      <c r="B3952" s="4" t="inlineStr">
        <is>
          <t>fu72318-spc-000507-2300-53</t>
        </is>
      </c>
      <c r="C3952" s="4" t="inlineStr">
        <is>
          <t>W00031886A</t>
        </is>
      </c>
      <c r="D3952" s="6">
        <f>IF(F3952&gt;=5, F3952-5, IF(F3952&lt;5, 0, F3952))</f>
        <v/>
      </c>
      <c r="E3952">
        <f>VLOOKUP(B3952,[1]Namshi!$A:$B,2,0)</f>
        <v/>
      </c>
      <c r="F3952" s="4">
        <f>SUMIFS('Dubai Stock'!I:I,'Dubai Stock'!H:H,Final_UAE!B:B)</f>
        <v/>
      </c>
      <c r="H3952" s="8" t="e">
        <v>#N/A</v>
      </c>
      <c r="I3952" s="8" t="n"/>
    </row>
    <row r="3953">
      <c r="A3953" s="4" t="n">
        <v>33834</v>
      </c>
      <c r="B3953" s="4" t="inlineStr">
        <is>
          <t>sm20702-30s-000249-0702-53</t>
        </is>
      </c>
      <c r="C3953" s="4" t="inlineStr">
        <is>
          <t>W00031886A</t>
        </is>
      </c>
      <c r="D3953" s="6">
        <f>IF(F3953&gt;=5, F3953-5, IF(F3953&lt;5, 0, F3953))</f>
        <v/>
      </c>
      <c r="E3953">
        <f>VLOOKUP(B3953,[1]Namshi!$A:$B,2,0)</f>
        <v/>
      </c>
      <c r="F3953" s="4">
        <f>SUMIFS('Dubai Stock'!I:I,'Dubai Stock'!H:H,Final_UAE!B:B)</f>
        <v/>
      </c>
      <c r="H3953" s="8" t="e">
        <v>#N/A</v>
      </c>
    </row>
    <row r="3954">
      <c r="A3954" s="4" t="n">
        <v>33834</v>
      </c>
      <c r="B3954" s="4" t="inlineStr">
        <is>
          <t>cost3mo-lay-lens-p02-crystal-brown-sn0200</t>
        </is>
      </c>
      <c r="C3954" s="4" t="inlineStr">
        <is>
          <t>W00031886A</t>
        </is>
      </c>
      <c r="D3954" s="6">
        <f>IF(F3954&gt;=5, F3954-5, IF(F3954&lt;5, 0, F3954))</f>
        <v/>
      </c>
      <c r="E3954">
        <f>VLOOKUP(B3954,[1]Namshi!$A:$B,2,0)</f>
        <v/>
      </c>
      <c r="F3954" s="4">
        <f>SUMIFS('Dubai Stock'!I:I,'Dubai Stock'!H:H,Final_UAE!B:B)</f>
        <v/>
      </c>
      <c r="H3954" s="8" t="e">
        <v>#N/A</v>
      </c>
      <c r="I3954" s="8" t="n"/>
    </row>
    <row r="3955">
      <c r="A3955" s="4" t="n">
        <v>33834</v>
      </c>
      <c r="B3955" s="4" t="inlineStr">
        <is>
          <t>cost3mo-lay-2020-p02-ash-gray-sn0450</t>
        </is>
      </c>
      <c r="C3955" s="4" t="inlineStr">
        <is>
          <t>W00031886A</t>
        </is>
      </c>
      <c r="D3955" s="6">
        <f>IF(F3955&gt;=5, F3955-5, IF(F3955&lt;5, 0, F3955))</f>
        <v/>
      </c>
      <c r="E3955">
        <f>VLOOKUP(B3955,[1]Namshi!$A:$B,2,0)</f>
        <v/>
      </c>
      <c r="F3955" s="4">
        <f>SUMIFS('Dubai Stock'!I:I,'Dubai Stock'!H:H,Final_UAE!B:B)</f>
        <v/>
      </c>
      <c r="H3955" s="8" t="e">
        <v>#N/A</v>
      </c>
      <c r="I3955" s="8" t="n"/>
    </row>
    <row r="3956">
      <c r="A3956" s="4" t="n">
        <v>33834</v>
      </c>
      <c r="B3956" s="4" t="inlineStr">
        <is>
          <t>sw100404-bla-000303-0404-56</t>
        </is>
      </c>
      <c r="C3956" s="4" t="inlineStr">
        <is>
          <t>W00031886A</t>
        </is>
      </c>
      <c r="D3956" s="6">
        <f>IF(F3956&gt;=5, F3956-5, IF(F3956&lt;5, 0, F3956))</f>
        <v/>
      </c>
      <c r="E3956">
        <f>VLOOKUP(B3956,[1]Namshi!$A:$B,2,0)</f>
        <v/>
      </c>
      <c r="F3956" s="4">
        <f>SUMIFS('Dubai Stock'!I:I,'Dubai Stock'!H:H,Final_UAE!B:B)</f>
        <v/>
      </c>
      <c r="H3956" s="8" t="e">
        <v>#N/A</v>
      </c>
      <c r="I3956" s="8" t="n"/>
    </row>
    <row r="3957">
      <c r="A3957" s="4" t="n">
        <v>33834</v>
      </c>
      <c r="B3957" s="4" t="inlineStr">
        <is>
          <t>sw100507-bla-000357-0507-49</t>
        </is>
      </c>
      <c r="C3957" s="4" t="inlineStr">
        <is>
          <t>W00031886A</t>
        </is>
      </c>
      <c r="D3957" s="6">
        <f>IF(F3957&gt;=5, F3957-5, IF(F3957&lt;5, 0, F3957))</f>
        <v/>
      </c>
      <c r="E3957">
        <f>VLOOKUP(B3957,[1]Namshi!$A:$B,2,0)</f>
        <v/>
      </c>
      <c r="F3957" s="4">
        <f>SUMIFS('Dubai Stock'!I:I,'Dubai Stock'!H:H,Final_UAE!B:B)</f>
        <v/>
      </c>
      <c r="H3957" s="8" t="e">
        <v>#N/A</v>
      </c>
    </row>
    <row r="3958">
      <c r="A3958" s="4" t="n">
        <v>33834</v>
      </c>
      <c r="B3958" s="4" t="inlineStr">
        <is>
          <t>sw30404-30s-000121-0504-48</t>
        </is>
      </c>
      <c r="C3958" s="4" t="inlineStr">
        <is>
          <t>W00031886A</t>
        </is>
      </c>
      <c r="D3958" s="6">
        <f>IF(F3958&gt;=5, F3958-5, IF(F3958&lt;5, 0, F3958))</f>
        <v/>
      </c>
      <c r="E3958">
        <f>VLOOKUP(B3958,[1]Namshi!$A:$B,2,0)</f>
        <v/>
      </c>
      <c r="F3958" s="4">
        <f>SUMIFS('Dubai Stock'!I:I,'Dubai Stock'!H:H,Final_UAE!B:B)</f>
        <v/>
      </c>
      <c r="H3958" s="8" t="e">
        <v>#N/A</v>
      </c>
    </row>
    <row r="3959">
      <c r="A3959" s="4" t="n">
        <v>33834</v>
      </c>
      <c r="B3959" s="4" t="inlineStr">
        <is>
          <t>sm100107-30s-000304-0101-54</t>
        </is>
      </c>
      <c r="C3959" s="4" t="inlineStr">
        <is>
          <t>W00031886A</t>
        </is>
      </c>
      <c r="D3959" s="6">
        <f>IF(F3959&gt;=5, F3959-5, IF(F3959&lt;5, 0, F3959))</f>
        <v/>
      </c>
      <c r="E3959">
        <f>VLOOKUP(B3959,[1]Namshi!$A:$B,2,0)</f>
        <v/>
      </c>
      <c r="F3959" s="4">
        <f>SUMIFS('Dubai Stock'!I:I,'Dubai Stock'!H:H,Final_UAE!B:B)</f>
        <v/>
      </c>
      <c r="H3959" s="8" t="e">
        <v>#N/A</v>
      </c>
    </row>
    <row r="3960">
      <c r="A3960" s="4" t="n">
        <v>33834</v>
      </c>
      <c r="B3960" s="4" t="inlineStr">
        <is>
          <t>cost3mo-lay-2021-p02-golden-gray-sn0350</t>
        </is>
      </c>
      <c r="C3960" s="4" t="inlineStr">
        <is>
          <t>W00031886A</t>
        </is>
      </c>
      <c r="D3960" s="6">
        <f>IF(F3960&gt;=5, F3960-5, IF(F3960&lt;5, 0, F3960))</f>
        <v/>
      </c>
      <c r="E3960">
        <f>VLOOKUP(B3960,[1]Namshi!$A:$B,2,0)</f>
        <v/>
      </c>
      <c r="F3960" s="4">
        <f>SUMIFS('Dubai Stock'!I:I,'Dubai Stock'!H:H,Final_UAE!B:B)</f>
        <v/>
      </c>
      <c r="H3960" s="8" t="e">
        <v>#N/A</v>
      </c>
      <c r="I3960" s="8" t="n"/>
    </row>
    <row r="3961">
      <c r="A3961" s="4" t="n">
        <v>33834</v>
      </c>
      <c r="B3961" s="4" t="inlineStr">
        <is>
          <t>clstmon-eve-prom-p06-sn0850</t>
        </is>
      </c>
      <c r="C3961" s="4" t="inlineStr">
        <is>
          <t>W00031886A</t>
        </is>
      </c>
      <c r="D3961" s="6">
        <f>IF(F3961&gt;=5, F3961-5, IF(F3961&lt;5, 0, F3961))</f>
        <v/>
      </c>
      <c r="E3961">
        <f>VLOOKUP(B3961,[1]Namshi!$A:$B,2,0)</f>
        <v/>
      </c>
      <c r="F3961" s="4">
        <f>SUMIFS('Dubai Stock'!I:I,'Dubai Stock'!H:H,Final_UAE!B:B)</f>
        <v/>
      </c>
      <c r="H3961" s="8" t="n">
        <v>212</v>
      </c>
      <c r="I3961" s="8" t="n">
        <v>111.3</v>
      </c>
    </row>
    <row r="3962">
      <c r="A3962" s="4" t="n">
        <v>33834</v>
      </c>
      <c r="B3962" s="4" t="inlineStr">
        <is>
          <t>sw30907-30s-000108-0907-52</t>
        </is>
      </c>
      <c r="C3962" s="4" t="inlineStr">
        <is>
          <t>W00031886A</t>
        </is>
      </c>
      <c r="D3962" s="6">
        <f>IF(F3962&gt;=5, F3962-5, IF(F3962&lt;5, 0, F3962))</f>
        <v/>
      </c>
      <c r="E3962">
        <f>VLOOKUP(B3962,[1]Namshi!$A:$B,2,0)</f>
        <v/>
      </c>
      <c r="F3962" s="4">
        <f>SUMIFS('Dubai Stock'!I:I,'Dubai Stock'!H:H,Final_UAE!B:B)</f>
        <v/>
      </c>
      <c r="H3962" s="8" t="e">
        <v>#N/A</v>
      </c>
    </row>
    <row r="3963">
      <c r="A3963" s="4" t="n">
        <v>33834</v>
      </c>
      <c r="B3963" s="4" t="inlineStr">
        <is>
          <t>clstmon-ava-avai-p06-sp0225</t>
        </is>
      </c>
      <c r="C3963" s="4" t="inlineStr">
        <is>
          <t>W00031886A</t>
        </is>
      </c>
      <c r="D3963" s="6">
        <f>IF(F3963&gt;=5, F3963-5, IF(F3963&lt;5, 0, F3963))</f>
        <v/>
      </c>
      <c r="E3963">
        <f>VLOOKUP(B3963,[1]Namshi!$A:$B,2,0)</f>
        <v/>
      </c>
      <c r="F3963" s="4">
        <f>SUMIFS('Dubai Stock'!I:I,'Dubai Stock'!H:H,Final_UAE!B:B)</f>
        <v/>
      </c>
      <c r="H3963" s="8" t="e">
        <v>#N/A</v>
      </c>
      <c r="I3963" s="8" t="n"/>
    </row>
    <row r="3964">
      <c r="A3964" s="4" t="n">
        <v>33834</v>
      </c>
      <c r="B3964" s="4" t="inlineStr">
        <is>
          <t>clstdai-lay-cont-p60-dazzle-brown-sn0350</t>
        </is>
      </c>
      <c r="C3964" s="4" t="inlineStr">
        <is>
          <t>W00031886A</t>
        </is>
      </c>
      <c r="D3964" s="6">
        <f>IF(F3964&gt;=5, F3964-5, IF(F3964&lt;5, 0, F3964))</f>
        <v/>
      </c>
      <c r="E3964">
        <f>VLOOKUP(B3964,[1]Namshi!$A:$B,2,0)</f>
        <v/>
      </c>
      <c r="F3964" s="4">
        <f>SUMIFS('Dubai Stock'!I:I,'Dubai Stock'!H:H,Final_UAE!B:B)</f>
        <v/>
      </c>
      <c r="H3964" s="8" t="e">
        <v>#N/A</v>
      </c>
      <c r="I3964" s="8" t="n"/>
    </row>
    <row r="3965">
      <c r="A3965" s="4" t="n">
        <v>33834</v>
      </c>
      <c r="B3965" s="4" t="inlineStr">
        <is>
          <t>costdai-ama-dail-p10-moon-stone-sn0100</t>
        </is>
      </c>
      <c r="C3965" s="4" t="inlineStr">
        <is>
          <t>W00031886A</t>
        </is>
      </c>
      <c r="D3965" s="6">
        <f>IF(F3965&gt;=5, F3965-5, IF(F3965&lt;5, 0, F3965))</f>
        <v/>
      </c>
      <c r="E3965">
        <f>VLOOKUP(B3965,[1]Namshi!$A:$B,2,0)</f>
        <v/>
      </c>
      <c r="F3965" s="4">
        <f>SUMIFS('Dubai Stock'!I:I,'Dubai Stock'!H:H,Final_UAE!B:B)</f>
        <v/>
      </c>
      <c r="H3965" s="8" t="e">
        <v>#N/A</v>
      </c>
      <c r="I3965" s="8" t="n"/>
    </row>
    <row r="3966">
      <c r="A3966" s="4" t="n">
        <v>33834</v>
      </c>
      <c r="B3966" s="4" t="inlineStr">
        <is>
          <t>costmon-ama-2024-p02-matcha-sn0375</t>
        </is>
      </c>
      <c r="C3966" s="4" t="inlineStr">
        <is>
          <t>W00031886A</t>
        </is>
      </c>
      <c r="D3966" s="6">
        <f>IF(F3966&gt;=5, F3966-5, IF(F3966&lt;5, 0, F3966))</f>
        <v/>
      </c>
      <c r="E3966">
        <f>VLOOKUP(B3966,[1]Namshi!$A:$B,2,0)</f>
        <v/>
      </c>
      <c r="F3966" s="4">
        <f>SUMIFS('Dubai Stock'!I:I,'Dubai Stock'!H:H,Final_UAE!B:B)</f>
        <v/>
      </c>
      <c r="H3966" s="8" t="e">
        <v>#N/A</v>
      </c>
      <c r="I3966" s="8" t="n"/>
    </row>
    <row r="3967">
      <c r="A3967" s="4" t="n">
        <v>33834</v>
      </c>
      <c r="B3967" s="4" t="inlineStr">
        <is>
          <t>saccase-30s-gre-beige</t>
        </is>
      </c>
      <c r="C3967" s="4" t="inlineStr">
        <is>
          <t>W00031886A</t>
        </is>
      </c>
      <c r="D3967" s="6">
        <f>IF(F3967&gt;=5, F3967-5, IF(F3967&lt;5, 0, F3967))</f>
        <v/>
      </c>
      <c r="E3967">
        <f>VLOOKUP(B3967,[1]Namshi!$A:$B,2,0)</f>
        <v/>
      </c>
      <c r="F3967" s="4">
        <f>SUMIFS('Dubai Stock'!I:I,'Dubai Stock'!H:H,Final_UAE!B:B)</f>
        <v/>
      </c>
      <c r="H3967" s="8" t="e">
        <v>#N/A</v>
      </c>
      <c r="I3967" s="8" t="n"/>
    </row>
    <row r="3968">
      <c r="A3968" s="4" t="n">
        <v>33834</v>
      </c>
      <c r="B3968" s="4" t="inlineStr">
        <is>
          <t>clstdai-acu-dfrb-p60-sn0425</t>
        </is>
      </c>
      <c r="C3968" s="4" t="inlineStr">
        <is>
          <t>W00031886A</t>
        </is>
      </c>
      <c r="D3968" s="6">
        <f>IF(F3968&gt;=5, F3968-5, IF(F3968&lt;5, 0, F3968))</f>
        <v/>
      </c>
      <c r="E3968">
        <f>VLOOKUP(B3968,[1]Namshi!$A:$B,2,0)</f>
        <v/>
      </c>
      <c r="F3968" s="4">
        <f>SUMIFS('Dubai Stock'!I:I,'Dubai Stock'!H:H,Final_UAE!B:B)</f>
        <v/>
      </c>
      <c r="H3968" s="8" t="e">
        <v>#N/A</v>
      </c>
      <c r="I3968" s="8" t="n"/>
    </row>
    <row r="3969">
      <c r="A3969" s="4" t="n">
        <v>33834</v>
      </c>
      <c r="B3969" s="4" t="inlineStr">
        <is>
          <t>fc31218-bab-00555-1218d-47</t>
        </is>
      </c>
      <c r="C3969" s="4" t="inlineStr">
        <is>
          <t>W00031886A</t>
        </is>
      </c>
      <c r="D3969" s="6">
        <f>IF(F3969&gt;=5, F3969-5, IF(F3969&lt;5, 0, F3969))</f>
        <v/>
      </c>
      <c r="E3969">
        <f>VLOOKUP(B3969,[1]Namshi!$A:$B,2,0)</f>
        <v/>
      </c>
      <c r="F3969" s="4">
        <f>SUMIFS('Dubai Stock'!I:I,'Dubai Stock'!H:H,Final_UAE!B:B)</f>
        <v/>
      </c>
      <c r="H3969" s="8" t="e">
        <v>#N/A</v>
      </c>
      <c r="I3969" s="8" t="n"/>
    </row>
    <row r="3970">
      <c r="A3970" s="4" t="n">
        <v>33834</v>
      </c>
      <c r="B3970" s="4" t="inlineStr">
        <is>
          <t>clstdai-acu-oasy-p90-sn0950</t>
        </is>
      </c>
      <c r="C3970" s="4" t="inlineStr">
        <is>
          <t>W00031886A</t>
        </is>
      </c>
      <c r="D3970" s="6">
        <f>IF(F3970&gt;=5, F3970-5, IF(F3970&lt;5, 0, F3970))</f>
        <v/>
      </c>
      <c r="E3970">
        <f>VLOOKUP(B3970,[1]Namshi!$A:$B,2,0)</f>
        <v/>
      </c>
      <c r="F3970" s="4">
        <f>SUMIFS('Dubai Stock'!I:I,'Dubai Stock'!H:H,Final_UAE!B:B)</f>
        <v/>
      </c>
      <c r="H3970" s="8" t="e">
        <v>#N/A</v>
      </c>
      <c r="I3970" s="8" t="n"/>
    </row>
    <row r="3971">
      <c r="A3971" s="4" t="n">
        <v>33834</v>
      </c>
      <c r="B3971" s="4" t="inlineStr">
        <is>
          <t>clstbiw-acu-0002-p06-sn0275</t>
        </is>
      </c>
      <c r="C3971" s="4" t="inlineStr">
        <is>
          <t>W00031886A</t>
        </is>
      </c>
      <c r="D3971" s="6">
        <f>IF(F3971&gt;=5, F3971-5, IF(F3971&lt;5, 0, F3971))</f>
        <v/>
      </c>
      <c r="E3971">
        <f>VLOOKUP(B3971,[1]Namshi!$A:$B,2,0)</f>
        <v/>
      </c>
      <c r="F3971" s="4">
        <f>SUMIFS('Dubai Stock'!I:I,'Dubai Stock'!H:H,Final_UAE!B:B)</f>
        <v/>
      </c>
      <c r="H3971" s="8" t="e">
        <v>#N/A</v>
      </c>
      <c r="I3971" s="8" t="n"/>
    </row>
    <row r="3972">
      <c r="A3972" s="4" t="n">
        <v>33834</v>
      </c>
      <c r="B3972" s="4" t="inlineStr">
        <is>
          <t>clstdai-acu-oasy-p30-sn0125</t>
        </is>
      </c>
      <c r="C3972" s="4" t="inlineStr">
        <is>
          <t>W00031886A</t>
        </is>
      </c>
      <c r="D3972" s="6">
        <f>IF(F3972&gt;=5, F3972-5, IF(F3972&lt;5, 0, F3972))</f>
        <v/>
      </c>
      <c r="E3972">
        <f>VLOOKUP(B3972,[1]Namshi!$A:$B,2,0)</f>
        <v/>
      </c>
      <c r="F3972" s="4">
        <f>SUMIFS('Dubai Stock'!I:I,'Dubai Stock'!H:H,Final_UAE!B:B)</f>
        <v/>
      </c>
      <c r="H3972" s="8" t="e">
        <v>#N/A</v>
      </c>
      <c r="I3972" s="8" t="n"/>
    </row>
    <row r="3973">
      <c r="A3973" s="4" t="n">
        <v>33834</v>
      </c>
      <c r="B3973" s="4" t="inlineStr">
        <is>
          <t>clstdai-acu-mois-p60-sn0375</t>
        </is>
      </c>
      <c r="C3973" s="4" t="inlineStr">
        <is>
          <t>W00031886A</t>
        </is>
      </c>
      <c r="D3973" s="6">
        <f>IF(F3973&gt;=5, F3973-5, IF(F3973&lt;5, 0, F3973))</f>
        <v/>
      </c>
      <c r="E3973">
        <f>VLOOKUP(B3973,[1]Namshi!$A:$B,2,0)</f>
        <v/>
      </c>
      <c r="F3973" s="4">
        <f>SUMIFS('Dubai Stock'!I:I,'Dubai Stock'!H:H,Final_UAE!B:B)</f>
        <v/>
      </c>
      <c r="H3973" s="8" t="e">
        <v>#N/A</v>
      </c>
      <c r="I3973" s="8" t="n"/>
    </row>
    <row r="3974">
      <c r="A3974" s="4" t="n">
        <v>33834</v>
      </c>
      <c r="B3974" s="4" t="inlineStr">
        <is>
          <t>sw20507-bla-000206-2707-57</t>
        </is>
      </c>
      <c r="C3974" s="4" t="inlineStr">
        <is>
          <t>W00031886A</t>
        </is>
      </c>
      <c r="D3974" s="6">
        <f>IF(F3974&gt;=5, F3974-5, IF(F3974&lt;5, 0, F3974))</f>
        <v/>
      </c>
      <c r="E3974">
        <f>VLOOKUP(B3974,[1]Namshi!$A:$B,2,0)</f>
        <v/>
      </c>
      <c r="F3974" s="4">
        <f>SUMIFS('Dubai Stock'!I:I,'Dubai Stock'!H:H,Final_UAE!B:B)</f>
        <v/>
      </c>
      <c r="H3974" s="8" t="e">
        <v>#N/A</v>
      </c>
    </row>
    <row r="3975">
      <c r="A3975" s="4" t="n">
        <v>33834</v>
      </c>
      <c r="B3975" s="4" t="inlineStr">
        <is>
          <t>sw42107-bla-000330-2107-53</t>
        </is>
      </c>
      <c r="C3975" s="4" t="inlineStr">
        <is>
          <t>W00031886A</t>
        </is>
      </c>
      <c r="D3975" s="6">
        <f>IF(F3975&gt;=5, F3975-5, IF(F3975&lt;5, 0, F3975))</f>
        <v/>
      </c>
      <c r="E3975">
        <f>VLOOKUP(B3975,[1]Namshi!$A:$B,2,0)</f>
        <v/>
      </c>
      <c r="F3975" s="4">
        <f>SUMIFS('Dubai Stock'!I:I,'Dubai Stock'!H:H,Final_UAE!B:B)</f>
        <v/>
      </c>
      <c r="H3975" s="8" t="e">
        <v>#N/A</v>
      </c>
    </row>
    <row r="3976">
      <c r="A3976" s="4" t="n">
        <v>33834</v>
      </c>
      <c r="B3976" s="4" t="inlineStr">
        <is>
          <t>su50109-bla-000105-0107-59</t>
        </is>
      </c>
      <c r="C3976" s="4" t="inlineStr">
        <is>
          <t>W00031886A</t>
        </is>
      </c>
      <c r="D3976" s="6">
        <f>IF(F3976&gt;=5, F3976-5, IF(F3976&lt;5, 0, F3976))</f>
        <v/>
      </c>
      <c r="E3976">
        <f>VLOOKUP(B3976,[1]Namshi!$A:$B,2,0)</f>
        <v/>
      </c>
      <c r="F3976" s="4">
        <f>SUMIFS('Dubai Stock'!I:I,'Dubai Stock'!H:H,Final_UAE!B:B)</f>
        <v/>
      </c>
      <c r="H3976" s="8" t="e">
        <v>#N/A</v>
      </c>
    </row>
    <row r="3977">
      <c r="A3977" s="4" t="n">
        <v>33834</v>
      </c>
      <c r="B3977" s="4" t="inlineStr">
        <is>
          <t>costmon-ama-2020-p02-charcoal-gray-sn0575</t>
        </is>
      </c>
      <c r="C3977" s="4" t="inlineStr">
        <is>
          <t>W00031886A</t>
        </is>
      </c>
      <c r="D3977" s="6">
        <f>IF(F3977&gt;=5, F3977-5, IF(F3977&lt;5, 0, F3977))</f>
        <v/>
      </c>
      <c r="E3977">
        <f>VLOOKUP(B3977,[1]Namshi!$A:$B,2,0)</f>
        <v/>
      </c>
      <c r="F3977" s="4">
        <f>SUMIFS('Dubai Stock'!I:I,'Dubai Stock'!H:H,Final_UAE!B:B)</f>
        <v/>
      </c>
      <c r="H3977" s="8" t="e">
        <v>#N/A</v>
      </c>
      <c r="I3977" s="8" t="n"/>
    </row>
    <row r="3978">
      <c r="A3978" s="4" t="n">
        <v>33834</v>
      </c>
      <c r="B3978" s="4" t="inlineStr">
        <is>
          <t>sunglasses-30Sundays-30s-000452-0607</t>
        </is>
      </c>
      <c r="C3978" s="4" t="inlineStr">
        <is>
          <t>W00031886A</t>
        </is>
      </c>
      <c r="D3978" s="6">
        <f>IF(F3978&gt;=5, F3978-5, IF(F3978&lt;5, 0, F3978))</f>
        <v/>
      </c>
      <c r="E3978">
        <f>VLOOKUP(B3978,[1]Namshi!$A:$B,2,0)</f>
        <v/>
      </c>
      <c r="F3978" s="4">
        <f>SUMIFS('Dubai Stock'!I:I,'Dubai Stock'!H:H,Final_UAE!B:B)</f>
        <v/>
      </c>
      <c r="H3978" s="8" t="e">
        <v>#N/A</v>
      </c>
      <c r="I3978" s="8" t="n"/>
    </row>
    <row r="3979">
      <c r="A3979" s="4" t="n">
        <v>33834</v>
      </c>
      <c r="B3979" s="4" t="inlineStr">
        <is>
          <t>clstdai-acu-dfvi-p60-sn0225</t>
        </is>
      </c>
      <c r="C3979" s="4" t="inlineStr">
        <is>
          <t>W00031886A</t>
        </is>
      </c>
      <c r="D3979" s="6">
        <f>IF(F3979&gt;=5, F3979-5, IF(F3979&lt;5, 0, F3979))</f>
        <v/>
      </c>
      <c r="E3979">
        <f>VLOOKUP(B3979,[1]Namshi!$A:$B,2,0)</f>
        <v/>
      </c>
      <c r="F3979" s="4">
        <f>SUMIFS('Dubai Stock'!I:I,'Dubai Stock'!H:H,Final_UAE!B:B)</f>
        <v/>
      </c>
      <c r="H3979" s="8" t="e">
        <v>#N/A</v>
      </c>
      <c r="I3979" s="8" t="n"/>
    </row>
    <row r="3980">
      <c r="A3980" s="4" t="n">
        <v>33834</v>
      </c>
      <c r="B3980" s="4" t="inlineStr">
        <is>
          <t>costdai-acu-dffr-p10-grayzel-sn0250</t>
        </is>
      </c>
      <c r="C3980" s="4" t="inlineStr">
        <is>
          <t>W00031886A</t>
        </is>
      </c>
      <c r="D3980" s="6">
        <f>IF(F3980&gt;=5, F3980-5, IF(F3980&lt;5, 0, F3980))</f>
        <v/>
      </c>
      <c r="E3980">
        <f>VLOOKUP(B3980,[1]Namshi!$A:$B,2,0)</f>
        <v/>
      </c>
      <c r="F3980" s="4">
        <f>SUMIFS('Dubai Stock'!I:I,'Dubai Stock'!H:H,Final_UAE!B:B)</f>
        <v/>
      </c>
      <c r="H3980" s="8" t="e">
        <v>#N/A</v>
      </c>
      <c r="I3980" s="8" t="n"/>
    </row>
    <row r="3981">
      <c r="A3981" s="4" t="n">
        <v>33834</v>
      </c>
      <c r="B3981" s="4" t="inlineStr">
        <is>
          <t>clstdai-sof-sdai-p30-sp0375</t>
        </is>
      </c>
      <c r="C3981" s="4" t="inlineStr">
        <is>
          <t>W00031886A</t>
        </is>
      </c>
      <c r="D3981" s="6">
        <f>IF(F3981&gt;=5, F3981-5, IF(F3981&lt;5, 0, F3981))</f>
        <v/>
      </c>
      <c r="E3981">
        <f>VLOOKUP(B3981,[1]Namshi!$A:$B,2,0)</f>
        <v/>
      </c>
      <c r="F3981" s="4">
        <f>SUMIFS('Dubai Stock'!I:I,'Dubai Stock'!H:H,Final_UAE!B:B)</f>
        <v/>
      </c>
      <c r="H3981" s="8" t="e">
        <v>#N/A</v>
      </c>
      <c r="I3981" s="8" t="n"/>
    </row>
    <row r="3982">
      <c r="A3982" s="4" t="n">
        <v>33834</v>
      </c>
      <c r="B3982" s="4" t="inlineStr">
        <is>
          <t>sm21304-30s-000219-1304-50</t>
        </is>
      </c>
      <c r="C3982" s="4" t="inlineStr">
        <is>
          <t>W00031886A</t>
        </is>
      </c>
      <c r="D3982" s="6">
        <f>IF(F3982&gt;=5, F3982-5, IF(F3982&lt;5, 0, F3982))</f>
        <v/>
      </c>
      <c r="E3982">
        <f>VLOOKUP(B3982,[1]Namshi!$A:$B,2,0)</f>
        <v/>
      </c>
      <c r="F3982" s="4">
        <f>SUMIFS('Dubai Stock'!I:I,'Dubai Stock'!H:H,Final_UAE!B:B)</f>
        <v/>
      </c>
      <c r="H3982" s="8" t="e">
        <v>#N/A</v>
      </c>
      <c r="I3982" s="8" t="n"/>
    </row>
    <row r="3983">
      <c r="A3983" s="4" t="n">
        <v>33834</v>
      </c>
      <c r="B3983" s="4" t="inlineStr">
        <is>
          <t>clstdai-btr-oned-p30-sn0575</t>
        </is>
      </c>
      <c r="C3983" s="4" t="inlineStr">
        <is>
          <t>W00031886A</t>
        </is>
      </c>
      <c r="D3983" s="6">
        <f>IF(F3983&gt;=5, F3983-5, IF(F3983&lt;5, 0, F3983))</f>
        <v/>
      </c>
      <c r="E3983">
        <f>VLOOKUP(B3983,[1]Namshi!$A:$B,2,0)</f>
        <v/>
      </c>
      <c r="F3983" s="4">
        <f>SUMIFS('Dubai Stock'!I:I,'Dubai Stock'!H:H,Final_UAE!B:B)</f>
        <v/>
      </c>
      <c r="H3983" s="8" t="e">
        <v>#N/A</v>
      </c>
      <c r="I3983" s="8" t="n"/>
    </row>
    <row r="3984">
      <c r="A3984" s="4" t="n">
        <v>33834</v>
      </c>
      <c r="B3984" s="4" t="inlineStr">
        <is>
          <t>costdai-acu-dffr-p10-grayzel-sn0500</t>
        </is>
      </c>
      <c r="C3984" s="4" t="inlineStr">
        <is>
          <t>W00031886A</t>
        </is>
      </c>
      <c r="D3984" s="6">
        <f>IF(F3984&gt;=5, F3984-5, IF(F3984&lt;5, 0, F3984))</f>
        <v/>
      </c>
      <c r="E3984">
        <f>VLOOKUP(B3984,[1]Namshi!$A:$B,2,0)</f>
        <v/>
      </c>
      <c r="F3984" s="4">
        <f>SUMIFS('Dubai Stock'!I:I,'Dubai Stock'!H:H,Final_UAE!B:B)</f>
        <v/>
      </c>
      <c r="H3984" s="8" t="e">
        <v>#N/A</v>
      </c>
      <c r="I3984" s="8" t="n"/>
    </row>
    <row r="3985">
      <c r="A3985" s="4" t="n">
        <v>33834</v>
      </c>
      <c r="B3985" s="4" t="inlineStr">
        <is>
          <t>costdai-acu-dffr-p10-hazel-sn0525</t>
        </is>
      </c>
      <c r="C3985" s="4" t="inlineStr">
        <is>
          <t>W00031886A</t>
        </is>
      </c>
      <c r="D3985" s="6">
        <f>IF(F3985&gt;=5, F3985-5, IF(F3985&lt;5, 0, F3985))</f>
        <v/>
      </c>
      <c r="E3985">
        <f>VLOOKUP(B3985,[1]Namshi!$A:$B,2,0)</f>
        <v/>
      </c>
      <c r="F3985" s="4">
        <f>SUMIFS('Dubai Stock'!I:I,'Dubai Stock'!H:H,Final_UAE!B:B)</f>
        <v/>
      </c>
      <c r="H3985" s="8" t="e">
        <v>#N/A</v>
      </c>
      <c r="I3985" s="8" t="n"/>
    </row>
    <row r="3986">
      <c r="A3986" s="4" t="n">
        <v>33834</v>
      </c>
      <c r="B3986" s="4" t="inlineStr">
        <is>
          <t>clstdai-acu-oasy-p90-sp0300</t>
        </is>
      </c>
      <c r="C3986" s="4" t="inlineStr">
        <is>
          <t>W00031886A</t>
        </is>
      </c>
      <c r="D3986" s="6">
        <f>IF(F3986&gt;=5, F3986-5, IF(F3986&lt;5, 0, F3986))</f>
        <v/>
      </c>
      <c r="E3986">
        <f>VLOOKUP(B3986,[1]Namshi!$A:$B,2,0)</f>
        <v/>
      </c>
      <c r="F3986" s="4">
        <f>SUMIFS('Dubai Stock'!I:I,'Dubai Stock'!H:H,Final_UAE!B:B)</f>
        <v/>
      </c>
      <c r="H3986" s="8" t="e">
        <v>#N/A</v>
      </c>
      <c r="I3986" s="8" t="n"/>
    </row>
    <row r="3987">
      <c r="A3987" s="4" t="n">
        <v>33834</v>
      </c>
      <c r="B3987" s="4" t="inlineStr">
        <is>
          <t>sw40404-bla-000232-0404-52</t>
        </is>
      </c>
      <c r="C3987" s="4" t="inlineStr">
        <is>
          <t>W00031886A</t>
        </is>
      </c>
      <c r="D3987" s="6">
        <f>IF(F3987&gt;=5, F3987-5, IF(F3987&lt;5, 0, F3987))</f>
        <v/>
      </c>
      <c r="E3987">
        <f>VLOOKUP(B3987,[1]Namshi!$A:$B,2,0)</f>
        <v/>
      </c>
      <c r="F3987" s="4">
        <f>SUMIFS('Dubai Stock'!I:I,'Dubai Stock'!H:H,Final_UAE!B:B)</f>
        <v/>
      </c>
      <c r="H3987" s="8" t="e">
        <v>#N/A</v>
      </c>
    </row>
    <row r="3988">
      <c r="A3988" s="4" t="n">
        <v>33834</v>
      </c>
      <c r="B3988" s="4" t="inlineStr">
        <is>
          <t>clstmon-sof-sl59-p06-sp0550</t>
        </is>
      </c>
      <c r="C3988" s="4" t="inlineStr">
        <is>
          <t>W00031886A</t>
        </is>
      </c>
      <c r="D3988" s="6">
        <f>IF(F3988&gt;=5, F3988-5, IF(F3988&lt;5, 0, F3988))</f>
        <v/>
      </c>
      <c r="E3988">
        <f>VLOOKUP(B3988,[1]Namshi!$A:$B,2,0)</f>
        <v/>
      </c>
      <c r="F3988" s="4">
        <f>SUMIFS('Dubai Stock'!I:I,'Dubai Stock'!H:H,Final_UAE!B:B)</f>
        <v/>
      </c>
      <c r="H3988" s="8" t="e">
        <v>#N/A</v>
      </c>
      <c r="I3988" s="8" t="n"/>
    </row>
    <row r="3989">
      <c r="A3989" s="4" t="n">
        <v>33834</v>
      </c>
      <c r="B3989" s="4" t="inlineStr">
        <is>
          <t>costdai-ama-dail-p10-honey-sn0750</t>
        </is>
      </c>
      <c r="C3989" s="4" t="inlineStr">
        <is>
          <t>W00031886A</t>
        </is>
      </c>
      <c r="D3989" s="6">
        <f>IF(F3989&gt;=5, F3989-5, IF(F3989&lt;5, 0, F3989))</f>
        <v/>
      </c>
      <c r="E3989">
        <f>VLOOKUP(B3989,[1]Namshi!$A:$B,2,0)</f>
        <v/>
      </c>
      <c r="F3989" s="4">
        <f>SUMIFS('Dubai Stock'!I:I,'Dubai Stock'!H:H,Final_UAE!B:B)</f>
        <v/>
      </c>
      <c r="H3989" s="8" t="e">
        <v>#N/A</v>
      </c>
      <c r="I3989" s="8" t="n"/>
    </row>
    <row r="3990">
      <c r="A3990" s="4" t="n">
        <v>33834</v>
      </c>
      <c r="B3990" s="4" t="inlineStr">
        <is>
          <t>clstdai-acu-dfna-p90-sn0800</t>
        </is>
      </c>
      <c r="C3990" s="4" t="inlineStr">
        <is>
          <t>W00031886A</t>
        </is>
      </c>
      <c r="D3990" s="6">
        <f>IF(F3990&gt;=5, F3990-5, IF(F3990&lt;5, 0, F3990))</f>
        <v/>
      </c>
      <c r="E3990">
        <f>VLOOKUP(B3990,[1]Namshi!$A:$B,2,0)</f>
        <v/>
      </c>
      <c r="F3990" s="4">
        <f>SUMIFS('Dubai Stock'!I:I,'Dubai Stock'!H:H,Final_UAE!B:B)</f>
        <v/>
      </c>
      <c r="H3990" s="8" t="e">
        <v>#N/A</v>
      </c>
      <c r="I3990" s="8" t="n"/>
    </row>
    <row r="3991">
      <c r="A3991" s="4" t="n">
        <v>33834</v>
      </c>
      <c r="B3991" s="4" t="inlineStr">
        <is>
          <t>cost3mo-lay-lens-p02-forest-green-sn0225</t>
        </is>
      </c>
      <c r="C3991" s="4" t="inlineStr">
        <is>
          <t>W00031886A</t>
        </is>
      </c>
      <c r="D3991" s="6">
        <f>IF(F3991&gt;=5, F3991-5, IF(F3991&lt;5, 0, F3991))</f>
        <v/>
      </c>
      <c r="E3991">
        <f>VLOOKUP(B3991,[1]Namshi!$A:$B,2,0)</f>
        <v/>
      </c>
      <c r="F3991" s="4">
        <f>SUMIFS('Dubai Stock'!I:I,'Dubai Stock'!H:H,Final_UAE!B:B)</f>
        <v/>
      </c>
      <c r="H3991" s="8" t="e">
        <v>#N/A</v>
      </c>
      <c r="I3991" s="8" t="n"/>
    </row>
    <row r="3992">
      <c r="A3992" s="4" t="n">
        <v>33834</v>
      </c>
      <c r="B3992" s="4" t="inlineStr">
        <is>
          <t>clstdai-bme-1day-p30-sn0500</t>
        </is>
      </c>
      <c r="C3992" s="4" t="inlineStr">
        <is>
          <t>W00031886A</t>
        </is>
      </c>
      <c r="D3992" s="6">
        <f>IF(F3992&gt;=5, F3992-5, IF(F3992&lt;5, 0, F3992))</f>
        <v/>
      </c>
      <c r="E3992">
        <f>VLOOKUP(B3992,[1]Namshi!$A:$B,2,0)</f>
        <v/>
      </c>
      <c r="F3992" s="4">
        <f>SUMIFS('Dubai Stock'!I:I,'Dubai Stock'!H:H,Final_UAE!B:B)</f>
        <v/>
      </c>
      <c r="H3992" s="8" t="e">
        <v>#N/A</v>
      </c>
      <c r="I3992" s="8" t="n"/>
    </row>
    <row r="3993">
      <c r="A3993" s="4" t="n">
        <v>33834</v>
      </c>
      <c r="B3993" s="4" t="inlineStr">
        <is>
          <t>clstdai-acu-dfvi-p90-sn0900</t>
        </is>
      </c>
      <c r="C3993" s="4" t="inlineStr">
        <is>
          <t>W00031886A</t>
        </is>
      </c>
      <c r="D3993" s="6">
        <f>IF(F3993&gt;=5, F3993-5, IF(F3993&lt;5, 0, F3993))</f>
        <v/>
      </c>
      <c r="E3993">
        <f>VLOOKUP(B3993,[1]Namshi!$A:$B,2,0)</f>
        <v/>
      </c>
      <c r="F3993" s="4">
        <f>SUMIFS('Dubai Stock'!I:I,'Dubai Stock'!H:H,Final_UAE!B:B)</f>
        <v/>
      </c>
      <c r="H3993" s="8" t="e">
        <v>#N/A</v>
      </c>
      <c r="I3993" s="8" t="n"/>
    </row>
    <row r="3994">
      <c r="A3994" s="4" t="n">
        <v>33834</v>
      </c>
      <c r="B3994" s="4" t="inlineStr">
        <is>
          <t>sacchan-30s-chain120-rsg-gia-ii-rose-gold</t>
        </is>
      </c>
      <c r="C3994" s="4" t="inlineStr">
        <is>
          <t>W00031886A</t>
        </is>
      </c>
      <c r="D3994" s="6">
        <f>IF(F3994&gt;=5, F3994-5, IF(F3994&lt;5, 0, F3994))</f>
        <v/>
      </c>
      <c r="E3994">
        <f>VLOOKUP(B3994,[1]Namshi!$A:$B,2,0)</f>
        <v/>
      </c>
      <c r="F3994" s="4">
        <f>SUMIFS('Dubai Stock'!I:I,'Dubai Stock'!H:H,Final_UAE!B:B)</f>
        <v/>
      </c>
      <c r="H3994" s="8" t="e">
        <v>#N/A</v>
      </c>
      <c r="I3994" s="8" t="n"/>
    </row>
    <row r="3995">
      <c r="A3995" s="4" t="n">
        <v>33834</v>
      </c>
      <c r="B3995" s="4" t="inlineStr">
        <is>
          <t>cost3mo-lay-2022-p02-crescent-gray-sn0325</t>
        </is>
      </c>
      <c r="C3995" s="4" t="inlineStr">
        <is>
          <t>W00031886A</t>
        </is>
      </c>
      <c r="D3995" s="6">
        <f>IF(F3995&gt;=5, F3995-5, IF(F3995&lt;5, 0, F3995))</f>
        <v/>
      </c>
      <c r="E3995">
        <f>VLOOKUP(B3995,[1]Namshi!$A:$B,2,0)</f>
        <v/>
      </c>
      <c r="F3995" s="4">
        <f>SUMIFS('Dubai Stock'!I:I,'Dubai Stock'!H:H,Final_UAE!B:B)</f>
        <v/>
      </c>
      <c r="H3995" s="8" t="e">
        <v>#N/A</v>
      </c>
      <c r="I3995" s="8" t="n"/>
    </row>
    <row r="3996">
      <c r="A3996" s="4" t="n">
        <v>33834</v>
      </c>
      <c r="B3996" s="4" t="inlineStr">
        <is>
          <t>cost3mo-lay-2021-p02-sunkiss-brown-sn0100</t>
        </is>
      </c>
      <c r="C3996" s="4" t="inlineStr">
        <is>
          <t>W00031886A</t>
        </is>
      </c>
      <c r="D3996" s="6">
        <f>IF(F3996&gt;=5, F3996-5, IF(F3996&lt;5, 0, F3996))</f>
        <v/>
      </c>
      <c r="E3996">
        <f>VLOOKUP(B3996,[1]Namshi!$A:$B,2,0)</f>
        <v/>
      </c>
      <c r="F3996" s="4">
        <f>SUMIFS('Dubai Stock'!I:I,'Dubai Stock'!H:H,Final_UAE!B:B)</f>
        <v/>
      </c>
      <c r="H3996" s="8" t="e">
        <v>#N/A</v>
      </c>
      <c r="I3996" s="8" t="n"/>
    </row>
    <row r="3997">
      <c r="A3997" s="4" t="n">
        <v>33834</v>
      </c>
      <c r="B3997" s="4" t="inlineStr">
        <is>
          <t>sw32901-bla-000307-2901-55</t>
        </is>
      </c>
      <c r="C3997" s="4" t="inlineStr">
        <is>
          <t>W00031886A</t>
        </is>
      </c>
      <c r="D3997" s="6">
        <f>IF(F3997&gt;=5, F3997-5, IF(F3997&lt;5, 0, F3997))</f>
        <v/>
      </c>
      <c r="E3997">
        <f>VLOOKUP(B3997,[1]Namshi!$A:$B,2,0)</f>
        <v/>
      </c>
      <c r="F3997" s="4">
        <f>SUMIFS('Dubai Stock'!I:I,'Dubai Stock'!H:H,Final_UAE!B:B)</f>
        <v/>
      </c>
      <c r="H3997" s="8" t="e">
        <v>#N/A</v>
      </c>
    </row>
    <row r="3998">
      <c r="A3998" s="4" t="n">
        <v>33834</v>
      </c>
      <c r="B3998" s="4" t="inlineStr">
        <is>
          <t>clstbiw-acu-0002-p06-sp0450</t>
        </is>
      </c>
      <c r="C3998" s="4" t="inlineStr">
        <is>
          <t>W00031886A</t>
        </is>
      </c>
      <c r="D3998" s="6">
        <f>IF(F3998&gt;=5, F3998-5, IF(F3998&lt;5, 0, F3998))</f>
        <v/>
      </c>
      <c r="E3998">
        <f>VLOOKUP(B3998,[1]Namshi!$A:$B,2,0)</f>
        <v/>
      </c>
      <c r="F3998" s="4">
        <f>SUMIFS('Dubai Stock'!I:I,'Dubai Stock'!H:H,Final_UAE!B:B)</f>
        <v/>
      </c>
      <c r="H3998" s="8" t="e">
        <v>#N/A</v>
      </c>
      <c r="I3998" s="8" t="n"/>
    </row>
    <row r="3999">
      <c r="A3999" s="4" t="n">
        <v>33834</v>
      </c>
      <c r="B3999" s="4" t="inlineStr">
        <is>
          <t>clstdai-lay-cont-p30-dazzle-brown-sp0000</t>
        </is>
      </c>
      <c r="C3999" s="4" t="inlineStr">
        <is>
          <t>W00031886A</t>
        </is>
      </c>
      <c r="D3999" s="6">
        <f>IF(F3999&gt;=5, F3999-5, IF(F3999&lt;5, 0, F3999))</f>
        <v/>
      </c>
      <c r="E3999">
        <f>VLOOKUP(B3999,[1]Namshi!$A:$B,2,0)</f>
        <v/>
      </c>
      <c r="F3999" s="4">
        <f>SUMIFS('Dubai Stock'!I:I,'Dubai Stock'!H:H,Final_UAE!B:B)</f>
        <v/>
      </c>
      <c r="H3999" s="8" t="e">
        <v>#N/A</v>
      </c>
      <c r="I3999" s="8" t="n"/>
    </row>
    <row r="4000">
      <c r="A4000" s="4" t="n">
        <v>33834</v>
      </c>
      <c r="B4000" s="4" t="inlineStr">
        <is>
          <t>costmon-ama-2023-p02-chai-sn0325</t>
        </is>
      </c>
      <c r="C4000" s="4" t="inlineStr">
        <is>
          <t>W00031886A</t>
        </is>
      </c>
      <c r="D4000" s="6">
        <f>IF(F4000&gt;=5, F4000-5, IF(F4000&lt;5, 0, F4000))</f>
        <v/>
      </c>
      <c r="E4000">
        <f>VLOOKUP(B4000,[1]Namshi!$A:$B,2,0)</f>
        <v/>
      </c>
      <c r="F4000" s="4">
        <f>SUMIFS('Dubai Stock'!I:I,'Dubai Stock'!H:H,Final_UAE!B:B)</f>
        <v/>
      </c>
      <c r="H4000" s="8" t="e">
        <v>#N/A</v>
      </c>
      <c r="I4000" s="8" t="n"/>
    </row>
    <row r="4001">
      <c r="A4001" s="4" t="n">
        <v>33834</v>
      </c>
      <c r="B4001" s="4" t="inlineStr">
        <is>
          <t>clstbiw-acu-0002-p06-sn0750</t>
        </is>
      </c>
      <c r="C4001" s="4" t="inlineStr">
        <is>
          <t>W00031886A</t>
        </is>
      </c>
      <c r="D4001" s="6">
        <f>IF(F4001&gt;=5, F4001-5, IF(F4001&lt;5, 0, F4001))</f>
        <v/>
      </c>
      <c r="E4001">
        <f>VLOOKUP(B4001,[1]Namshi!$A:$B,2,0)</f>
        <v/>
      </c>
      <c r="F4001" s="4">
        <f>SUMIFS('Dubai Stock'!I:I,'Dubai Stock'!H:H,Final_UAE!B:B)</f>
        <v/>
      </c>
      <c r="H4001" s="8" t="e">
        <v>#N/A</v>
      </c>
      <c r="I4001" s="8" t="n"/>
    </row>
    <row r="4002">
      <c r="A4002" s="4" t="n">
        <v>33834</v>
      </c>
      <c r="B4002" s="4" t="inlineStr">
        <is>
          <t>costmon-ama-2020-p02-charcoal-gray-sn0100</t>
        </is>
      </c>
      <c r="C4002" s="4" t="inlineStr">
        <is>
          <t>W00031886A</t>
        </is>
      </c>
      <c r="D4002" s="6">
        <f>IF(F4002&gt;=5, F4002-5, IF(F4002&lt;5, 0, F4002))</f>
        <v/>
      </c>
      <c r="E4002">
        <f>VLOOKUP(B4002,[1]Namshi!$A:$B,2,0)</f>
        <v/>
      </c>
      <c r="F4002" s="4">
        <f>SUMIFS('Dubai Stock'!I:I,'Dubai Stock'!H:H,Final_UAE!B:B)</f>
        <v/>
      </c>
      <c r="H4002" s="8" t="e">
        <v>#N/A</v>
      </c>
      <c r="I4002" s="8" t="n"/>
    </row>
    <row r="4003">
      <c r="A4003" s="4" t="n">
        <v>33834</v>
      </c>
      <c r="B4003" s="4" t="inlineStr">
        <is>
          <t>costmon-ama-2020-p02-charcoal-gray-sn0600</t>
        </is>
      </c>
      <c r="C4003" s="4" t="inlineStr">
        <is>
          <t>W00031886A</t>
        </is>
      </c>
      <c r="D4003" s="6">
        <f>IF(F4003&gt;=5, F4003-5, IF(F4003&lt;5, 0, F4003))</f>
        <v/>
      </c>
      <c r="E4003">
        <f>VLOOKUP(B4003,[1]Namshi!$A:$B,2,0)</f>
        <v/>
      </c>
      <c r="F4003" s="4">
        <f>SUMIFS('Dubai Stock'!I:I,'Dubai Stock'!H:H,Final_UAE!B:B)</f>
        <v/>
      </c>
      <c r="H4003" s="8" t="e">
        <v>#N/A</v>
      </c>
      <c r="I4003" s="8" t="n"/>
    </row>
    <row r="4004">
      <c r="A4004" s="4" t="n">
        <v>33834</v>
      </c>
      <c r="B4004" s="4" t="inlineStr">
        <is>
          <t>clstdai-acu-oasy-p90-sp0375</t>
        </is>
      </c>
      <c r="C4004" s="4" t="inlineStr">
        <is>
          <t>W00031886A</t>
        </is>
      </c>
      <c r="D4004" s="6">
        <f>IF(F4004&gt;=5, F4004-5, IF(F4004&lt;5, 0, F4004))</f>
        <v/>
      </c>
      <c r="E4004">
        <f>VLOOKUP(B4004,[1]Namshi!$A:$B,2,0)</f>
        <v/>
      </c>
      <c r="F4004" s="4">
        <f>SUMIFS('Dubai Stock'!I:I,'Dubai Stock'!H:H,Final_UAE!B:B)</f>
        <v/>
      </c>
      <c r="H4004" s="8" t="e">
        <v>#N/A</v>
      </c>
      <c r="I4004" s="8" t="n"/>
    </row>
    <row r="4005">
      <c r="A4005" s="4" t="n">
        <v>33834</v>
      </c>
      <c r="B4005" s="4" t="inlineStr">
        <is>
          <t>costdai-ama-dail-p10-sugar-sn0550</t>
        </is>
      </c>
      <c r="C4005" s="4" t="inlineStr">
        <is>
          <t>W00031886A</t>
        </is>
      </c>
      <c r="D4005" s="6">
        <f>IF(F4005&gt;=5, F4005-5, IF(F4005&lt;5, 0, F4005))</f>
        <v/>
      </c>
      <c r="E4005">
        <f>VLOOKUP(B4005,[1]Namshi!$A:$B,2,0)</f>
        <v/>
      </c>
      <c r="F4005" s="4">
        <f>SUMIFS('Dubai Stock'!I:I,'Dubai Stock'!H:H,Final_UAE!B:B)</f>
        <v/>
      </c>
      <c r="H4005" s="8" t="e">
        <v>#N/A</v>
      </c>
      <c r="I4005" s="8" t="n"/>
    </row>
    <row r="4006">
      <c r="A4006" s="4" t="n">
        <v>33834</v>
      </c>
      <c r="B4006" s="4" t="inlineStr">
        <is>
          <t>costdai-acu-dffr-p10-grayzel-sn0150</t>
        </is>
      </c>
      <c r="C4006" s="4" t="inlineStr">
        <is>
          <t>W00031886A</t>
        </is>
      </c>
      <c r="D4006" s="6">
        <f>IF(F4006&gt;=5, F4006-5, IF(F4006&lt;5, 0, F4006))</f>
        <v/>
      </c>
      <c r="E4006">
        <f>VLOOKUP(B4006,[1]Namshi!$A:$B,2,0)</f>
        <v/>
      </c>
      <c r="F4006" s="4">
        <f>SUMIFS('Dubai Stock'!I:I,'Dubai Stock'!H:H,Final_UAE!B:B)</f>
        <v/>
      </c>
      <c r="H4006" s="8" t="e">
        <v>#N/A</v>
      </c>
      <c r="I4006" s="8" t="n"/>
    </row>
    <row r="4007">
      <c r="A4007" s="4" t="n">
        <v>33834</v>
      </c>
      <c r="B4007" s="4" t="inlineStr">
        <is>
          <t>fw50218-spc-000840-0218-53</t>
        </is>
      </c>
      <c r="C4007" s="4" t="inlineStr">
        <is>
          <t>W00031886A</t>
        </is>
      </c>
      <c r="D4007" s="6">
        <f>IF(F4007&gt;=5, F4007-5, IF(F4007&lt;5, 0, F4007))</f>
        <v/>
      </c>
      <c r="E4007">
        <f>VLOOKUP(B4007,[1]Namshi!$A:$B,2,0)</f>
        <v/>
      </c>
      <c r="F4007" s="4">
        <f>SUMIFS('Dubai Stock'!I:I,'Dubai Stock'!H:H,Final_UAE!B:B)</f>
        <v/>
      </c>
      <c r="H4007" s="8" t="e">
        <v>#N/A</v>
      </c>
      <c r="I4007" s="8" t="n"/>
    </row>
    <row r="4008">
      <c r="A4008" s="4" t="n">
        <v>33834</v>
      </c>
      <c r="B4008" s="4" t="inlineStr">
        <is>
          <t>costdai-ama-dail-p10-shadow-sn0950</t>
        </is>
      </c>
      <c r="C4008" s="4" t="inlineStr">
        <is>
          <t>W00031886A</t>
        </is>
      </c>
      <c r="D4008" s="6">
        <f>IF(F4008&gt;=5, F4008-5, IF(F4008&lt;5, 0, F4008))</f>
        <v/>
      </c>
      <c r="E4008">
        <f>VLOOKUP(B4008,[1]Namshi!$A:$B,2,0)</f>
        <v/>
      </c>
      <c r="F4008" s="4">
        <f>SUMIFS('Dubai Stock'!I:I,'Dubai Stock'!H:H,Final_UAE!B:B)</f>
        <v/>
      </c>
      <c r="H4008" s="8" t="e">
        <v>#N/A</v>
      </c>
      <c r="I4008" s="8" t="n"/>
    </row>
    <row r="4009">
      <c r="A4009" s="4" t="n">
        <v>33834</v>
      </c>
      <c r="B4009" s="4" t="inlineStr">
        <is>
          <t>costdai-acu-dffr-p30-hazel-sn0400</t>
        </is>
      </c>
      <c r="C4009" s="4" t="inlineStr">
        <is>
          <t>W00031886A</t>
        </is>
      </c>
      <c r="D4009" s="6">
        <f>IF(F4009&gt;=5, F4009-5, IF(F4009&lt;5, 0, F4009))</f>
        <v/>
      </c>
      <c r="E4009">
        <f>VLOOKUP(B4009,[1]Namshi!$A:$B,2,0)</f>
        <v/>
      </c>
      <c r="F4009" s="4">
        <f>SUMIFS('Dubai Stock'!I:I,'Dubai Stock'!H:H,Final_UAE!B:B)</f>
        <v/>
      </c>
      <c r="H4009" s="8" t="e">
        <v>#N/A</v>
      </c>
      <c r="I4009" s="8" t="n"/>
    </row>
    <row r="4010">
      <c r="A4010" s="4" t="n">
        <v>33834</v>
      </c>
      <c r="B4010" s="4" t="inlineStr">
        <is>
          <t>fw31218-spc-000825-1218-55</t>
        </is>
      </c>
      <c r="C4010" s="4" t="inlineStr">
        <is>
          <t>W00031886A</t>
        </is>
      </c>
      <c r="D4010" s="6">
        <f>IF(F4010&gt;=5, F4010-5, IF(F4010&lt;5, 0, F4010))</f>
        <v/>
      </c>
      <c r="E4010">
        <f>VLOOKUP(B4010,[1]Namshi!$A:$B,2,0)</f>
        <v/>
      </c>
      <c r="F4010" s="4">
        <f>SUMIFS('Dubai Stock'!I:I,'Dubai Stock'!H:H,Final_UAE!B:B)</f>
        <v/>
      </c>
      <c r="H4010" s="8" t="e">
        <v>#N/A</v>
      </c>
      <c r="I4010" s="8" t="n"/>
    </row>
    <row r="4011">
      <c r="A4011" s="4" t="n">
        <v>33834</v>
      </c>
      <c r="B4011" s="4" t="inlineStr">
        <is>
          <t>fm51318-spc-000816-1318-52</t>
        </is>
      </c>
      <c r="C4011" s="4" t="inlineStr">
        <is>
          <t>W00031886A</t>
        </is>
      </c>
      <c r="D4011" s="6">
        <f>IF(F4011&gt;=5, F4011-5, IF(F4011&lt;5, 0, F4011))</f>
        <v/>
      </c>
      <c r="E4011">
        <f>VLOOKUP(B4011,[1]Namshi!$A:$B,2,0)</f>
        <v/>
      </c>
      <c r="F4011" s="4">
        <f>SUMIFS('Dubai Stock'!I:I,'Dubai Stock'!H:H,Final_UAE!B:B)</f>
        <v/>
      </c>
      <c r="H4011" s="8" t="e">
        <v>#N/A</v>
      </c>
      <c r="I4011" s="8" t="n"/>
    </row>
    <row r="4012">
      <c r="A4012" s="4" t="n">
        <v>33834</v>
      </c>
      <c r="B4012" s="4" t="inlineStr">
        <is>
          <t>costdai-acu-dffr-p30-honey-sn0125</t>
        </is>
      </c>
      <c r="C4012" s="4" t="inlineStr">
        <is>
          <t>W00031886A</t>
        </is>
      </c>
      <c r="D4012" s="6">
        <f>IF(F4012&gt;=5, F4012-5, IF(F4012&lt;5, 0, F4012))</f>
        <v/>
      </c>
      <c r="E4012">
        <f>VLOOKUP(B4012,[1]Namshi!$A:$B,2,0)</f>
        <v/>
      </c>
      <c r="F4012" s="4">
        <f>SUMIFS('Dubai Stock'!I:I,'Dubai Stock'!H:H,Final_UAE!B:B)</f>
        <v/>
      </c>
      <c r="H4012" s="8" t="e">
        <v>#N/A</v>
      </c>
      <c r="I4012" s="8" t="n"/>
    </row>
    <row r="4013">
      <c r="A4013" s="4" t="n">
        <v>33834</v>
      </c>
      <c r="B4013" s="4" t="inlineStr">
        <is>
          <t>clstdai-dai-aqua-p90-sn0800</t>
        </is>
      </c>
      <c r="C4013" s="4" t="inlineStr">
        <is>
          <t>W00031886A</t>
        </is>
      </c>
      <c r="D4013" s="6">
        <f>IF(F4013&gt;=5, F4013-5, IF(F4013&lt;5, 0, F4013))</f>
        <v/>
      </c>
      <c r="E4013">
        <f>VLOOKUP(B4013,[1]Namshi!$A:$B,2,0)</f>
        <v/>
      </c>
      <c r="F4013" s="4">
        <f>SUMIFS('Dubai Stock'!I:I,'Dubai Stock'!H:H,Final_UAE!B:B)</f>
        <v/>
      </c>
      <c r="H4013" s="8" t="e">
        <v>#N/A</v>
      </c>
      <c r="I4013" s="8" t="n"/>
    </row>
    <row r="4014">
      <c r="A4014" s="4" t="n">
        <v>33834</v>
      </c>
      <c r="B4014" s="4" t="inlineStr">
        <is>
          <t>clstdai-sof-sdai-p30-sn0450</t>
        </is>
      </c>
      <c r="C4014" s="4" t="inlineStr">
        <is>
          <t>W00031886A</t>
        </is>
      </c>
      <c r="D4014" s="6">
        <f>IF(F4014&gt;=5, F4014-5, IF(F4014&lt;5, 0, F4014))</f>
        <v/>
      </c>
      <c r="E4014">
        <f>VLOOKUP(B4014,[1]Namshi!$A:$B,2,0)</f>
        <v/>
      </c>
      <c r="F4014" s="4">
        <f>SUMIFS('Dubai Stock'!I:I,'Dubai Stock'!H:H,Final_UAE!B:B)</f>
        <v/>
      </c>
      <c r="H4014" s="8" t="e">
        <v>#N/A</v>
      </c>
      <c r="I4014" s="8" t="n"/>
    </row>
    <row r="4015">
      <c r="A4015" s="4" t="n">
        <v>33834</v>
      </c>
      <c r="B4015" s="4" t="inlineStr">
        <is>
          <t>su21706-30s-000446-1706-52</t>
        </is>
      </c>
      <c r="C4015" s="4" t="inlineStr">
        <is>
          <t>W00031886A</t>
        </is>
      </c>
      <c r="D4015" s="6">
        <f>IF(F4015&gt;=5, F4015-5, IF(F4015&lt;5, 0, F4015))</f>
        <v/>
      </c>
      <c r="E4015">
        <f>VLOOKUP(B4015,[1]Namshi!$A:$B,2,0)</f>
        <v/>
      </c>
      <c r="F4015" s="4">
        <f>SUMIFS('Dubai Stock'!I:I,'Dubai Stock'!H:H,Final_UAE!B:B)</f>
        <v/>
      </c>
      <c r="H4015" s="8" t="e">
        <v>#N/A</v>
      </c>
    </row>
    <row r="4016">
      <c r="A4016" s="4" t="n">
        <v>33834</v>
      </c>
      <c r="B4016" s="4" t="inlineStr">
        <is>
          <t>clstdai-acu-mois-p90-sp0250</t>
        </is>
      </c>
      <c r="C4016" s="4" t="inlineStr">
        <is>
          <t>W00031886A</t>
        </is>
      </c>
      <c r="D4016" s="6">
        <f>IF(F4016&gt;=5, F4016-5, IF(F4016&lt;5, 0, F4016))</f>
        <v/>
      </c>
      <c r="E4016">
        <f>VLOOKUP(B4016,[1]Namshi!$A:$B,2,0)</f>
        <v/>
      </c>
      <c r="F4016" s="4">
        <f>SUMIFS('Dubai Stock'!I:I,'Dubai Stock'!H:H,Final_UAE!B:B)</f>
        <v/>
      </c>
      <c r="H4016" s="8" t="e">
        <v>#N/A</v>
      </c>
      <c r="I4016" s="8" t="n"/>
    </row>
    <row r="4017">
      <c r="A4017" s="4" t="n">
        <v>33834</v>
      </c>
      <c r="B4017" s="4" t="inlineStr">
        <is>
          <t>cost3mo-lay-lens-p02-golden-brown-sn0225</t>
        </is>
      </c>
      <c r="C4017" s="4" t="inlineStr">
        <is>
          <t>W00031886A</t>
        </is>
      </c>
      <c r="D4017" s="6">
        <f>IF(F4017&gt;=5, F4017-5, IF(F4017&lt;5, 0, F4017))</f>
        <v/>
      </c>
      <c r="E4017">
        <f>VLOOKUP(B4017,[1]Namshi!$A:$B,2,0)</f>
        <v/>
      </c>
      <c r="F4017" s="4">
        <f>SUMIFS('Dubai Stock'!I:I,'Dubai Stock'!H:H,Final_UAE!B:B)</f>
        <v/>
      </c>
      <c r="H4017" s="8" t="e">
        <v>#N/A</v>
      </c>
      <c r="I4017" s="8" t="n"/>
    </row>
    <row r="4018">
      <c r="A4018" s="4" t="n">
        <v>33834</v>
      </c>
      <c r="B4018" s="4" t="inlineStr">
        <is>
          <t>sw70202-30s-000282-0202-54</t>
        </is>
      </c>
      <c r="C4018" s="4" t="inlineStr">
        <is>
          <t>W00031886A</t>
        </is>
      </c>
      <c r="D4018" s="6">
        <f>IF(F4018&gt;=5, F4018-5, IF(F4018&lt;5, 0, F4018))</f>
        <v/>
      </c>
      <c r="E4018">
        <f>VLOOKUP(B4018,[1]Namshi!$A:$B,2,0)</f>
        <v/>
      </c>
      <c r="F4018" s="4">
        <f>SUMIFS('Dubai Stock'!I:I,'Dubai Stock'!H:H,Final_UAE!B:B)</f>
        <v/>
      </c>
      <c r="H4018" s="8" t="e">
        <v>#N/A</v>
      </c>
    </row>
    <row r="4019">
      <c r="A4019" s="4" t="n">
        <v>33834</v>
      </c>
      <c r="B4019" s="4" t="inlineStr">
        <is>
          <t>costdai-acu-dffr-p10-rose-sn0150</t>
        </is>
      </c>
      <c r="C4019" s="4" t="inlineStr">
        <is>
          <t>W00031886A</t>
        </is>
      </c>
      <c r="D4019" s="6">
        <f>IF(F4019&gt;=5, F4019-5, IF(F4019&lt;5, 0, F4019))</f>
        <v/>
      </c>
      <c r="E4019">
        <f>VLOOKUP(B4019,[1]Namshi!$A:$B,2,0)</f>
        <v/>
      </c>
      <c r="F4019" s="4">
        <f>SUMIFS('Dubai Stock'!I:I,'Dubai Stock'!H:H,Final_UAE!B:B)</f>
        <v/>
      </c>
      <c r="H4019" s="8" t="e">
        <v>#N/A</v>
      </c>
      <c r="I4019" s="8" t="n"/>
    </row>
    <row r="4020">
      <c r="A4020" s="4" t="n">
        <v>33834</v>
      </c>
      <c r="B4020" s="4" t="inlineStr">
        <is>
          <t>clstdai-lay-cont-p30-dazzle-black-sn0450</t>
        </is>
      </c>
      <c r="C4020" s="4" t="inlineStr">
        <is>
          <t>W00031886A</t>
        </is>
      </c>
      <c r="D4020" s="6">
        <f>IF(F4020&gt;=5, F4020-5, IF(F4020&lt;5, 0, F4020))</f>
        <v/>
      </c>
      <c r="E4020">
        <f>VLOOKUP(B4020,[1]Namshi!$A:$B,2,0)</f>
        <v/>
      </c>
      <c r="F4020" s="4">
        <f>SUMIFS('Dubai Stock'!I:I,'Dubai Stock'!H:H,Final_UAE!B:B)</f>
        <v/>
      </c>
      <c r="H4020" s="8" t="e">
        <v>#N/A</v>
      </c>
      <c r="I4020" s="8" t="n"/>
    </row>
    <row r="4021">
      <c r="A4021" s="4" t="n">
        <v>33834</v>
      </c>
      <c r="B4021" s="4" t="inlineStr">
        <is>
          <t>cltodai-acu-mois-p30-sn0350-cn0075-a020</t>
        </is>
      </c>
      <c r="C4021" s="4" t="inlineStr">
        <is>
          <t>W00031886A</t>
        </is>
      </c>
      <c r="D4021" s="6">
        <f>IF(F4021&gt;=5, F4021-5, IF(F4021&lt;5, 0, F4021))</f>
        <v/>
      </c>
      <c r="E4021">
        <f>VLOOKUP(B4021,[1]Namshi!$A:$B,2,0)</f>
        <v/>
      </c>
      <c r="F4021" s="4">
        <f>SUMIFS('Dubai Stock'!I:I,'Dubai Stock'!H:H,Final_UAE!B:B)</f>
        <v/>
      </c>
      <c r="H4021" s="8" t="e">
        <v>#N/A</v>
      </c>
      <c r="I4021" s="8" t="n"/>
    </row>
    <row r="4022">
      <c r="A4022" s="4" t="n">
        <v>33834</v>
      </c>
      <c r="B4022" s="4" t="inlineStr">
        <is>
          <t>clstdai-acu-oasy-p90-sn0225</t>
        </is>
      </c>
      <c r="C4022" s="4" t="inlineStr">
        <is>
          <t>W00031886A</t>
        </is>
      </c>
      <c r="D4022" s="6">
        <f>IF(F4022&gt;=5, F4022-5, IF(F4022&lt;5, 0, F4022))</f>
        <v/>
      </c>
      <c r="E4022">
        <f>VLOOKUP(B4022,[1]Namshi!$A:$B,2,0)</f>
        <v/>
      </c>
      <c r="F4022" s="4">
        <f>SUMIFS('Dubai Stock'!I:I,'Dubai Stock'!H:H,Final_UAE!B:B)</f>
        <v/>
      </c>
      <c r="H4022" s="8" t="e">
        <v>#N/A</v>
      </c>
      <c r="I4022" s="8" t="n"/>
    </row>
    <row r="4023">
      <c r="A4023" s="4" t="n">
        <v>33834</v>
      </c>
      <c r="B4023" s="4" t="inlineStr">
        <is>
          <t>sw30107-bla-000218-2901-57</t>
        </is>
      </c>
      <c r="C4023" s="4" t="inlineStr">
        <is>
          <t>W00031886A</t>
        </is>
      </c>
      <c r="D4023" s="6">
        <f>IF(F4023&gt;=5, F4023-5, IF(F4023&lt;5, 0, F4023))</f>
        <v/>
      </c>
      <c r="E4023">
        <f>VLOOKUP(B4023,[1]Namshi!$A:$B,2,0)</f>
        <v/>
      </c>
      <c r="F4023" s="4">
        <f>SUMIFS('Dubai Stock'!I:I,'Dubai Stock'!H:H,Final_UAE!B:B)</f>
        <v/>
      </c>
      <c r="H4023" s="8" t="e">
        <v>#N/A</v>
      </c>
    </row>
    <row r="4024">
      <c r="A4024" s="4" t="n">
        <v>33834</v>
      </c>
      <c r="B4024" s="4" t="inlineStr">
        <is>
          <t>clstdai-acu-dfrb-p90-sn0225</t>
        </is>
      </c>
      <c r="C4024" s="4" t="inlineStr">
        <is>
          <t>W00031886A</t>
        </is>
      </c>
      <c r="D4024" s="6">
        <f>IF(F4024&gt;=5, F4024-5, IF(F4024&lt;5, 0, F4024))</f>
        <v/>
      </c>
      <c r="E4024">
        <f>VLOOKUP(B4024,[1]Namshi!$A:$B,2,0)</f>
        <v/>
      </c>
      <c r="F4024" s="4">
        <f>SUMIFS('Dubai Stock'!I:I,'Dubai Stock'!H:H,Final_UAE!B:B)</f>
        <v/>
      </c>
      <c r="H4024" s="8" t="e">
        <v>#N/A</v>
      </c>
      <c r="I4024" s="8" t="n"/>
    </row>
    <row r="4025">
      <c r="A4025" s="4" t="n">
        <v>33834</v>
      </c>
      <c r="B4025" s="4" t="inlineStr">
        <is>
          <t>costdai-acu-dffr-p10-green-sn0350</t>
        </is>
      </c>
      <c r="C4025" s="4" t="inlineStr">
        <is>
          <t>W00031886A</t>
        </is>
      </c>
      <c r="D4025" s="6">
        <f>IF(F4025&gt;=5, F4025-5, IF(F4025&lt;5, 0, F4025))</f>
        <v/>
      </c>
      <c r="E4025">
        <f>VLOOKUP(B4025,[1]Namshi!$A:$B,2,0)</f>
        <v/>
      </c>
      <c r="F4025" s="4">
        <f>SUMIFS('Dubai Stock'!I:I,'Dubai Stock'!H:H,Final_UAE!B:B)</f>
        <v/>
      </c>
      <c r="H4025" s="8" t="e">
        <v>#N/A</v>
      </c>
      <c r="I4025" s="8" t="n"/>
    </row>
    <row r="4026">
      <c r="A4026" s="4" t="n">
        <v>33834</v>
      </c>
      <c r="B4026" s="4" t="inlineStr">
        <is>
          <t>clstdai-acu-dfrb-p30-sn0850</t>
        </is>
      </c>
      <c r="C4026" s="4" t="inlineStr">
        <is>
          <t>W00031886A</t>
        </is>
      </c>
      <c r="D4026" s="6">
        <f>IF(F4026&gt;=5, F4026-5, IF(F4026&lt;5, 0, F4026))</f>
        <v/>
      </c>
      <c r="E4026">
        <f>VLOOKUP(B4026,[1]Namshi!$A:$B,2,0)</f>
        <v/>
      </c>
      <c r="F4026" s="4">
        <f>SUMIFS('Dubai Stock'!I:I,'Dubai Stock'!H:H,Final_UAE!B:B)</f>
        <v/>
      </c>
      <c r="H4026" s="8" t="e">
        <v>#N/A</v>
      </c>
      <c r="I4026" s="8" t="n"/>
    </row>
    <row r="4027">
      <c r="A4027" s="4" t="n">
        <v>33834</v>
      </c>
      <c r="B4027" s="4" t="inlineStr">
        <is>
          <t>clstdai-acu-dfvi-p30-sp0000</t>
        </is>
      </c>
      <c r="C4027" s="4" t="inlineStr">
        <is>
          <t>W00031886A</t>
        </is>
      </c>
      <c r="D4027" s="6">
        <f>IF(F4027&gt;=5, F4027-5, IF(F4027&lt;5, 0, F4027))</f>
        <v/>
      </c>
      <c r="E4027">
        <f>VLOOKUP(B4027,[1]Namshi!$A:$B,2,0)</f>
        <v/>
      </c>
      <c r="F4027" s="4">
        <f>SUMIFS('Dubai Stock'!I:I,'Dubai Stock'!H:H,Final_UAE!B:B)</f>
        <v/>
      </c>
      <c r="H4027" s="8" t="e">
        <v>#N/A</v>
      </c>
      <c r="I4027" s="8" t="n"/>
    </row>
    <row r="4028">
      <c r="A4028" s="4" t="n">
        <v>33834</v>
      </c>
      <c r="B4028" s="4" t="inlineStr">
        <is>
          <t>clstmon-eve-prom-p06-sn0450</t>
        </is>
      </c>
      <c r="C4028" s="4" t="inlineStr">
        <is>
          <t>W00031886A</t>
        </is>
      </c>
      <c r="D4028" s="6">
        <f>IF(F4028&gt;=5, F4028-5, IF(F4028&lt;5, 0, F4028))</f>
        <v/>
      </c>
      <c r="E4028">
        <f>VLOOKUP(B4028,[1]Namshi!$A:$B,2,0)</f>
        <v/>
      </c>
      <c r="F4028" s="4">
        <f>SUMIFS('Dubai Stock'!I:I,'Dubai Stock'!H:H,Final_UAE!B:B)</f>
        <v/>
      </c>
      <c r="H4028" s="8" t="n">
        <v>212</v>
      </c>
      <c r="I4028" s="8" t="n">
        <v>111.3</v>
      </c>
    </row>
    <row r="4029">
      <c r="A4029" s="4" t="n">
        <v>33834</v>
      </c>
      <c r="B4029" s="4" t="inlineStr">
        <is>
          <t>su20104-bla-000238-0104-49</t>
        </is>
      </c>
      <c r="C4029" s="4" t="inlineStr">
        <is>
          <t>W00031886A</t>
        </is>
      </c>
      <c r="D4029" s="6">
        <f>IF(F4029&gt;=5, F4029-5, IF(F4029&lt;5, 0, F4029))</f>
        <v/>
      </c>
      <c r="E4029">
        <f>VLOOKUP(B4029,[1]Namshi!$A:$B,2,0)</f>
        <v/>
      </c>
      <c r="F4029" s="4">
        <f>SUMIFS('Dubai Stock'!I:I,'Dubai Stock'!H:H,Final_UAE!B:B)</f>
        <v/>
      </c>
      <c r="H4029" s="8" t="e">
        <v>#N/A</v>
      </c>
    </row>
    <row r="4030">
      <c r="A4030" s="4" t="n">
        <v>33834</v>
      </c>
      <c r="B4030" s="4" t="inlineStr">
        <is>
          <t>costmon-ama-2022-p02-dream-sn0800</t>
        </is>
      </c>
      <c r="C4030" s="4" t="inlineStr">
        <is>
          <t>W00031886A</t>
        </is>
      </c>
      <c r="D4030" s="6">
        <f>IF(F4030&gt;=5, F4030-5, IF(F4030&lt;5, 0, F4030))</f>
        <v/>
      </c>
      <c r="E4030">
        <f>VLOOKUP(B4030,[1]Namshi!$A:$B,2,0)</f>
        <v/>
      </c>
      <c r="F4030" s="4">
        <f>SUMIFS('Dubai Stock'!I:I,'Dubai Stock'!H:H,Final_UAE!B:B)</f>
        <v/>
      </c>
      <c r="H4030" s="8" t="e">
        <v>#N/A</v>
      </c>
      <c r="I4030" s="8" t="n"/>
    </row>
    <row r="4031">
      <c r="A4031" s="4" t="n">
        <v>33834</v>
      </c>
      <c r="B4031" s="4" t="inlineStr">
        <is>
          <t>clstdai-lay-cont-p60-dazzle-brown-sn0500</t>
        </is>
      </c>
      <c r="C4031" s="4" t="inlineStr">
        <is>
          <t>W00031886A</t>
        </is>
      </c>
      <c r="D4031" s="6">
        <f>IF(F4031&gt;=5, F4031-5, IF(F4031&lt;5, 0, F4031))</f>
        <v/>
      </c>
      <c r="E4031">
        <f>VLOOKUP(B4031,[1]Namshi!$A:$B,2,0)</f>
        <v/>
      </c>
      <c r="F4031" s="4">
        <f>SUMIFS('Dubai Stock'!I:I,'Dubai Stock'!H:H,Final_UAE!B:B)</f>
        <v/>
      </c>
      <c r="H4031" s="8" t="e">
        <v>#N/A</v>
      </c>
      <c r="I4031" s="8" t="n"/>
    </row>
    <row r="4032">
      <c r="A4032" s="4" t="n">
        <v>33834</v>
      </c>
      <c r="B4032" s="4" t="inlineStr">
        <is>
          <t>cost3mo-lay-2022-p02-cosmo-gray-sn0225</t>
        </is>
      </c>
      <c r="C4032" s="4" t="inlineStr">
        <is>
          <t>W00031886A</t>
        </is>
      </c>
      <c r="D4032" s="6">
        <f>IF(F4032&gt;=5, F4032-5, IF(F4032&lt;5, 0, F4032))</f>
        <v/>
      </c>
      <c r="E4032">
        <f>VLOOKUP(B4032,[1]Namshi!$A:$B,2,0)</f>
        <v/>
      </c>
      <c r="F4032" s="4">
        <f>SUMIFS('Dubai Stock'!I:I,'Dubai Stock'!H:H,Final_UAE!B:B)</f>
        <v/>
      </c>
      <c r="H4032" s="8" t="e">
        <v>#N/A</v>
      </c>
      <c r="I4032" s="8" t="n"/>
    </row>
    <row r="4033">
      <c r="A4033" s="4" t="n">
        <v>33834</v>
      </c>
      <c r="B4033" s="4" t="inlineStr">
        <is>
          <t>cost3mo-lay-lens-p02-cloudy-gray-sn0175</t>
        </is>
      </c>
      <c r="C4033" s="4" t="inlineStr">
        <is>
          <t>W00031886A</t>
        </is>
      </c>
      <c r="D4033" s="6">
        <f>IF(F4033&gt;=5, F4033-5, IF(F4033&lt;5, 0, F4033))</f>
        <v/>
      </c>
      <c r="E4033">
        <f>VLOOKUP(B4033,[1]Namshi!$A:$B,2,0)</f>
        <v/>
      </c>
      <c r="F4033" s="4">
        <f>SUMIFS('Dubai Stock'!I:I,'Dubai Stock'!H:H,Final_UAE!B:B)</f>
        <v/>
      </c>
      <c r="H4033" s="8" t="e">
        <v>#N/A</v>
      </c>
      <c r="I4033" s="8" t="n"/>
    </row>
    <row r="4034">
      <c r="A4034" s="4" t="n">
        <v>33834</v>
      </c>
      <c r="B4034" s="4" t="inlineStr">
        <is>
          <t>saccase-30s-case103-pnk-bge-blush-pink</t>
        </is>
      </c>
      <c r="C4034" s="4" t="inlineStr">
        <is>
          <t>W00031886A</t>
        </is>
      </c>
      <c r="D4034" s="6">
        <f>IF(F4034&gt;=5, F4034-5, IF(F4034&lt;5, 0, F4034))</f>
        <v/>
      </c>
      <c r="E4034">
        <f>VLOOKUP(B4034,[1]Namshi!$A:$B,2,0)</f>
        <v/>
      </c>
      <c r="F4034" s="4">
        <f>SUMIFS('Dubai Stock'!I:I,'Dubai Stock'!H:H,Final_UAE!B:B)</f>
        <v/>
      </c>
      <c r="H4034" s="8" t="e">
        <v>#N/A</v>
      </c>
      <c r="I4034" s="8" t="n"/>
    </row>
    <row r="4035">
      <c r="A4035" s="4" t="n">
        <v>33834</v>
      </c>
      <c r="B4035" s="4" t="inlineStr">
        <is>
          <t>clstdai-lay-cont-p60-dazzle-black-sn0425</t>
        </is>
      </c>
      <c r="C4035" s="4" t="inlineStr">
        <is>
          <t>W00031886A</t>
        </is>
      </c>
      <c r="D4035" s="6">
        <f>IF(F4035&gt;=5, F4035-5, IF(F4035&lt;5, 0, F4035))</f>
        <v/>
      </c>
      <c r="E4035">
        <f>VLOOKUP(B4035,[1]Namshi!$A:$B,2,0)</f>
        <v/>
      </c>
      <c r="F4035" s="4">
        <f>SUMIFS('Dubai Stock'!I:I,'Dubai Stock'!H:H,Final_UAE!B:B)</f>
        <v/>
      </c>
      <c r="H4035" s="8" t="e">
        <v>#N/A</v>
      </c>
      <c r="I4035" s="8" t="n"/>
    </row>
    <row r="4036">
      <c r="A4036" s="4" t="n">
        <v>33834</v>
      </c>
      <c r="B4036" s="4" t="inlineStr">
        <is>
          <t>costdai-ama-dail-p10-honey-sp0000</t>
        </is>
      </c>
      <c r="C4036" s="4" t="inlineStr">
        <is>
          <t>W00031886A</t>
        </is>
      </c>
      <c r="D4036" s="6">
        <f>IF(F4036&gt;=5, F4036-5, IF(F4036&lt;5, 0, F4036))</f>
        <v/>
      </c>
      <c r="E4036">
        <f>VLOOKUP(B4036,[1]Namshi!$A:$B,2,0)</f>
        <v/>
      </c>
      <c r="F4036" s="4">
        <f>SUMIFS('Dubai Stock'!I:I,'Dubai Stock'!H:H,Final_UAE!B:B)</f>
        <v/>
      </c>
      <c r="H4036" s="8" t="e">
        <v>#N/A</v>
      </c>
      <c r="I4036" s="8" t="n"/>
    </row>
    <row r="4037">
      <c r="A4037" s="4" t="n">
        <v>33834</v>
      </c>
      <c r="B4037" s="4" t="inlineStr">
        <is>
          <t>clstdai-dai-aqua-p90-sp0075</t>
        </is>
      </c>
      <c r="C4037" s="4" t="inlineStr">
        <is>
          <t>W00031886A</t>
        </is>
      </c>
      <c r="D4037" s="6">
        <f>IF(F4037&gt;=5, F4037-5, IF(F4037&lt;5, 0, F4037))</f>
        <v/>
      </c>
      <c r="E4037">
        <f>VLOOKUP(B4037,[1]Namshi!$A:$B,2,0)</f>
        <v/>
      </c>
      <c r="F4037" s="4">
        <f>SUMIFS('Dubai Stock'!I:I,'Dubai Stock'!H:H,Final_UAE!B:B)</f>
        <v/>
      </c>
      <c r="H4037" s="8" t="e">
        <v>#N/A</v>
      </c>
      <c r="I4037" s="8" t="n"/>
    </row>
    <row r="4038">
      <c r="A4038" s="4" t="n">
        <v>33834</v>
      </c>
      <c r="B4038" s="4" t="inlineStr">
        <is>
          <t>costdai-acu-dffr-p30-grayzel-sn0175</t>
        </is>
      </c>
      <c r="C4038" s="4" t="inlineStr">
        <is>
          <t>W00031886A</t>
        </is>
      </c>
      <c r="D4038" s="6">
        <f>IF(F4038&gt;=5, F4038-5, IF(F4038&lt;5, 0, F4038))</f>
        <v/>
      </c>
      <c r="E4038">
        <f>VLOOKUP(B4038,[1]Namshi!$A:$B,2,0)</f>
        <v/>
      </c>
      <c r="F4038" s="4">
        <f>SUMIFS('Dubai Stock'!I:I,'Dubai Stock'!H:H,Final_UAE!B:B)</f>
        <v/>
      </c>
      <c r="H4038" s="8" t="e">
        <v>#N/A</v>
      </c>
      <c r="I4038" s="8" t="n"/>
    </row>
    <row r="4039">
      <c r="A4039" s="4" t="n">
        <v>33834</v>
      </c>
      <c r="B4039" s="4" t="inlineStr">
        <is>
          <t>sm50107-30s-000221-0107-52</t>
        </is>
      </c>
      <c r="C4039" s="4" t="inlineStr">
        <is>
          <t>W00031886A</t>
        </is>
      </c>
      <c r="D4039" s="6">
        <f>IF(F4039&gt;=5, F4039-5, IF(F4039&lt;5, 0, F4039))</f>
        <v/>
      </c>
      <c r="E4039">
        <f>VLOOKUP(B4039,[1]Namshi!$A:$B,2,0)</f>
        <v/>
      </c>
      <c r="F4039" s="4">
        <f>SUMIFS('Dubai Stock'!I:I,'Dubai Stock'!H:H,Final_UAE!B:B)</f>
        <v/>
      </c>
      <c r="H4039" s="8" t="e">
        <v>#N/A</v>
      </c>
      <c r="I4039" s="8" t="n"/>
    </row>
    <row r="4040">
      <c r="A4040" s="4" t="n">
        <v>33834</v>
      </c>
      <c r="B4040" s="4" t="inlineStr">
        <is>
          <t>cost3mo-lay-lens-p02-platinum-gray-sn0050</t>
        </is>
      </c>
      <c r="C4040" s="4" t="inlineStr">
        <is>
          <t>W00031886A</t>
        </is>
      </c>
      <c r="D4040" s="6">
        <f>IF(F4040&gt;=5, F4040-5, IF(F4040&lt;5, 0, F4040))</f>
        <v/>
      </c>
      <c r="E4040">
        <f>VLOOKUP(B4040,[1]Namshi!$A:$B,2,0)</f>
        <v/>
      </c>
      <c r="F4040" s="4">
        <f>SUMIFS('Dubai Stock'!I:I,'Dubai Stock'!H:H,Final_UAE!B:B)</f>
        <v/>
      </c>
      <c r="H4040" s="8" t="e">
        <v>#N/A</v>
      </c>
      <c r="I4040" s="8" t="n"/>
    </row>
    <row r="4041">
      <c r="A4041" s="4" t="n">
        <v>33834</v>
      </c>
      <c r="B4041" s="4" t="inlineStr">
        <is>
          <t>sw22304-bla-000269-2304-54</t>
        </is>
      </c>
      <c r="C4041" s="4" t="inlineStr">
        <is>
          <t>W00031886A</t>
        </is>
      </c>
      <c r="D4041" s="6">
        <f>IF(F4041&gt;=5, F4041-5, IF(F4041&lt;5, 0, F4041))</f>
        <v/>
      </c>
      <c r="E4041">
        <f>VLOOKUP(B4041,[1]Namshi!$A:$B,2,0)</f>
        <v/>
      </c>
      <c r="F4041" s="4">
        <f>SUMIFS('Dubai Stock'!I:I,'Dubai Stock'!H:H,Final_UAE!B:B)</f>
        <v/>
      </c>
      <c r="H4041" s="8" t="e">
        <v>#N/A</v>
      </c>
    </row>
    <row r="4042">
      <c r="A4042" s="4" t="n">
        <v>33834</v>
      </c>
      <c r="B4042" s="4" t="inlineStr">
        <is>
          <t>clstdai-acu-dfna-p30-sn0100</t>
        </is>
      </c>
      <c r="C4042" s="4" t="inlineStr">
        <is>
          <t>W00031886A</t>
        </is>
      </c>
      <c r="D4042" s="6">
        <f>IF(F4042&gt;=5, F4042-5, IF(F4042&lt;5, 0, F4042))</f>
        <v/>
      </c>
      <c r="E4042">
        <f>VLOOKUP(B4042,[1]Namshi!$A:$B,2,0)</f>
        <v/>
      </c>
      <c r="F4042" s="4">
        <f>SUMIFS('Dubai Stock'!I:I,'Dubai Stock'!H:H,Final_UAE!B:B)</f>
        <v/>
      </c>
      <c r="H4042" s="8" t="e">
        <v>#N/A</v>
      </c>
      <c r="I4042" s="8" t="n"/>
    </row>
    <row r="4043">
      <c r="A4043" s="4" t="n">
        <v>33834</v>
      </c>
      <c r="B4043" s="4" t="inlineStr">
        <is>
          <t>clstdai-lay-cont-p90-dazzle-brown-sn0525</t>
        </is>
      </c>
      <c r="C4043" s="4" t="inlineStr">
        <is>
          <t>W00031886A</t>
        </is>
      </c>
      <c r="D4043" s="6">
        <f>IF(F4043&gt;=5, F4043-5, IF(F4043&lt;5, 0, F4043))</f>
        <v/>
      </c>
      <c r="E4043">
        <f>VLOOKUP(B4043,[1]Namshi!$A:$B,2,0)</f>
        <v/>
      </c>
      <c r="F4043" s="4">
        <f>SUMIFS('Dubai Stock'!I:I,'Dubai Stock'!H:H,Final_UAE!B:B)</f>
        <v/>
      </c>
      <c r="H4043" s="8" t="e">
        <v>#N/A</v>
      </c>
      <c r="I4043" s="8" t="n"/>
    </row>
    <row r="4044">
      <c r="A4044" s="4" t="n">
        <v>33834</v>
      </c>
      <c r="B4044" s="4" t="inlineStr">
        <is>
          <t>clstdai-acu-dfrb-p60-sn0750</t>
        </is>
      </c>
      <c r="C4044" s="4" t="inlineStr">
        <is>
          <t>W00031886A</t>
        </is>
      </c>
      <c r="D4044" s="6">
        <f>IF(F4044&gt;=5, F4044-5, IF(F4044&lt;5, 0, F4044))</f>
        <v/>
      </c>
      <c r="E4044">
        <f>VLOOKUP(B4044,[1]Namshi!$A:$B,2,0)</f>
        <v/>
      </c>
      <c r="F4044" s="4">
        <f>SUMIFS('Dubai Stock'!I:I,'Dubai Stock'!H:H,Final_UAE!B:B)</f>
        <v/>
      </c>
      <c r="H4044" s="8" t="e">
        <v>#N/A</v>
      </c>
      <c r="I4044" s="8" t="n"/>
    </row>
    <row r="4045">
      <c r="A4045" s="4" t="n">
        <v>33834</v>
      </c>
      <c r="B4045" s="4" t="inlineStr">
        <is>
          <t>clstdai-dai-tot1-p30-sn0800</t>
        </is>
      </c>
      <c r="C4045" s="4" t="inlineStr">
        <is>
          <t>W00031886A</t>
        </is>
      </c>
      <c r="D4045" s="6">
        <f>IF(F4045&gt;=5, F4045-5, IF(F4045&lt;5, 0, F4045))</f>
        <v/>
      </c>
      <c r="E4045">
        <f>VLOOKUP(B4045,[1]Namshi!$A:$B,2,0)</f>
        <v/>
      </c>
      <c r="F4045" s="4">
        <f>SUMIFS('Dubai Stock'!I:I,'Dubai Stock'!H:H,Final_UAE!B:B)</f>
        <v/>
      </c>
      <c r="H4045" s="8" t="e">
        <v>#N/A</v>
      </c>
      <c r="I4045" s="8" t="n"/>
    </row>
    <row r="4046">
      <c r="A4046" s="4" t="n">
        <v>33834</v>
      </c>
      <c r="B4046" s="4" t="inlineStr">
        <is>
          <t>clstdai-acu-omax-p30-sp0075</t>
        </is>
      </c>
      <c r="C4046" s="4" t="inlineStr">
        <is>
          <t>W00031886A</t>
        </is>
      </c>
      <c r="D4046" s="6">
        <f>IF(F4046&gt;=5, F4046-5, IF(F4046&lt;5, 0, F4046))</f>
        <v/>
      </c>
      <c r="E4046">
        <f>VLOOKUP(B4046,[1]Namshi!$A:$B,2,0)</f>
        <v/>
      </c>
      <c r="F4046" s="4">
        <f>SUMIFS('Dubai Stock'!I:I,'Dubai Stock'!H:H,Final_UAE!B:B)</f>
        <v/>
      </c>
      <c r="H4046" s="8" t="e">
        <v>#N/A</v>
      </c>
      <c r="I4046" s="8" t="n"/>
    </row>
    <row r="4047">
      <c r="A4047" s="4" t="n">
        <v>33834</v>
      </c>
      <c r="B4047" s="4" t="inlineStr">
        <is>
          <t>costdai-ama-dail-p10-shadow-sn0300</t>
        </is>
      </c>
      <c r="C4047" s="4" t="inlineStr">
        <is>
          <t>W00031886A</t>
        </is>
      </c>
      <c r="D4047" s="6">
        <f>IF(F4047&gt;=5, F4047-5, IF(F4047&lt;5, 0, F4047))</f>
        <v/>
      </c>
      <c r="E4047">
        <f>VLOOKUP(B4047,[1]Namshi!$A:$B,2,0)</f>
        <v/>
      </c>
      <c r="F4047" s="4">
        <f>SUMIFS('Dubai Stock'!I:I,'Dubai Stock'!H:H,Final_UAE!B:B)</f>
        <v/>
      </c>
      <c r="H4047" s="8" t="e">
        <v>#N/A</v>
      </c>
      <c r="I4047" s="8" t="n"/>
    </row>
    <row r="4048">
      <c r="A4048" s="4" t="n">
        <v>33834</v>
      </c>
      <c r="B4048" s="4" t="inlineStr">
        <is>
          <t>rm43218-spc-00928-3218-52-sp0150</t>
        </is>
      </c>
      <c r="C4048" s="4" t="inlineStr">
        <is>
          <t>W00031886A</t>
        </is>
      </c>
      <c r="D4048" s="6">
        <f>IF(F4048&gt;=5, F4048-5, IF(F4048&lt;5, 0, F4048))</f>
        <v/>
      </c>
      <c r="E4048">
        <f>VLOOKUP(B4048,[1]Namshi!$A:$B,2,0)</f>
        <v/>
      </c>
      <c r="F4048" s="4">
        <f>SUMIFS('Dubai Stock'!I:I,'Dubai Stock'!H:H,Final_UAE!B:B)</f>
        <v/>
      </c>
      <c r="H4048" s="8" t="e">
        <v>#N/A</v>
      </c>
      <c r="I4048" s="8" t="n"/>
    </row>
    <row r="4049">
      <c r="A4049" s="4" t="n">
        <v>33834</v>
      </c>
      <c r="B4049" s="4" t="inlineStr">
        <is>
          <t>clstdai-lay-cont-p10-dazzle-brown-sn0600</t>
        </is>
      </c>
      <c r="C4049" s="4" t="inlineStr">
        <is>
          <t>W00031886A</t>
        </is>
      </c>
      <c r="D4049" s="6">
        <f>IF(F4049&gt;=5, F4049-5, IF(F4049&lt;5, 0, F4049))</f>
        <v/>
      </c>
      <c r="E4049">
        <f>VLOOKUP(B4049,[1]Namshi!$A:$B,2,0)</f>
        <v/>
      </c>
      <c r="F4049" s="4">
        <f>SUMIFS('Dubai Stock'!I:I,'Dubai Stock'!H:H,Final_UAE!B:B)</f>
        <v/>
      </c>
      <c r="H4049" s="8" t="e">
        <v>#N/A</v>
      </c>
      <c r="I4049" s="8" t="n"/>
    </row>
    <row r="4050">
      <c r="A4050" s="4" t="n">
        <v>33834</v>
      </c>
      <c r="B4050" s="4" t="inlineStr">
        <is>
          <t>costdai-ama-dail-p10-shadow-sn0750</t>
        </is>
      </c>
      <c r="C4050" s="4" t="inlineStr">
        <is>
          <t>W00031886A</t>
        </is>
      </c>
      <c r="D4050" s="6">
        <f>IF(F4050&gt;=5, F4050-5, IF(F4050&lt;5, 0, F4050))</f>
        <v/>
      </c>
      <c r="E4050">
        <f>VLOOKUP(B4050,[1]Namshi!$A:$B,2,0)</f>
        <v/>
      </c>
      <c r="F4050" s="4">
        <f>SUMIFS('Dubai Stock'!I:I,'Dubai Stock'!H:H,Final_UAE!B:B)</f>
        <v/>
      </c>
      <c r="H4050" s="8" t="e">
        <v>#N/A</v>
      </c>
      <c r="I4050" s="8" t="n"/>
    </row>
    <row r="4051">
      <c r="A4051" s="4" t="n">
        <v>33834</v>
      </c>
      <c r="B4051" s="4" t="inlineStr">
        <is>
          <t>cost3mo-lay-lens-p02-ocean-blue-sn0375</t>
        </is>
      </c>
      <c r="C4051" s="4" t="inlineStr">
        <is>
          <t>W00031886A</t>
        </is>
      </c>
      <c r="D4051" s="6">
        <f>IF(F4051&gt;=5, F4051-5, IF(F4051&lt;5, 0, F4051))</f>
        <v/>
      </c>
      <c r="E4051">
        <f>VLOOKUP(B4051,[1]Namshi!$A:$B,2,0)</f>
        <v/>
      </c>
      <c r="F4051" s="4">
        <f>SUMIFS('Dubai Stock'!I:I,'Dubai Stock'!H:H,Final_UAE!B:B)</f>
        <v/>
      </c>
      <c r="H4051" s="8" t="e">
        <v>#N/A</v>
      </c>
      <c r="I4051" s="8" t="n"/>
    </row>
    <row r="4052">
      <c r="A4052" s="4" t="n">
        <v>33834</v>
      </c>
      <c r="B4052" s="4" t="inlineStr">
        <is>
          <t>su100702-30s-000445-0702-51</t>
        </is>
      </c>
      <c r="C4052" s="4" t="inlineStr">
        <is>
          <t>W00031886A</t>
        </is>
      </c>
      <c r="D4052" s="6">
        <f>IF(F4052&gt;=5, F4052-5, IF(F4052&lt;5, 0, F4052))</f>
        <v/>
      </c>
      <c r="E4052">
        <f>VLOOKUP(B4052,[1]Namshi!$A:$B,2,0)</f>
        <v/>
      </c>
      <c r="F4052" s="4">
        <f>SUMIFS('Dubai Stock'!I:I,'Dubai Stock'!H:H,Final_UAE!B:B)</f>
        <v/>
      </c>
      <c r="H4052" s="8" t="e">
        <v>#N/A</v>
      </c>
    </row>
    <row r="4053">
      <c r="A4053" s="4" t="n">
        <v>33834</v>
      </c>
      <c r="B4053" s="4" t="inlineStr">
        <is>
          <t>clstdai-eve-elit-p30-sp0650</t>
        </is>
      </c>
      <c r="C4053" s="4" t="inlineStr">
        <is>
          <t>W00031886A</t>
        </is>
      </c>
      <c r="D4053" s="6">
        <f>IF(F4053&gt;=5, F4053-5, IF(F4053&lt;5, 0, F4053))</f>
        <v/>
      </c>
      <c r="E4053">
        <f>VLOOKUP(B4053,[1]Namshi!$A:$B,2,0)</f>
        <v/>
      </c>
      <c r="F4053" s="4">
        <f>SUMIFS('Dubai Stock'!I:I,'Dubai Stock'!H:H,Final_UAE!B:B)</f>
        <v/>
      </c>
      <c r="H4053" s="8" t="n">
        <v>261</v>
      </c>
      <c r="I4053" s="8" t="n">
        <v>146.3</v>
      </c>
    </row>
    <row r="4054">
      <c r="A4054" s="4" t="n">
        <v>33834</v>
      </c>
      <c r="B4054" s="4" t="inlineStr">
        <is>
          <t>sacchan-30s-chain101-gld-fleek-light-gold</t>
        </is>
      </c>
      <c r="C4054" s="4" t="inlineStr">
        <is>
          <t>W00031886A</t>
        </is>
      </c>
      <c r="D4054" s="6">
        <f>IF(F4054&gt;=5, F4054-5, IF(F4054&lt;5, 0, F4054))</f>
        <v/>
      </c>
      <c r="E4054">
        <f>VLOOKUP(B4054,[1]Namshi!$A:$B,2,0)</f>
        <v/>
      </c>
      <c r="F4054" s="4">
        <f>SUMIFS('Dubai Stock'!I:I,'Dubai Stock'!H:H,Final_UAE!B:B)</f>
        <v/>
      </c>
      <c r="H4054" s="8" t="e">
        <v>#N/A</v>
      </c>
      <c r="I4054" s="8" t="n"/>
    </row>
    <row r="4055">
      <c r="A4055" s="4" t="n">
        <v>33834</v>
      </c>
      <c r="B4055" s="4" t="inlineStr">
        <is>
          <t>sw20404-bla-000107-0404-60</t>
        </is>
      </c>
      <c r="C4055" s="4" t="inlineStr">
        <is>
          <t>W00031886A</t>
        </is>
      </c>
      <c r="D4055" s="6">
        <f>IF(F4055&gt;=5, F4055-5, IF(F4055&lt;5, 0, F4055))</f>
        <v/>
      </c>
      <c r="E4055">
        <f>VLOOKUP(B4055,[1]Namshi!$A:$B,2,0)</f>
        <v/>
      </c>
      <c r="F4055" s="4">
        <f>SUMIFS('Dubai Stock'!I:I,'Dubai Stock'!H:H,Final_UAE!B:B)</f>
        <v/>
      </c>
      <c r="H4055" s="8" t="e">
        <v>#N/A</v>
      </c>
    </row>
    <row r="4056">
      <c r="A4056" s="4" t="n">
        <v>33834</v>
      </c>
      <c r="B4056" s="4" t="inlineStr">
        <is>
          <t>sunglasses-30Sundays-30s-000456-1207</t>
        </is>
      </c>
      <c r="C4056" s="4" t="inlineStr">
        <is>
          <t>W00031886A</t>
        </is>
      </c>
      <c r="D4056" s="6">
        <f>IF(F4056&gt;=5, F4056-5, IF(F4056&lt;5, 0, F4056))</f>
        <v/>
      </c>
      <c r="E4056">
        <f>VLOOKUP(B4056,[1]Namshi!$A:$B,2,0)</f>
        <v/>
      </c>
      <c r="F4056" s="4">
        <f>SUMIFS('Dubai Stock'!I:I,'Dubai Stock'!H:H,Final_UAE!B:B)</f>
        <v/>
      </c>
      <c r="H4056" s="8" t="e">
        <v>#N/A</v>
      </c>
      <c r="I4056" s="8" t="n"/>
    </row>
    <row r="4057">
      <c r="A4057" s="4" t="n">
        <v>33834</v>
      </c>
      <c r="B4057" s="4" t="inlineStr">
        <is>
          <t>su52104-30s-000236-2102-49</t>
        </is>
      </c>
      <c r="C4057" s="4" t="inlineStr">
        <is>
          <t>W00031886A</t>
        </is>
      </c>
      <c r="D4057" s="6">
        <f>IF(F4057&gt;=5, F4057-5, IF(F4057&lt;5, 0, F4057))</f>
        <v/>
      </c>
      <c r="E4057">
        <f>VLOOKUP(B4057,[1]Namshi!$A:$B,2,0)</f>
        <v/>
      </c>
      <c r="F4057" s="4">
        <f>SUMIFS('Dubai Stock'!I:I,'Dubai Stock'!H:H,Final_UAE!B:B)</f>
        <v/>
      </c>
      <c r="H4057" s="8" t="e">
        <v>#N/A</v>
      </c>
    </row>
    <row r="4058">
      <c r="A4058" s="4" t="n">
        <v>33834</v>
      </c>
      <c r="B4058" s="4" t="inlineStr">
        <is>
          <t>sw42906-bla-000245-2906-51</t>
        </is>
      </c>
      <c r="C4058" s="4" t="inlineStr">
        <is>
          <t>W00031886A</t>
        </is>
      </c>
      <c r="D4058" s="6">
        <f>IF(F4058&gt;=5, F4058-5, IF(F4058&lt;5, 0, F4058))</f>
        <v/>
      </c>
      <c r="E4058">
        <f>VLOOKUP(B4058,[1]Namshi!$A:$B,2,0)</f>
        <v/>
      </c>
      <c r="F4058" s="4">
        <f>SUMIFS('Dubai Stock'!I:I,'Dubai Stock'!H:H,Final_UAE!B:B)</f>
        <v/>
      </c>
      <c r="H4058" s="8" t="e">
        <v>#N/A</v>
      </c>
    </row>
    <row r="4059">
      <c r="A4059" s="4" t="n">
        <v>33834</v>
      </c>
      <c r="B4059" s="4" t="inlineStr">
        <is>
          <t>cost3mo-lay-2022-p02-cosmo-gray-sn0375</t>
        </is>
      </c>
      <c r="C4059" s="4" t="inlineStr">
        <is>
          <t>W00031886A</t>
        </is>
      </c>
      <c r="D4059" s="6">
        <f>IF(F4059&gt;=5, F4059-5, IF(F4059&lt;5, 0, F4059))</f>
        <v/>
      </c>
      <c r="E4059">
        <f>VLOOKUP(B4059,[1]Namshi!$A:$B,2,0)</f>
        <v/>
      </c>
      <c r="F4059" s="4">
        <f>SUMIFS('Dubai Stock'!I:I,'Dubai Stock'!H:H,Final_UAE!B:B)</f>
        <v/>
      </c>
      <c r="H4059" s="8" t="e">
        <v>#N/A</v>
      </c>
      <c r="I4059" s="8" t="n"/>
    </row>
    <row r="4060">
      <c r="A4060" s="4" t="n">
        <v>33834</v>
      </c>
      <c r="B4060" s="4" t="inlineStr">
        <is>
          <t>costmon-ama-lens-p02-dark-sepia-sn0475</t>
        </is>
      </c>
      <c r="C4060" s="4" t="inlineStr">
        <is>
          <t>W00031886A</t>
        </is>
      </c>
      <c r="D4060" s="6">
        <f>IF(F4060&gt;=5, F4060-5, IF(F4060&lt;5, 0, F4060))</f>
        <v/>
      </c>
      <c r="E4060">
        <f>VLOOKUP(B4060,[1]Namshi!$A:$B,2,0)</f>
        <v/>
      </c>
      <c r="F4060" s="4">
        <f>SUMIFS('Dubai Stock'!I:I,'Dubai Stock'!H:H,Final_UAE!B:B)</f>
        <v/>
      </c>
      <c r="H4060" s="8" t="e">
        <v>#N/A</v>
      </c>
      <c r="I4060" s="8" t="n"/>
    </row>
    <row r="4061">
      <c r="A4061" s="4" t="n">
        <v>33834</v>
      </c>
      <c r="B4061" s="4" t="inlineStr">
        <is>
          <t>cost3mo-lay-2022-p02-avena-brown-sn0050</t>
        </is>
      </c>
      <c r="C4061" s="4" t="inlineStr">
        <is>
          <t>W00031886A</t>
        </is>
      </c>
      <c r="D4061" s="6">
        <f>IF(F4061&gt;=5, F4061-5, IF(F4061&lt;5, 0, F4061))</f>
        <v/>
      </c>
      <c r="E4061">
        <f>VLOOKUP(B4061,[1]Namshi!$A:$B,2,0)</f>
        <v/>
      </c>
      <c r="F4061" s="4">
        <f>SUMIFS('Dubai Stock'!I:I,'Dubai Stock'!H:H,Final_UAE!B:B)</f>
        <v/>
      </c>
      <c r="H4061" s="8" t="e">
        <v>#N/A</v>
      </c>
      <c r="I4061" s="8" t="n"/>
    </row>
    <row r="4062">
      <c r="A4062" s="4" t="n">
        <v>33834</v>
      </c>
      <c r="B4062" s="4" t="inlineStr">
        <is>
          <t>cost3mo-lay-lens-p02-cloudy-gray-sn0225</t>
        </is>
      </c>
      <c r="C4062" s="4" t="inlineStr">
        <is>
          <t>W00031886A</t>
        </is>
      </c>
      <c r="D4062" s="6">
        <f>IF(F4062&gt;=5, F4062-5, IF(F4062&lt;5, 0, F4062))</f>
        <v/>
      </c>
      <c r="E4062">
        <f>VLOOKUP(B4062,[1]Namshi!$A:$B,2,0)</f>
        <v/>
      </c>
      <c r="F4062" s="4">
        <f>SUMIFS('Dubai Stock'!I:I,'Dubai Stock'!H:H,Final_UAE!B:B)</f>
        <v/>
      </c>
      <c r="H4062" s="8" t="e">
        <v>#N/A</v>
      </c>
      <c r="I4062" s="8" t="n"/>
    </row>
    <row r="4063">
      <c r="A4063" s="4" t="n">
        <v>33834</v>
      </c>
      <c r="B4063" s="4" t="inlineStr">
        <is>
          <t>clstdai-acu-oasy-p120-sn0425</t>
        </is>
      </c>
      <c r="C4063" s="4" t="inlineStr">
        <is>
          <t>W00031886A</t>
        </is>
      </c>
      <c r="D4063" s="6">
        <f>IF(F4063&gt;=5, F4063-5, IF(F4063&lt;5, 0, F4063))</f>
        <v/>
      </c>
      <c r="E4063">
        <f>VLOOKUP(B4063,[1]Namshi!$A:$B,2,0)</f>
        <v/>
      </c>
      <c r="F4063" s="4">
        <f>SUMIFS('Dubai Stock'!I:I,'Dubai Stock'!H:H,Final_UAE!B:B)</f>
        <v/>
      </c>
      <c r="H4063" s="8" t="e">
        <v>#N/A</v>
      </c>
      <c r="I4063" s="8" t="n"/>
    </row>
    <row r="4064">
      <c r="A4064" s="4" t="n">
        <v>33834</v>
      </c>
      <c r="B4064" s="4" t="inlineStr">
        <is>
          <t>clstbiw-acu-cle-p06-sn0125</t>
        </is>
      </c>
      <c r="C4064" s="4" t="inlineStr">
        <is>
          <t>W00031886A</t>
        </is>
      </c>
      <c r="D4064" s="6">
        <f>IF(F4064&gt;=5, F4064-5, IF(F4064&lt;5, 0, F4064))</f>
        <v/>
      </c>
      <c r="E4064">
        <f>VLOOKUP(B4064,[1]Namshi!$A:$B,2,0)</f>
        <v/>
      </c>
      <c r="F4064" s="4">
        <f>SUMIFS('Dubai Stock'!I:I,'Dubai Stock'!H:H,Final_UAE!B:B)</f>
        <v/>
      </c>
      <c r="H4064" s="8" t="e">
        <v>#N/A</v>
      </c>
      <c r="I4064" s="8" t="n"/>
    </row>
    <row r="4065">
      <c r="A4065" s="4" t="n">
        <v>33834</v>
      </c>
      <c r="B4065" s="4" t="inlineStr">
        <is>
          <t>cost3mo-cel-natu-p01-real-shade-sp0250</t>
        </is>
      </c>
      <c r="C4065" s="4" t="inlineStr">
        <is>
          <t>W00031886A</t>
        </is>
      </c>
      <c r="D4065" s="6">
        <f>IF(F4065&gt;=5, F4065-5, IF(F4065&lt;5, 0, F4065))</f>
        <v/>
      </c>
      <c r="E4065">
        <f>VLOOKUP(B4065,[1]Namshi!$A:$B,2,0)</f>
        <v/>
      </c>
      <c r="F4065" s="4">
        <f>SUMIFS('Dubai Stock'!I:I,'Dubai Stock'!H:H,Final_UAE!B:B)</f>
        <v/>
      </c>
      <c r="H4065" s="8" t="e">
        <v>#N/A</v>
      </c>
      <c r="I4065" s="8" t="n"/>
    </row>
    <row r="4066">
      <c r="A4066" s="4" t="n">
        <v>33834</v>
      </c>
      <c r="B4066" s="4" t="inlineStr">
        <is>
          <t>cost3mo-lay-2022-p02-sage-gray-sn0600</t>
        </is>
      </c>
      <c r="C4066" s="4" t="inlineStr">
        <is>
          <t>W00031886A</t>
        </is>
      </c>
      <c r="D4066" s="6">
        <f>IF(F4066&gt;=5, F4066-5, IF(F4066&lt;5, 0, F4066))</f>
        <v/>
      </c>
      <c r="E4066">
        <f>VLOOKUP(B4066,[1]Namshi!$A:$B,2,0)</f>
        <v/>
      </c>
      <c r="F4066" s="4">
        <f>SUMIFS('Dubai Stock'!I:I,'Dubai Stock'!H:H,Final_UAE!B:B)</f>
        <v/>
      </c>
      <c r="H4066" s="8" t="e">
        <v>#N/A</v>
      </c>
      <c r="I4066" s="8" t="n"/>
    </row>
    <row r="4067">
      <c r="A4067" s="4" t="n">
        <v>33834</v>
      </c>
      <c r="B4067" s="4" t="inlineStr">
        <is>
          <t>clstdai-dai-aqua-p30-sn1250</t>
        </is>
      </c>
      <c r="C4067" s="4" t="inlineStr">
        <is>
          <t>W00031886A</t>
        </is>
      </c>
      <c r="D4067" s="6">
        <f>IF(F4067&gt;=5, F4067-5, IF(F4067&lt;5, 0, F4067))</f>
        <v/>
      </c>
      <c r="E4067">
        <f>VLOOKUP(B4067,[1]Namshi!$A:$B,2,0)</f>
        <v/>
      </c>
      <c r="F4067" s="4">
        <f>SUMIFS('Dubai Stock'!I:I,'Dubai Stock'!H:H,Final_UAE!B:B)</f>
        <v/>
      </c>
      <c r="H4067" s="8" t="e">
        <v>#N/A</v>
      </c>
      <c r="I4067" s="8" t="n"/>
    </row>
    <row r="4068">
      <c r="A4068" s="4" t="n">
        <v>33834</v>
      </c>
      <c r="B4068" s="4" t="inlineStr">
        <is>
          <t>sw32904-bla-000230-2904-54</t>
        </is>
      </c>
      <c r="C4068" s="4" t="inlineStr">
        <is>
          <t>W00031886A</t>
        </is>
      </c>
      <c r="D4068" s="6">
        <f>IF(F4068&gt;=5, F4068-5, IF(F4068&lt;5, 0, F4068))</f>
        <v/>
      </c>
      <c r="E4068">
        <f>VLOOKUP(B4068,[1]Namshi!$A:$B,2,0)</f>
        <v/>
      </c>
      <c r="F4068" s="4">
        <f>SUMIFS('Dubai Stock'!I:I,'Dubai Stock'!H:H,Final_UAE!B:B)</f>
        <v/>
      </c>
      <c r="H4068" s="8" t="e">
        <v>#N/A</v>
      </c>
    </row>
    <row r="4069">
      <c r="A4069" s="4" t="n">
        <v>33834</v>
      </c>
      <c r="B4069" s="4" t="inlineStr">
        <is>
          <t>cost3mo-lay-2021-p02-willow-green-sn0500</t>
        </is>
      </c>
      <c r="C4069" s="4" t="inlineStr">
        <is>
          <t>W00031886A</t>
        </is>
      </c>
      <c r="D4069" s="6">
        <f>IF(F4069&gt;=5, F4069-5, IF(F4069&lt;5, 0, F4069))</f>
        <v/>
      </c>
      <c r="E4069">
        <f>VLOOKUP(B4069,[1]Namshi!$A:$B,2,0)</f>
        <v/>
      </c>
      <c r="F4069" s="4">
        <f>SUMIFS('Dubai Stock'!I:I,'Dubai Stock'!H:H,Final_UAE!B:B)</f>
        <v/>
      </c>
      <c r="H4069" s="8" t="e">
        <v>#N/A</v>
      </c>
      <c r="I4069" s="8" t="n"/>
    </row>
    <row r="4070">
      <c r="A4070" s="4" t="n">
        <v>33834</v>
      </c>
      <c r="B4070" s="4" t="inlineStr">
        <is>
          <t>sw70107-30s-000259-0101-52</t>
        </is>
      </c>
      <c r="C4070" s="4" t="inlineStr">
        <is>
          <t>W00031886A</t>
        </is>
      </c>
      <c r="D4070" s="6">
        <f>IF(F4070&gt;=5, F4070-5, IF(F4070&lt;5, 0, F4070))</f>
        <v/>
      </c>
      <c r="E4070">
        <f>VLOOKUP(B4070,[1]Namshi!$A:$B,2,0)</f>
        <v/>
      </c>
      <c r="F4070" s="4">
        <f>SUMIFS('Dubai Stock'!I:I,'Dubai Stock'!H:H,Final_UAE!B:B)</f>
        <v/>
      </c>
      <c r="H4070" s="8" t="e">
        <v>#N/A</v>
      </c>
    </row>
    <row r="4071">
      <c r="A4071" s="4" t="n">
        <v>33834</v>
      </c>
      <c r="B4071" s="4" t="inlineStr">
        <is>
          <t>sw30506-bla-000204-2706-66</t>
        </is>
      </c>
      <c r="C4071" s="4" t="inlineStr">
        <is>
          <t>W00031886A</t>
        </is>
      </c>
      <c r="D4071" s="6">
        <f>IF(F4071&gt;=5, F4071-5, IF(F4071&lt;5, 0, F4071))</f>
        <v/>
      </c>
      <c r="E4071">
        <f>VLOOKUP(B4071,[1]Namshi!$A:$B,2,0)</f>
        <v/>
      </c>
      <c r="F4071" s="4">
        <f>SUMIFS('Dubai Stock'!I:I,'Dubai Stock'!H:H,Final_UAE!B:B)</f>
        <v/>
      </c>
      <c r="H4071" s="8" t="e">
        <v>#N/A</v>
      </c>
    </row>
    <row r="4072">
      <c r="A4072" s="4" t="n">
        <v>33834</v>
      </c>
      <c r="B4072" s="4" t="inlineStr">
        <is>
          <t>clstdai-eve-elit-p30-sn0250</t>
        </is>
      </c>
      <c r="C4072" s="4" t="inlineStr">
        <is>
          <t>W00031886A</t>
        </is>
      </c>
      <c r="D4072" s="6">
        <f>IF(F4072&gt;=5, F4072-5, IF(F4072&lt;5, 0, F4072))</f>
        <v/>
      </c>
      <c r="E4072">
        <f>VLOOKUP(B4072,[1]Namshi!$A:$B,2,0)</f>
        <v/>
      </c>
      <c r="F4072" s="4">
        <f>SUMIFS('Dubai Stock'!I:I,'Dubai Stock'!H:H,Final_UAE!B:B)</f>
        <v/>
      </c>
      <c r="H4072" s="8" t="n">
        <v>261</v>
      </c>
      <c r="I4072" s="8" t="n">
        <v>146.3</v>
      </c>
    </row>
    <row r="4073">
      <c r="A4073" s="4" t="n">
        <v>33834</v>
      </c>
      <c r="B4073" s="4" t="inlineStr">
        <is>
          <t>cost3mo-lay-2020-p02-hazel-brown-sn0400</t>
        </is>
      </c>
      <c r="C4073" s="4" t="inlineStr">
        <is>
          <t>W00031886A</t>
        </is>
      </c>
      <c r="D4073" s="6">
        <f>IF(F4073&gt;=5, F4073-5, IF(F4073&lt;5, 0, F4073))</f>
        <v/>
      </c>
      <c r="E4073">
        <f>VLOOKUP(B4073,[1]Namshi!$A:$B,2,0)</f>
        <v/>
      </c>
      <c r="F4073" s="4">
        <f>SUMIFS('Dubai Stock'!I:I,'Dubai Stock'!H:H,Final_UAE!B:B)</f>
        <v/>
      </c>
      <c r="H4073" s="8" t="e">
        <v>#N/A</v>
      </c>
      <c r="I4073" s="8" t="n"/>
    </row>
    <row r="4074">
      <c r="A4074" s="4" t="n">
        <v>33834</v>
      </c>
      <c r="B4074" s="4" t="inlineStr">
        <is>
          <t>sw102604-30s-000301-2604-54</t>
        </is>
      </c>
      <c r="C4074" s="4" t="inlineStr">
        <is>
          <t>W00031886A</t>
        </is>
      </c>
      <c r="D4074" s="6">
        <f>IF(F4074&gt;=5, F4074-5, IF(F4074&lt;5, 0, F4074))</f>
        <v/>
      </c>
      <c r="E4074">
        <f>VLOOKUP(B4074,[1]Namshi!$A:$B,2,0)</f>
        <v/>
      </c>
      <c r="F4074" s="4">
        <f>SUMIFS('Dubai Stock'!I:I,'Dubai Stock'!H:H,Final_UAE!B:B)</f>
        <v/>
      </c>
      <c r="H4074" s="8" t="e">
        <v>#N/A</v>
      </c>
    </row>
    <row r="4075">
      <c r="A4075" s="4" t="n">
        <v>33834</v>
      </c>
      <c r="B4075" s="4" t="inlineStr">
        <is>
          <t>costmon-ama-2024-p02-nmr-sn0125</t>
        </is>
      </c>
      <c r="C4075" s="4" t="inlineStr">
        <is>
          <t>W00031886A</t>
        </is>
      </c>
      <c r="D4075" s="6">
        <f>IF(F4075&gt;=5, F4075-5, IF(F4075&lt;5, 0, F4075))</f>
        <v/>
      </c>
      <c r="E4075">
        <f>VLOOKUP(B4075,[1]Namshi!$A:$B,2,0)</f>
        <v/>
      </c>
      <c r="F4075" s="4">
        <f>SUMIFS('Dubai Stock'!I:I,'Dubai Stock'!H:H,Final_UAE!B:B)</f>
        <v/>
      </c>
      <c r="H4075" s="8" t="e">
        <v>#N/A</v>
      </c>
      <c r="I4075" s="8" t="n"/>
    </row>
    <row r="4076">
      <c r="A4076" s="4" t="n">
        <v>33834</v>
      </c>
      <c r="B4076" s="4" t="inlineStr">
        <is>
          <t>sw102304-30s-000307-2304-54</t>
        </is>
      </c>
      <c r="C4076" s="4" t="inlineStr">
        <is>
          <t>W00031886A</t>
        </is>
      </c>
      <c r="D4076" s="6">
        <f>IF(F4076&gt;=5, F4076-5, IF(F4076&lt;5, 0, F4076))</f>
        <v/>
      </c>
      <c r="E4076">
        <f>VLOOKUP(B4076,[1]Namshi!$A:$B,2,0)</f>
        <v/>
      </c>
      <c r="F4076" s="4">
        <f>SUMIFS('Dubai Stock'!I:I,'Dubai Stock'!H:H,Final_UAE!B:B)</f>
        <v/>
      </c>
      <c r="H4076" s="8" t="e">
        <v>#N/A</v>
      </c>
    </row>
    <row r="4077">
      <c r="A4077" s="4" t="n">
        <v>33834</v>
      </c>
      <c r="B4077" s="4" t="inlineStr">
        <is>
          <t>sw30107-bla-000244-0101-52</t>
        </is>
      </c>
      <c r="C4077" s="4" t="inlineStr">
        <is>
          <t>W00031886A</t>
        </is>
      </c>
      <c r="D4077" s="6">
        <f>IF(F4077&gt;=5, F4077-5, IF(F4077&lt;5, 0, F4077))</f>
        <v/>
      </c>
      <c r="E4077">
        <f>VLOOKUP(B4077,[1]Namshi!$A:$B,2,0)</f>
        <v/>
      </c>
      <c r="F4077" s="4">
        <f>SUMIFS('Dubai Stock'!I:I,'Dubai Stock'!H:H,Final_UAE!B:B)</f>
        <v/>
      </c>
      <c r="H4077" s="8" t="e">
        <v>#N/A</v>
      </c>
    </row>
    <row r="4078">
      <c r="A4078" s="4" t="n">
        <v>33834</v>
      </c>
      <c r="B4078" s="4" t="inlineStr">
        <is>
          <t>sw100707-bla-000327-0707-56</t>
        </is>
      </c>
      <c r="C4078" s="4" t="inlineStr">
        <is>
          <t>W00031886A</t>
        </is>
      </c>
      <c r="D4078" s="6">
        <f>IF(F4078&gt;=5, F4078-5, IF(F4078&lt;5, 0, F4078))</f>
        <v/>
      </c>
      <c r="E4078">
        <f>VLOOKUP(B4078,[1]Namshi!$A:$B,2,0)</f>
        <v/>
      </c>
      <c r="F4078" s="4">
        <f>SUMIFS('Dubai Stock'!I:I,'Dubai Stock'!H:H,Final_UAE!B:B)</f>
        <v/>
      </c>
      <c r="H4078" s="8" t="e">
        <v>#N/A</v>
      </c>
    </row>
    <row r="4079">
      <c r="A4079" s="4" t="n">
        <v>33834</v>
      </c>
      <c r="B4079" s="4" t="inlineStr">
        <is>
          <t>sm101804-30s-000464-1804-53</t>
        </is>
      </c>
      <c r="C4079" s="4" t="inlineStr">
        <is>
          <t>W00031886A</t>
        </is>
      </c>
      <c r="D4079" s="6">
        <f>IF(F4079&gt;=5, F4079-5, IF(F4079&lt;5, 0, F4079))</f>
        <v/>
      </c>
      <c r="E4079">
        <f>VLOOKUP(B4079,[1]Namshi!$A:$B,2,0)</f>
        <v/>
      </c>
      <c r="F4079" s="4">
        <f>SUMIFS('Dubai Stock'!I:I,'Dubai Stock'!H:H,Final_UAE!B:B)</f>
        <v/>
      </c>
      <c r="H4079" s="8" t="e">
        <v>#N/A</v>
      </c>
    </row>
    <row r="4080">
      <c r="A4080" s="4" t="n">
        <v>33834</v>
      </c>
      <c r="B4080" s="4" t="inlineStr">
        <is>
          <t>cost3mo-lay-2020-p02-ash-gray-sn0100</t>
        </is>
      </c>
      <c r="C4080" s="4" t="inlineStr">
        <is>
          <t>W00031886A</t>
        </is>
      </c>
      <c r="D4080" s="6">
        <f>IF(F4080&gt;=5, F4080-5, IF(F4080&lt;5, 0, F4080))</f>
        <v/>
      </c>
      <c r="E4080">
        <f>VLOOKUP(B4080,[1]Namshi!$A:$B,2,0)</f>
        <v/>
      </c>
      <c r="F4080" s="4">
        <f>SUMIFS('Dubai Stock'!I:I,'Dubai Stock'!H:H,Final_UAE!B:B)</f>
        <v/>
      </c>
      <c r="H4080" s="8" t="e">
        <v>#N/A</v>
      </c>
      <c r="I4080" s="8" t="n"/>
    </row>
    <row r="4081">
      <c r="A4081" s="4" t="n">
        <v>33834</v>
      </c>
      <c r="B4081" s="4" t="inlineStr">
        <is>
          <t>sw32102-bla-000208-2102-54</t>
        </is>
      </c>
      <c r="C4081" s="4" t="inlineStr">
        <is>
          <t>W00031886A</t>
        </is>
      </c>
      <c r="D4081" s="6">
        <f>IF(F4081&gt;=5, F4081-5, IF(F4081&lt;5, 0, F4081))</f>
        <v/>
      </c>
      <c r="E4081">
        <f>VLOOKUP(B4081,[1]Namshi!$A:$B,2,0)</f>
        <v/>
      </c>
      <c r="F4081" s="4">
        <f>SUMIFS('Dubai Stock'!I:I,'Dubai Stock'!H:H,Final_UAE!B:B)</f>
        <v/>
      </c>
      <c r="H4081" s="8" t="e">
        <v>#N/A</v>
      </c>
    </row>
    <row r="4082">
      <c r="A4082" s="4" t="n">
        <v>33834</v>
      </c>
      <c r="B4082" s="4" t="inlineStr">
        <is>
          <t>sw32904-30s-000111-2904-63</t>
        </is>
      </c>
      <c r="C4082" s="4" t="inlineStr">
        <is>
          <t>W00031886A</t>
        </is>
      </c>
      <c r="D4082" s="6">
        <f>IF(F4082&gt;=5, F4082-5, IF(F4082&lt;5, 0, F4082))</f>
        <v/>
      </c>
      <c r="E4082">
        <f>VLOOKUP(B4082,[1]Namshi!$A:$B,2,0)</f>
        <v/>
      </c>
      <c r="F4082" s="4">
        <f>SUMIFS('Dubai Stock'!I:I,'Dubai Stock'!H:H,Final_UAE!B:B)</f>
        <v/>
      </c>
      <c r="H4082" s="8" t="e">
        <v>#N/A</v>
      </c>
    </row>
    <row r="4083">
      <c r="A4083" s="4" t="n">
        <v>33834</v>
      </c>
      <c r="B4083" s="4" t="inlineStr">
        <is>
          <t>sw102307-bla-000356-2307-52</t>
        </is>
      </c>
      <c r="C4083" s="4" t="inlineStr">
        <is>
          <t>W00031886A</t>
        </is>
      </c>
      <c r="D4083" s="6">
        <f>IF(F4083&gt;=5, F4083-5, IF(F4083&lt;5, 0, F4083))</f>
        <v/>
      </c>
      <c r="E4083">
        <f>VLOOKUP(B4083,[1]Namshi!$A:$B,2,0)</f>
        <v/>
      </c>
      <c r="F4083" s="4">
        <f>SUMIFS('Dubai Stock'!I:I,'Dubai Stock'!H:H,Final_UAE!B:B)</f>
        <v/>
      </c>
      <c r="H4083" s="8" t="e">
        <v>#N/A</v>
      </c>
    </row>
    <row r="4084">
      <c r="A4084" s="4" t="n">
        <v>33834</v>
      </c>
      <c r="B4084" s="4" t="inlineStr">
        <is>
          <t>clstdai-eve-pure-p90-sn0200</t>
        </is>
      </c>
      <c r="C4084" s="4" t="inlineStr">
        <is>
          <t>W00031886A</t>
        </is>
      </c>
      <c r="D4084" s="6">
        <f>IF(F4084&gt;=5, F4084-5, IF(F4084&lt;5, 0, F4084))</f>
        <v/>
      </c>
      <c r="E4084">
        <f>VLOOKUP(B4084,[1]Namshi!$A:$B,2,0)</f>
        <v/>
      </c>
      <c r="F4084" s="4">
        <f>SUMIFS('Dubai Stock'!I:I,'Dubai Stock'!H:H,Final_UAE!B:B)</f>
        <v/>
      </c>
      <c r="H4084" s="8" t="n">
        <v>529</v>
      </c>
      <c r="I4084" s="8" t="n">
        <v>259</v>
      </c>
    </row>
    <row r="4085">
      <c r="A4085" s="4" t="n">
        <v>33834</v>
      </c>
      <c r="B4085" s="4" t="inlineStr">
        <is>
          <t>sw60107-30s-000435-0107-54</t>
        </is>
      </c>
      <c r="C4085" s="4" t="inlineStr">
        <is>
          <t>W00031886A</t>
        </is>
      </c>
      <c r="D4085" s="6">
        <f>IF(F4085&gt;=5, F4085-5, IF(F4085&lt;5, 0, F4085))</f>
        <v/>
      </c>
      <c r="E4085">
        <f>VLOOKUP(B4085,[1]Namshi!$A:$B,2,0)</f>
        <v/>
      </c>
      <c r="F4085" s="4">
        <f>SUMIFS('Dubai Stock'!I:I,'Dubai Stock'!H:H,Final_UAE!B:B)</f>
        <v/>
      </c>
      <c r="H4085" s="8" t="e">
        <v>#N/A</v>
      </c>
    </row>
    <row r="4086">
      <c r="A4086" s="4" t="n">
        <v>33834</v>
      </c>
      <c r="B4086" s="4" t="inlineStr">
        <is>
          <t>cost3mo-lay-2022-p02-royal-green-sn0150</t>
        </is>
      </c>
      <c r="C4086" s="4" t="inlineStr">
        <is>
          <t>W00031886A</t>
        </is>
      </c>
      <c r="D4086" s="6">
        <f>IF(F4086&gt;=5, F4086-5, IF(F4086&lt;5, 0, F4086))</f>
        <v/>
      </c>
      <c r="E4086">
        <f>VLOOKUP(B4086,[1]Namshi!$A:$B,2,0)</f>
        <v/>
      </c>
      <c r="F4086" s="4">
        <f>SUMIFS('Dubai Stock'!I:I,'Dubai Stock'!H:H,Final_UAE!B:B)</f>
        <v/>
      </c>
      <c r="H4086" s="8" t="e">
        <v>#N/A</v>
      </c>
      <c r="I4086" s="8" t="n"/>
    </row>
    <row r="4087">
      <c r="A4087" s="4" t="n">
        <v>33834</v>
      </c>
      <c r="B4087" s="4" t="inlineStr">
        <is>
          <t>cost3mo-lay-lens-p02-chestnut-brown-sn0175</t>
        </is>
      </c>
      <c r="C4087" s="4" t="inlineStr">
        <is>
          <t>W00031886A</t>
        </is>
      </c>
      <c r="D4087" s="6">
        <f>IF(F4087&gt;=5, F4087-5, IF(F4087&lt;5, 0, F4087))</f>
        <v/>
      </c>
      <c r="E4087">
        <f>VLOOKUP(B4087,[1]Namshi!$A:$B,2,0)</f>
        <v/>
      </c>
      <c r="F4087" s="4">
        <f>SUMIFS('Dubai Stock'!I:I,'Dubai Stock'!H:H,Final_UAE!B:B)</f>
        <v/>
      </c>
      <c r="H4087" s="8" t="e">
        <v>#N/A</v>
      </c>
      <c r="I4087" s="8" t="n"/>
    </row>
    <row r="4088">
      <c r="A4088" s="4" t="n">
        <v>33834</v>
      </c>
      <c r="B4088" s="4" t="inlineStr">
        <is>
          <t>bc20618-bab-000502-0618-50</t>
        </is>
      </c>
      <c r="C4088" s="4" t="inlineStr">
        <is>
          <t>W00031886A</t>
        </is>
      </c>
      <c r="D4088" s="6">
        <f>IF(F4088&gt;=5, F4088-5, IF(F4088&lt;5, 0, F4088))</f>
        <v/>
      </c>
      <c r="E4088">
        <f>VLOOKUP(B4088,[1]Namshi!$A:$B,2,0)</f>
        <v/>
      </c>
      <c r="F4088" s="4">
        <f>SUMIFS('Dubai Stock'!I:I,'Dubai Stock'!H:H,Final_UAE!B:B)</f>
        <v/>
      </c>
      <c r="H4088" s="8" t="e">
        <v>#N/A</v>
      </c>
    </row>
    <row r="4089">
      <c r="A4089" s="4" t="n">
        <v>33834</v>
      </c>
      <c r="B4089" s="4" t="inlineStr">
        <is>
          <t>sw32404-30s-000122-2404-53</t>
        </is>
      </c>
      <c r="C4089" s="4" t="inlineStr">
        <is>
          <t>W00031886A</t>
        </is>
      </c>
      <c r="D4089" s="6">
        <f>IF(F4089&gt;=5, F4089-5, IF(F4089&lt;5, 0, F4089))</f>
        <v/>
      </c>
      <c r="E4089">
        <f>VLOOKUP(B4089,[1]Namshi!$A:$B,2,0)</f>
        <v/>
      </c>
      <c r="F4089" s="4">
        <f>SUMIFS('Dubai Stock'!I:I,'Dubai Stock'!H:H,Final_UAE!B:B)</f>
        <v/>
      </c>
      <c r="H4089" s="8" t="e">
        <v>#N/A</v>
      </c>
    </row>
    <row r="4090">
      <c r="A4090" s="4" t="n">
        <v>33834</v>
      </c>
      <c r="B4090" s="4" t="inlineStr">
        <is>
          <t>clstdai-lay-cont-p10-dazzle-brown-sn0425</t>
        </is>
      </c>
      <c r="C4090" s="4" t="inlineStr">
        <is>
          <t>W00031886A</t>
        </is>
      </c>
      <c r="D4090" s="6">
        <f>IF(F4090&gt;=5, F4090-5, IF(F4090&lt;5, 0, F4090))</f>
        <v/>
      </c>
      <c r="E4090">
        <f>VLOOKUP(B4090,[1]Namshi!$A:$B,2,0)</f>
        <v/>
      </c>
      <c r="F4090" s="4">
        <f>SUMIFS('Dubai Stock'!I:I,'Dubai Stock'!H:H,Final_UAE!B:B)</f>
        <v/>
      </c>
      <c r="H4090" s="8" t="e">
        <v>#N/A</v>
      </c>
      <c r="I4090" s="8" t="n"/>
    </row>
    <row r="4091">
      <c r="A4091" s="4" t="n">
        <v>33834</v>
      </c>
      <c r="B4091" s="4" t="inlineStr">
        <is>
          <t>clstdai-sof-sdai-p90-sn0125</t>
        </is>
      </c>
      <c r="C4091" s="4" t="inlineStr">
        <is>
          <t>W00031886A</t>
        </is>
      </c>
      <c r="D4091" s="6">
        <f>IF(F4091&gt;=5, F4091-5, IF(F4091&lt;5, 0, F4091))</f>
        <v/>
      </c>
      <c r="E4091">
        <f>VLOOKUP(B4091,[1]Namshi!$A:$B,2,0)</f>
        <v/>
      </c>
      <c r="F4091" s="4">
        <f>SUMIFS('Dubai Stock'!I:I,'Dubai Stock'!H:H,Final_UAE!B:B)</f>
        <v/>
      </c>
      <c r="H4091" s="8" t="e">
        <v>#N/A</v>
      </c>
      <c r="I4091" s="8" t="n"/>
    </row>
    <row r="4092">
      <c r="A4092" s="4" t="n">
        <v>33834</v>
      </c>
      <c r="B4092" s="4" t="inlineStr">
        <is>
          <t>sw31207-30s-000425-1207-60</t>
        </is>
      </c>
      <c r="C4092" s="4" t="inlineStr">
        <is>
          <t>W00031886A</t>
        </is>
      </c>
      <c r="D4092" s="6">
        <f>IF(F4092&gt;=5, F4092-5, IF(F4092&lt;5, 0, F4092))</f>
        <v/>
      </c>
      <c r="E4092">
        <f>VLOOKUP(B4092,[1]Namshi!$A:$B,2,0)</f>
        <v/>
      </c>
      <c r="F4092" s="4">
        <f>SUMIFS('Dubai Stock'!I:I,'Dubai Stock'!H:H,Final_UAE!B:B)</f>
        <v/>
      </c>
      <c r="H4092" s="8" t="e">
        <v>#N/A</v>
      </c>
    </row>
    <row r="4093">
      <c r="A4093" s="4" t="n">
        <v>33834</v>
      </c>
      <c r="B4093" s="4" t="inlineStr">
        <is>
          <t>costdai-ama-dail-p10-shadow-sn0850</t>
        </is>
      </c>
      <c r="C4093" s="4" t="inlineStr">
        <is>
          <t>W00031886A</t>
        </is>
      </c>
      <c r="D4093" s="6">
        <f>IF(F4093&gt;=5, F4093-5, IF(F4093&lt;5, 0, F4093))</f>
        <v/>
      </c>
      <c r="E4093">
        <f>VLOOKUP(B4093,[1]Namshi!$A:$B,2,0)</f>
        <v/>
      </c>
      <c r="F4093" s="4">
        <f>SUMIFS('Dubai Stock'!I:I,'Dubai Stock'!H:H,Final_UAE!B:B)</f>
        <v/>
      </c>
      <c r="H4093" s="8" t="e">
        <v>#N/A</v>
      </c>
      <c r="I4093" s="8" t="n"/>
    </row>
    <row r="4094">
      <c r="A4094" s="4" t="n">
        <v>33834</v>
      </c>
      <c r="B4094" s="4" t="inlineStr">
        <is>
          <t>clstdai-acu-dfrb-p60-sn0525</t>
        </is>
      </c>
      <c r="C4094" s="4" t="inlineStr">
        <is>
          <t>W00031886A</t>
        </is>
      </c>
      <c r="D4094" s="6">
        <f>IF(F4094&gt;=5, F4094-5, IF(F4094&lt;5, 0, F4094))</f>
        <v/>
      </c>
      <c r="E4094">
        <f>VLOOKUP(B4094,[1]Namshi!$A:$B,2,0)</f>
        <v/>
      </c>
      <c r="F4094" s="4">
        <f>SUMIFS('Dubai Stock'!I:I,'Dubai Stock'!H:H,Final_UAE!B:B)</f>
        <v/>
      </c>
      <c r="H4094" s="8" t="e">
        <v>#N/A</v>
      </c>
      <c r="I4094" s="8" t="n"/>
    </row>
    <row r="4095">
      <c r="A4095" s="4" t="n">
        <v>33834</v>
      </c>
      <c r="B4095" s="4" t="inlineStr">
        <is>
          <t>clstdai-dai-tot1-p90-sn0225</t>
        </is>
      </c>
      <c r="C4095" s="4" t="inlineStr">
        <is>
          <t>W00031886A</t>
        </is>
      </c>
      <c r="D4095" s="6">
        <f>IF(F4095&gt;=5, F4095-5, IF(F4095&lt;5, 0, F4095))</f>
        <v/>
      </c>
      <c r="E4095">
        <f>VLOOKUP(B4095,[1]Namshi!$A:$B,2,0)</f>
        <v/>
      </c>
      <c r="F4095" s="4">
        <f>SUMIFS('Dubai Stock'!I:I,'Dubai Stock'!H:H,Final_UAE!B:B)</f>
        <v/>
      </c>
      <c r="H4095" s="8" t="e">
        <v>#N/A</v>
      </c>
      <c r="I4095" s="8" t="n"/>
    </row>
    <row r="4096">
      <c r="A4096" s="4" t="n">
        <v>33834</v>
      </c>
      <c r="B4096" s="4" t="inlineStr">
        <is>
          <t>costdai-ama-dail-p10-shadow-sn0350</t>
        </is>
      </c>
      <c r="C4096" s="4" t="inlineStr">
        <is>
          <t>W00031886A</t>
        </is>
      </c>
      <c r="D4096" s="6">
        <f>IF(F4096&gt;=5, F4096-5, IF(F4096&lt;5, 0, F4096))</f>
        <v/>
      </c>
      <c r="E4096">
        <f>VLOOKUP(B4096,[1]Namshi!$A:$B,2,0)</f>
        <v/>
      </c>
      <c r="F4096" s="4">
        <f>SUMIFS('Dubai Stock'!I:I,'Dubai Stock'!H:H,Final_UAE!B:B)</f>
        <v/>
      </c>
      <c r="H4096" s="8" t="e">
        <v>#N/A</v>
      </c>
      <c r="I4096" s="8" t="n"/>
    </row>
    <row r="4097">
      <c r="A4097" s="4" t="n">
        <v>33834</v>
      </c>
      <c r="B4097" s="4" t="inlineStr">
        <is>
          <t>cost3mo-lay-2022-p02-cosmo-gray-sn0200</t>
        </is>
      </c>
      <c r="C4097" s="4" t="inlineStr">
        <is>
          <t>W00031886A</t>
        </is>
      </c>
      <c r="D4097" s="6">
        <f>IF(F4097&gt;=5, F4097-5, IF(F4097&lt;5, 0, F4097))</f>
        <v/>
      </c>
      <c r="E4097">
        <f>VLOOKUP(B4097,[1]Namshi!$A:$B,2,0)</f>
        <v/>
      </c>
      <c r="F4097" s="4">
        <f>SUMIFS('Dubai Stock'!I:I,'Dubai Stock'!H:H,Final_UAE!B:B)</f>
        <v/>
      </c>
      <c r="H4097" s="8" t="e">
        <v>#N/A</v>
      </c>
      <c r="I4097" s="8" t="n"/>
    </row>
    <row r="4098">
      <c r="A4098" s="4" t="n">
        <v>33834</v>
      </c>
      <c r="B4098" s="4" t="inlineStr">
        <is>
          <t>clstdai-dai-tot1-p30-sn0050</t>
        </is>
      </c>
      <c r="C4098" s="4" t="inlineStr">
        <is>
          <t>W00031886A</t>
        </is>
      </c>
      <c r="D4098" s="6">
        <f>IF(F4098&gt;=5, F4098-5, IF(F4098&lt;5, 0, F4098))</f>
        <v/>
      </c>
      <c r="E4098">
        <f>VLOOKUP(B4098,[1]Namshi!$A:$B,2,0)</f>
        <v/>
      </c>
      <c r="F4098" s="4">
        <f>SUMIFS('Dubai Stock'!I:I,'Dubai Stock'!H:H,Final_UAE!B:B)</f>
        <v/>
      </c>
      <c r="H4098" s="8" t="e">
        <v>#N/A</v>
      </c>
      <c r="I4098" s="8" t="n"/>
    </row>
    <row r="4099">
      <c r="A4099" s="4" t="n">
        <v>33834</v>
      </c>
      <c r="B4099" s="4" t="inlineStr">
        <is>
          <t>clstdai-acu-omax-p90-sp0175</t>
        </is>
      </c>
      <c r="C4099" s="4" t="inlineStr">
        <is>
          <t>W00031886A</t>
        </is>
      </c>
      <c r="D4099" s="6">
        <f>IF(F4099&gt;=5, F4099-5, IF(F4099&lt;5, 0, F4099))</f>
        <v/>
      </c>
      <c r="E4099">
        <f>VLOOKUP(B4099,[1]Namshi!$A:$B,2,0)</f>
        <v/>
      </c>
      <c r="F4099" s="4">
        <f>SUMIFS('Dubai Stock'!I:I,'Dubai Stock'!H:H,Final_UAE!B:B)</f>
        <v/>
      </c>
      <c r="H4099" s="8" t="e">
        <v>#N/A</v>
      </c>
      <c r="I4099" s="8" t="n"/>
    </row>
    <row r="4100">
      <c r="A4100" s="4" t="n">
        <v>33834</v>
      </c>
      <c r="B4100" s="4" t="inlineStr">
        <is>
          <t>fw100718-spc-000300-0700-52</t>
        </is>
      </c>
      <c r="C4100" s="4" t="inlineStr">
        <is>
          <t>W00031886A</t>
        </is>
      </c>
      <c r="D4100" s="6">
        <f>IF(F4100&gt;=5, F4100-5, IF(F4100&lt;5, 0, F4100))</f>
        <v/>
      </c>
      <c r="E4100">
        <f>VLOOKUP(B4100,[1]Namshi!$A:$B,2,0)</f>
        <v/>
      </c>
      <c r="F4100" s="4">
        <f>SUMIFS('Dubai Stock'!I:I,'Dubai Stock'!H:H,Final_UAE!B:B)</f>
        <v/>
      </c>
      <c r="H4100" s="8" t="e">
        <v>#N/A</v>
      </c>
      <c r="I4100" s="8" t="n"/>
    </row>
    <row r="4101">
      <c r="A4101" s="4" t="n">
        <v>33834</v>
      </c>
      <c r="B4101" s="4" t="inlineStr">
        <is>
          <t>sw20710-bla-000106-0710-57</t>
        </is>
      </c>
      <c r="C4101" s="4" t="inlineStr">
        <is>
          <t>W00031886A</t>
        </is>
      </c>
      <c r="D4101" s="6">
        <f>IF(F4101&gt;=5, F4101-5, IF(F4101&lt;5, 0, F4101))</f>
        <v/>
      </c>
      <c r="E4101">
        <f>VLOOKUP(B4101,[1]Namshi!$A:$B,2,0)</f>
        <v/>
      </c>
      <c r="F4101" s="4">
        <f>SUMIFS('Dubai Stock'!I:I,'Dubai Stock'!H:H,Final_UAE!B:B)</f>
        <v/>
      </c>
      <c r="H4101" s="8" t="e">
        <v>#N/A</v>
      </c>
    </row>
    <row r="4102">
      <c r="A4102" s="4" t="n">
        <v>33834</v>
      </c>
      <c r="B4102" s="4" t="inlineStr">
        <is>
          <t>clstdai-dai-tot1-p90-sn0550</t>
        </is>
      </c>
      <c r="C4102" s="4" t="inlineStr">
        <is>
          <t>W00031886A</t>
        </is>
      </c>
      <c r="D4102" s="6">
        <f>IF(F4102&gt;=5, F4102-5, IF(F4102&lt;5, 0, F4102))</f>
        <v/>
      </c>
      <c r="E4102">
        <f>VLOOKUP(B4102,[1]Namshi!$A:$B,2,0)</f>
        <v/>
      </c>
      <c r="F4102" s="4">
        <f>SUMIFS('Dubai Stock'!I:I,'Dubai Stock'!H:H,Final_UAE!B:B)</f>
        <v/>
      </c>
      <c r="H4102" s="8" t="e">
        <v>#N/A</v>
      </c>
      <c r="I4102" s="8" t="n"/>
    </row>
    <row r="4103">
      <c r="A4103" s="4" t="n">
        <v>33834</v>
      </c>
      <c r="B4103" s="4" t="inlineStr">
        <is>
          <t>clstdai-lay-cont-p30-dazzle-brown-sn0375</t>
        </is>
      </c>
      <c r="C4103" s="4" t="inlineStr">
        <is>
          <t>W00031886A</t>
        </is>
      </c>
      <c r="D4103" s="6">
        <f>IF(F4103&gt;=5, F4103-5, IF(F4103&lt;5, 0, F4103))</f>
        <v/>
      </c>
      <c r="E4103">
        <f>VLOOKUP(B4103,[1]Namshi!$A:$B,2,0)</f>
        <v/>
      </c>
      <c r="F4103" s="4">
        <f>SUMIFS('Dubai Stock'!I:I,'Dubai Stock'!H:H,Final_UAE!B:B)</f>
        <v/>
      </c>
      <c r="H4103" s="8" t="e">
        <v>#N/A</v>
      </c>
      <c r="I4103" s="8" t="n"/>
    </row>
    <row r="4104">
      <c r="A4104" s="4" t="n">
        <v>33834</v>
      </c>
      <c r="B4104" s="4" t="inlineStr">
        <is>
          <t>sw52907-bla-000221-2901-61</t>
        </is>
      </c>
      <c r="C4104" s="4" t="inlineStr">
        <is>
          <t>W00031886A</t>
        </is>
      </c>
      <c r="D4104" s="6">
        <f>IF(F4104&gt;=5, F4104-5, IF(F4104&lt;5, 0, F4104))</f>
        <v/>
      </c>
      <c r="E4104">
        <f>VLOOKUP(B4104,[1]Namshi!$A:$B,2,0)</f>
        <v/>
      </c>
      <c r="F4104" s="4">
        <f>SUMIFS('Dubai Stock'!I:I,'Dubai Stock'!H:H,Final_UAE!B:B)</f>
        <v/>
      </c>
      <c r="H4104" s="8" t="e">
        <v>#N/A</v>
      </c>
    </row>
    <row r="4105">
      <c r="A4105" s="4" t="n">
        <v>33834</v>
      </c>
      <c r="B4105" s="4" t="inlineStr">
        <is>
          <t>clstdai-eve-pure-p90-Sn0950</t>
        </is>
      </c>
      <c r="C4105" s="4" t="inlineStr">
        <is>
          <t>W00031886A</t>
        </is>
      </c>
      <c r="D4105" s="6">
        <f>IF(F4105&gt;=5, F4105-5, IF(F4105&lt;5, 0, F4105))</f>
        <v/>
      </c>
      <c r="E4105">
        <f>VLOOKUP(B4105,[1]Namshi!$A:$B,2,0)</f>
        <v/>
      </c>
      <c r="F4105" s="4">
        <f>SUMIFS('Dubai Stock'!I:I,'Dubai Stock'!H:H,Final_UAE!B:B)</f>
        <v/>
      </c>
      <c r="H4105" s="8" t="n">
        <v>529</v>
      </c>
      <c r="I4105" s="8" t="n">
        <v>259</v>
      </c>
    </row>
    <row r="4106">
      <c r="A4106" s="4" t="n">
        <v>33834</v>
      </c>
      <c r="B4106" s="4" t="inlineStr">
        <is>
          <t>clstdai-lay-cont-p90-dazzle-black-sn0200</t>
        </is>
      </c>
      <c r="C4106" s="4" t="inlineStr">
        <is>
          <t>W00031886A</t>
        </is>
      </c>
      <c r="D4106" s="6">
        <f>IF(F4106&gt;=5, F4106-5, IF(F4106&lt;5, 0, F4106))</f>
        <v/>
      </c>
      <c r="E4106">
        <f>VLOOKUP(B4106,[1]Namshi!$A:$B,2,0)</f>
        <v/>
      </c>
      <c r="F4106" s="4">
        <f>SUMIFS('Dubai Stock'!I:I,'Dubai Stock'!H:H,Final_UAE!B:B)</f>
        <v/>
      </c>
      <c r="H4106" s="8" t="e">
        <v>#N/A</v>
      </c>
      <c r="I4106" s="8" t="n"/>
    </row>
    <row r="4107">
      <c r="A4107" s="4" t="n">
        <v>33834</v>
      </c>
      <c r="B4107" s="4" t="inlineStr">
        <is>
          <t>costmon-ama-2020-p02-charcoal-gray-sn0175</t>
        </is>
      </c>
      <c r="C4107" s="4" t="inlineStr">
        <is>
          <t>W00031886A</t>
        </is>
      </c>
      <c r="D4107" s="6">
        <f>IF(F4107&gt;=5, F4107-5, IF(F4107&lt;5, 0, F4107))</f>
        <v/>
      </c>
      <c r="E4107">
        <f>VLOOKUP(B4107,[1]Namshi!$A:$B,2,0)</f>
        <v/>
      </c>
      <c r="F4107" s="4">
        <f>SUMIFS('Dubai Stock'!I:I,'Dubai Stock'!H:H,Final_UAE!B:B)</f>
        <v/>
      </c>
      <c r="H4107" s="8" t="e">
        <v>#N/A</v>
      </c>
      <c r="I4107" s="8" t="n"/>
    </row>
    <row r="4108">
      <c r="A4108" s="4" t="n">
        <v>33834</v>
      </c>
      <c r="B4108" s="4" t="inlineStr">
        <is>
          <t>clstdai-acu-dfvi-p90-sn0300</t>
        </is>
      </c>
      <c r="C4108" s="4" t="inlineStr">
        <is>
          <t>W00031886A</t>
        </is>
      </c>
      <c r="D4108" s="6">
        <f>IF(F4108&gt;=5, F4108-5, IF(F4108&lt;5, 0, F4108))</f>
        <v/>
      </c>
      <c r="E4108">
        <f>VLOOKUP(B4108,[1]Namshi!$A:$B,2,0)</f>
        <v/>
      </c>
      <c r="F4108" s="4">
        <f>SUMIFS('Dubai Stock'!I:I,'Dubai Stock'!H:H,Final_UAE!B:B)</f>
        <v/>
      </c>
      <c r="H4108" s="8" t="e">
        <v>#N/A</v>
      </c>
      <c r="I4108" s="8" t="n"/>
    </row>
    <row r="4109">
      <c r="A4109" s="4" t="n">
        <v>33834</v>
      </c>
      <c r="B4109" s="4" t="inlineStr">
        <is>
          <t>fw10518-mrw-mw69116101-53</t>
        </is>
      </c>
      <c r="C4109" s="4" t="inlineStr">
        <is>
          <t>W00031886A</t>
        </is>
      </c>
      <c r="D4109" s="6">
        <f>IF(F4109&gt;=5, F4109-5, IF(F4109&lt;5, 0, F4109))</f>
        <v/>
      </c>
      <c r="E4109">
        <f>VLOOKUP(B4109,[1]Namshi!$A:$B,2,0)</f>
        <v/>
      </c>
      <c r="F4109" s="4">
        <f>SUMIFS('Dubai Stock'!I:I,'Dubai Stock'!H:H,Final_UAE!B:B)</f>
        <v/>
      </c>
      <c r="H4109" s="8" t="e">
        <v>#N/A</v>
      </c>
      <c r="I4109" s="8" t="n"/>
    </row>
    <row r="4110">
      <c r="A4110" s="4" t="n">
        <v>33834</v>
      </c>
      <c r="B4110" s="4" t="inlineStr">
        <is>
          <t>bc20218-bab-000512-0218d-50</t>
        </is>
      </c>
      <c r="C4110" s="4" t="inlineStr">
        <is>
          <t>W00031886A</t>
        </is>
      </c>
      <c r="D4110" s="6">
        <f>IF(F4110&gt;=5, F4110-5, IF(F4110&lt;5, 0, F4110))</f>
        <v/>
      </c>
      <c r="E4110">
        <f>VLOOKUP(B4110,[1]Namshi!$A:$B,2,0)</f>
        <v/>
      </c>
      <c r="F4110" s="4">
        <f>SUMIFS('Dubai Stock'!I:I,'Dubai Stock'!H:H,Final_UAE!B:B)</f>
        <v/>
      </c>
      <c r="H4110" s="8" t="e">
        <v>#N/A</v>
      </c>
    </row>
    <row r="4111">
      <c r="A4111" s="4" t="n">
        <v>33834</v>
      </c>
      <c r="B4111" s="4" t="inlineStr">
        <is>
          <t>clstdai-acu-mois-p30-sp0100</t>
        </is>
      </c>
      <c r="C4111" s="4" t="inlineStr">
        <is>
          <t>W00031886A</t>
        </is>
      </c>
      <c r="D4111" s="6">
        <f>IF(F4111&gt;=5, F4111-5, IF(F4111&lt;5, 0, F4111))</f>
        <v/>
      </c>
      <c r="E4111">
        <f>VLOOKUP(B4111,[1]Namshi!$A:$B,2,0)</f>
        <v/>
      </c>
      <c r="F4111" s="4">
        <f>SUMIFS('Dubai Stock'!I:I,'Dubai Stock'!H:H,Final_UAE!B:B)</f>
        <v/>
      </c>
      <c r="H4111" s="8" t="e">
        <v>#N/A</v>
      </c>
      <c r="I4111" s="8" t="n"/>
    </row>
    <row r="4112">
      <c r="A4112" s="4" t="n">
        <v>33834</v>
      </c>
      <c r="B4112" s="4" t="inlineStr">
        <is>
          <t>sm50102-30s-000220-2106-55</t>
        </is>
      </c>
      <c r="C4112" s="4" t="inlineStr">
        <is>
          <t>W00031886A</t>
        </is>
      </c>
      <c r="D4112" s="6">
        <f>IF(F4112&gt;=5, F4112-5, IF(F4112&lt;5, 0, F4112))</f>
        <v/>
      </c>
      <c r="E4112">
        <f>VLOOKUP(B4112,[1]Namshi!$A:$B,2,0)</f>
        <v/>
      </c>
      <c r="F4112" s="4">
        <f>SUMIFS('Dubai Stock'!I:I,'Dubai Stock'!H:H,Final_UAE!B:B)</f>
        <v/>
      </c>
      <c r="H4112" s="8" t="e">
        <v>#N/A</v>
      </c>
    </row>
    <row r="4113">
      <c r="A4113" s="4" t="n">
        <v>33834</v>
      </c>
      <c r="B4113" s="4" t="inlineStr">
        <is>
          <t>clstdai-acu-oasy-p120-sn1000</t>
        </is>
      </c>
      <c r="C4113" s="4" t="inlineStr">
        <is>
          <t>W00031886A</t>
        </is>
      </c>
      <c r="D4113" s="6">
        <f>IF(F4113&gt;=5, F4113-5, IF(F4113&lt;5, 0, F4113))</f>
        <v/>
      </c>
      <c r="E4113">
        <f>VLOOKUP(B4113,[1]Namshi!$A:$B,2,0)</f>
        <v/>
      </c>
      <c r="F4113" s="4">
        <f>SUMIFS('Dubai Stock'!I:I,'Dubai Stock'!H:H,Final_UAE!B:B)</f>
        <v/>
      </c>
      <c r="H4113" s="8" t="e">
        <v>#N/A</v>
      </c>
      <c r="I4113" s="8" t="n"/>
    </row>
    <row r="4114">
      <c r="A4114" s="4" t="n">
        <v>33834</v>
      </c>
      <c r="B4114" s="4" t="inlineStr">
        <is>
          <t>clstdai-lay-cont-p10-dazzle-brown-sn0950</t>
        </is>
      </c>
      <c r="C4114" s="4" t="inlineStr">
        <is>
          <t>W00031886A</t>
        </is>
      </c>
      <c r="D4114" s="6">
        <f>IF(F4114&gt;=5, F4114-5, IF(F4114&lt;5, 0, F4114))</f>
        <v/>
      </c>
      <c r="E4114">
        <f>VLOOKUP(B4114,[1]Namshi!$A:$B,2,0)</f>
        <v/>
      </c>
      <c r="F4114" s="4">
        <f>SUMIFS('Dubai Stock'!I:I,'Dubai Stock'!H:H,Final_UAE!B:B)</f>
        <v/>
      </c>
      <c r="H4114" s="8" t="e">
        <v>#N/A</v>
      </c>
      <c r="I4114" s="8" t="n"/>
    </row>
    <row r="4115">
      <c r="A4115" s="4" t="n">
        <v>33834</v>
      </c>
      <c r="B4115" s="4" t="inlineStr">
        <is>
          <t>sw22504-30s-000132-2504-46</t>
        </is>
      </c>
      <c r="C4115" s="4" t="inlineStr">
        <is>
          <t>W00031886A</t>
        </is>
      </c>
      <c r="D4115" s="6">
        <f>IF(F4115&gt;=5, F4115-5, IF(F4115&lt;5, 0, F4115))</f>
        <v/>
      </c>
      <c r="E4115">
        <f>VLOOKUP(B4115,[1]Namshi!$A:$B,2,0)</f>
        <v/>
      </c>
      <c r="F4115" s="4">
        <f>SUMIFS('Dubai Stock'!I:I,'Dubai Stock'!H:H,Final_UAE!B:B)</f>
        <v/>
      </c>
      <c r="H4115" s="8" t="e">
        <v>#N/A</v>
      </c>
    </row>
    <row r="4116">
      <c r="A4116" s="4" t="n">
        <v>33834</v>
      </c>
      <c r="B4116" s="4" t="inlineStr">
        <is>
          <t>sm101202-30s-000266-1202-59</t>
        </is>
      </c>
      <c r="C4116" s="4" t="inlineStr">
        <is>
          <t>W00031886A</t>
        </is>
      </c>
      <c r="D4116" s="6">
        <f>IF(F4116&gt;=5, F4116-5, IF(F4116&lt;5, 0, F4116))</f>
        <v/>
      </c>
      <c r="E4116">
        <f>VLOOKUP(B4116,[1]Namshi!$A:$B,2,0)</f>
        <v/>
      </c>
      <c r="F4116" s="4">
        <f>SUMIFS('Dubai Stock'!I:I,'Dubai Stock'!H:H,Final_UAE!B:B)</f>
        <v/>
      </c>
      <c r="H4116" s="8" t="e">
        <v>#N/A</v>
      </c>
    </row>
    <row r="4117">
      <c r="A4117" s="4" t="n">
        <v>33834</v>
      </c>
      <c r="B4117" s="4" t="inlineStr">
        <is>
          <t>sm60406-30s-000235-0406-46</t>
        </is>
      </c>
      <c r="C4117" s="4" t="inlineStr">
        <is>
          <t>W00031886A</t>
        </is>
      </c>
      <c r="D4117" s="6">
        <f>IF(F4117&gt;=5, F4117-5, IF(F4117&lt;5, 0, F4117))</f>
        <v/>
      </c>
      <c r="E4117">
        <f>VLOOKUP(B4117,[1]Namshi!$A:$B,2,0)</f>
        <v/>
      </c>
      <c r="F4117" s="4">
        <f>SUMIFS('Dubai Stock'!I:I,'Dubai Stock'!H:H,Final_UAE!B:B)</f>
        <v/>
      </c>
      <c r="H4117" s="8" t="e">
        <v>#N/A</v>
      </c>
    </row>
    <row r="4118">
      <c r="A4118" s="4" t="n">
        <v>33834</v>
      </c>
      <c r="B4118" s="4" t="inlineStr">
        <is>
          <t>cost3mo-lay-2025-p02-desert-topaz-sn0575</t>
        </is>
      </c>
      <c r="C4118" s="4" t="inlineStr">
        <is>
          <t>W00031886A</t>
        </is>
      </c>
      <c r="D4118" s="6">
        <f>IF(F4118&gt;=5, F4118-5, IF(F4118&lt;5, 0, F4118))</f>
        <v/>
      </c>
      <c r="E4118">
        <f>VLOOKUP(B4118,[1]Namshi!$A:$B,2,0)</f>
        <v/>
      </c>
      <c r="F4118" s="4">
        <f>SUMIFS('Dubai Stock'!I:I,'Dubai Stock'!H:H,Final_UAE!B:B)</f>
        <v/>
      </c>
      <c r="H4118" s="8" t="e">
        <v>#N/A</v>
      </c>
      <c r="I4118" s="8" t="n"/>
    </row>
    <row r="4119">
      <c r="A4119" s="4" t="n">
        <v>33834</v>
      </c>
      <c r="B4119" s="4" t="inlineStr">
        <is>
          <t>costmon-ama-2023-p02-chai-sn0400</t>
        </is>
      </c>
      <c r="C4119" s="4" t="inlineStr">
        <is>
          <t>W00031886A</t>
        </is>
      </c>
      <c r="D4119" s="6">
        <f>IF(F4119&gt;=5, F4119-5, IF(F4119&lt;5, 0, F4119))</f>
        <v/>
      </c>
      <c r="E4119">
        <f>VLOOKUP(B4119,[1]Namshi!$A:$B,2,0)</f>
        <v/>
      </c>
      <c r="F4119" s="4">
        <f>SUMIFS('Dubai Stock'!I:I,'Dubai Stock'!H:H,Final_UAE!B:B)</f>
        <v/>
      </c>
      <c r="H4119" s="8" t="e">
        <v>#N/A</v>
      </c>
      <c r="I4119" s="8" t="n"/>
    </row>
    <row r="4120">
      <c r="A4120" s="4" t="n">
        <v>33834</v>
      </c>
      <c r="B4120" s="4" t="inlineStr">
        <is>
          <t>costmon-ama-lens-p02-dark-sepia-sn0325</t>
        </is>
      </c>
      <c r="C4120" s="4" t="inlineStr">
        <is>
          <t>W00031886A</t>
        </is>
      </c>
      <c r="D4120" s="6">
        <f>IF(F4120&gt;=5, F4120-5, IF(F4120&lt;5, 0, F4120))</f>
        <v/>
      </c>
      <c r="E4120">
        <f>VLOOKUP(B4120,[1]Namshi!$A:$B,2,0)</f>
        <v/>
      </c>
      <c r="F4120" s="4">
        <f>SUMIFS('Dubai Stock'!I:I,'Dubai Stock'!H:H,Final_UAE!B:B)</f>
        <v/>
      </c>
      <c r="H4120" s="8" t="e">
        <v>#N/A</v>
      </c>
      <c r="I4120" s="8" t="n"/>
    </row>
    <row r="4121">
      <c r="A4121" s="4" t="n">
        <v>33834</v>
      </c>
      <c r="B4121" s="4" t="inlineStr">
        <is>
          <t>fw30918-spc-000817-0918-54</t>
        </is>
      </c>
      <c r="C4121" s="4" t="inlineStr">
        <is>
          <t>W00031886A</t>
        </is>
      </c>
      <c r="D4121" s="6">
        <f>IF(F4121&gt;=5, F4121-5, IF(F4121&lt;5, 0, F4121))</f>
        <v/>
      </c>
      <c r="E4121">
        <f>VLOOKUP(B4121,[1]Namshi!$A:$B,2,0)</f>
        <v/>
      </c>
      <c r="F4121" s="4">
        <f>SUMIFS('Dubai Stock'!I:I,'Dubai Stock'!H:H,Final_UAE!B:B)</f>
        <v/>
      </c>
      <c r="H4121" s="8" t="e">
        <v>#N/A</v>
      </c>
      <c r="I4121" s="8" t="n"/>
    </row>
    <row r="4122">
      <c r="A4122" s="4" t="n">
        <v>33834</v>
      </c>
      <c r="B4122" s="4" t="inlineStr">
        <is>
          <t>clstdai-acu-mois-p30-sn0100</t>
        </is>
      </c>
      <c r="C4122" s="4" t="inlineStr">
        <is>
          <t>W00031886A</t>
        </is>
      </c>
      <c r="D4122" s="6">
        <f>IF(F4122&gt;=5, F4122-5, IF(F4122&lt;5, 0, F4122))</f>
        <v/>
      </c>
      <c r="E4122">
        <f>VLOOKUP(B4122,[1]Namshi!$A:$B,2,0)</f>
        <v/>
      </c>
      <c r="F4122" s="4">
        <f>SUMIFS('Dubai Stock'!I:I,'Dubai Stock'!H:H,Final_UAE!B:B)</f>
        <v/>
      </c>
      <c r="H4122" s="8" t="e">
        <v>#N/A</v>
      </c>
      <c r="I4122" s="8" t="n"/>
    </row>
    <row r="4123">
      <c r="A4123" s="4" t="n">
        <v>33834</v>
      </c>
      <c r="B4123" s="4" t="inlineStr">
        <is>
          <t>sm70707-30s-000209-0707-60</t>
        </is>
      </c>
      <c r="C4123" s="4" t="inlineStr">
        <is>
          <t>W00031886A</t>
        </is>
      </c>
      <c r="D4123" s="6">
        <f>IF(F4123&gt;=5, F4123-5, IF(F4123&lt;5, 0, F4123))</f>
        <v/>
      </c>
      <c r="E4123">
        <f>VLOOKUP(B4123,[1]Namshi!$A:$B,2,0)</f>
        <v/>
      </c>
      <c r="F4123" s="4">
        <f>SUMIFS('Dubai Stock'!I:I,'Dubai Stock'!H:H,Final_UAE!B:B)</f>
        <v/>
      </c>
      <c r="H4123" s="8" t="e">
        <v>#N/A</v>
      </c>
    </row>
    <row r="4124">
      <c r="A4124" s="4" t="n">
        <v>33834</v>
      </c>
      <c r="B4124" s="4" t="inlineStr">
        <is>
          <t>cost3mo-lay-lens-p02-forest-green-sn0500</t>
        </is>
      </c>
      <c r="C4124" s="4" t="inlineStr">
        <is>
          <t>W00031886A</t>
        </is>
      </c>
      <c r="D4124" s="6">
        <f>IF(F4124&gt;=5, F4124-5, IF(F4124&lt;5, 0, F4124))</f>
        <v/>
      </c>
      <c r="E4124">
        <f>VLOOKUP(B4124,[1]Namshi!$A:$B,2,0)</f>
        <v/>
      </c>
      <c r="F4124" s="4">
        <f>SUMIFS('Dubai Stock'!I:I,'Dubai Stock'!H:H,Final_UAE!B:B)</f>
        <v/>
      </c>
      <c r="H4124" s="8" t="e">
        <v>#N/A</v>
      </c>
      <c r="I4124" s="8" t="n"/>
    </row>
    <row r="4125">
      <c r="A4125" s="4" t="n">
        <v>33834</v>
      </c>
      <c r="B4125" s="4" t="inlineStr">
        <is>
          <t>sw30107-30s-000434-0107-61</t>
        </is>
      </c>
      <c r="C4125" s="4" t="inlineStr">
        <is>
          <t>W00031886A</t>
        </is>
      </c>
      <c r="D4125" s="6">
        <f>IF(F4125&gt;=5, F4125-5, IF(F4125&lt;5, 0, F4125))</f>
        <v/>
      </c>
      <c r="E4125">
        <f>VLOOKUP(B4125,[1]Namshi!$A:$B,2,0)</f>
        <v/>
      </c>
      <c r="F4125" s="4">
        <f>SUMIFS('Dubai Stock'!I:I,'Dubai Stock'!H:H,Final_UAE!B:B)</f>
        <v/>
      </c>
      <c r="H4125" s="8" t="e">
        <v>#N/A</v>
      </c>
    </row>
    <row r="4126">
      <c r="A4126" s="4" t="n">
        <v>33834</v>
      </c>
      <c r="B4126" s="4" t="inlineStr">
        <is>
          <t>clstdai-lay-cont-p10-dazzle-black-sn0475</t>
        </is>
      </c>
      <c r="C4126" s="4" t="inlineStr">
        <is>
          <t>W00031886A</t>
        </is>
      </c>
      <c r="D4126" s="6">
        <f>IF(F4126&gt;=5, F4126-5, IF(F4126&lt;5, 0, F4126))</f>
        <v/>
      </c>
      <c r="E4126">
        <f>VLOOKUP(B4126,[1]Namshi!$A:$B,2,0)</f>
        <v/>
      </c>
      <c r="F4126" s="4">
        <f>SUMIFS('Dubai Stock'!I:I,'Dubai Stock'!H:H,Final_UAE!B:B)</f>
        <v/>
      </c>
      <c r="H4126" s="8" t="e">
        <v>#N/A</v>
      </c>
      <c r="I4126" s="8" t="n"/>
    </row>
    <row r="4127">
      <c r="A4127" s="4" t="n">
        <v>33834</v>
      </c>
      <c r="B4127" s="4" t="inlineStr">
        <is>
          <t>clstdai-lay-cont-p30-dazzle-brown-sn0025</t>
        </is>
      </c>
      <c r="C4127" s="4" t="inlineStr">
        <is>
          <t>W00031886A</t>
        </is>
      </c>
      <c r="D4127" s="6">
        <f>IF(F4127&gt;=5, F4127-5, IF(F4127&lt;5, 0, F4127))</f>
        <v/>
      </c>
      <c r="E4127">
        <f>VLOOKUP(B4127,[1]Namshi!$A:$B,2,0)</f>
        <v/>
      </c>
      <c r="F4127" s="4">
        <f>SUMIFS('Dubai Stock'!I:I,'Dubai Stock'!H:H,Final_UAE!B:B)</f>
        <v/>
      </c>
      <c r="H4127" s="8" t="e">
        <v>#N/A</v>
      </c>
      <c r="I4127" s="8" t="n"/>
    </row>
    <row r="4128">
      <c r="A4128" s="4" t="n">
        <v>33834</v>
      </c>
      <c r="B4128" s="4" t="inlineStr">
        <is>
          <t>clstdai-lay-cont-p10-dazzle-brown-sn0500</t>
        </is>
      </c>
      <c r="C4128" s="4" t="inlineStr">
        <is>
          <t>W00031886A</t>
        </is>
      </c>
      <c r="D4128" s="6">
        <f>IF(F4128&gt;=5, F4128-5, IF(F4128&lt;5, 0, F4128))</f>
        <v/>
      </c>
      <c r="E4128">
        <f>VLOOKUP(B4128,[1]Namshi!$A:$B,2,0)</f>
        <v/>
      </c>
      <c r="F4128" s="4">
        <f>SUMIFS('Dubai Stock'!I:I,'Dubai Stock'!H:H,Final_UAE!B:B)</f>
        <v/>
      </c>
      <c r="H4128" s="8" t="e">
        <v>#N/A</v>
      </c>
      <c r="I4128" s="8" t="n"/>
    </row>
    <row r="4129">
      <c r="A4129" s="4" t="n">
        <v>33834</v>
      </c>
      <c r="B4129" s="4" t="inlineStr">
        <is>
          <t>clstdai-acu-omax-p30-sn0425</t>
        </is>
      </c>
      <c r="C4129" s="4" t="inlineStr">
        <is>
          <t>W00031886A</t>
        </is>
      </c>
      <c r="D4129" s="6">
        <f>IF(F4129&gt;=5, F4129-5, IF(F4129&lt;5, 0, F4129))</f>
        <v/>
      </c>
      <c r="E4129">
        <f>VLOOKUP(B4129,[1]Namshi!$A:$B,2,0)</f>
        <v/>
      </c>
      <c r="F4129" s="4">
        <f>SUMIFS('Dubai Stock'!I:I,'Dubai Stock'!H:H,Final_UAE!B:B)</f>
        <v/>
      </c>
      <c r="H4129" s="8" t="e">
        <v>#N/A</v>
      </c>
      <c r="I4129" s="8" t="n"/>
    </row>
    <row r="4130">
      <c r="A4130" s="4" t="n">
        <v>33834</v>
      </c>
      <c r="B4130" s="4" t="inlineStr">
        <is>
          <t>fu11318-spc-000828-1318-54</t>
        </is>
      </c>
      <c r="C4130" s="4" t="inlineStr">
        <is>
          <t>W00031886A</t>
        </is>
      </c>
      <c r="D4130" s="6">
        <f>IF(F4130&gt;=5, F4130-5, IF(F4130&lt;5, 0, F4130))</f>
        <v/>
      </c>
      <c r="E4130">
        <f>VLOOKUP(B4130,[1]Namshi!$A:$B,2,0)</f>
        <v/>
      </c>
      <c r="F4130" s="4">
        <f>SUMIFS('Dubai Stock'!I:I,'Dubai Stock'!H:H,Final_UAE!B:B)</f>
        <v/>
      </c>
      <c r="H4130" s="8" t="e">
        <v>#N/A</v>
      </c>
      <c r="I4130" s="8" t="n"/>
    </row>
    <row r="4131">
      <c r="A4131" s="4" t="n">
        <v>33834</v>
      </c>
      <c r="B4131" s="4" t="inlineStr">
        <is>
          <t>clstdai-acu-dfrb-p30-sn0500</t>
        </is>
      </c>
      <c r="C4131" s="4" t="inlineStr">
        <is>
          <t>W00031886A</t>
        </is>
      </c>
      <c r="D4131" s="6">
        <f>IF(F4131&gt;=5, F4131-5, IF(F4131&lt;5, 0, F4131))</f>
        <v/>
      </c>
      <c r="E4131">
        <f>VLOOKUP(B4131,[1]Namshi!$A:$B,2,0)</f>
        <v/>
      </c>
      <c r="F4131" s="4">
        <f>SUMIFS('Dubai Stock'!I:I,'Dubai Stock'!H:H,Final_UAE!B:B)</f>
        <v/>
      </c>
      <c r="H4131" s="8" t="e">
        <v>#N/A</v>
      </c>
      <c r="I4131" s="8" t="n"/>
    </row>
    <row r="4132">
      <c r="A4132" s="4" t="n">
        <v>33834</v>
      </c>
      <c r="B4132" s="4" t="inlineStr">
        <is>
          <t>cost3mo-lay-2022-p02-sweet-hazel-sn0500</t>
        </is>
      </c>
      <c r="C4132" s="4" t="inlineStr">
        <is>
          <t>W00031886A</t>
        </is>
      </c>
      <c r="D4132" s="6">
        <f>IF(F4132&gt;=5, F4132-5, IF(F4132&lt;5, 0, F4132))</f>
        <v/>
      </c>
      <c r="E4132">
        <f>VLOOKUP(B4132,[1]Namshi!$A:$B,2,0)</f>
        <v/>
      </c>
      <c r="F4132" s="4">
        <f>SUMIFS('Dubai Stock'!I:I,'Dubai Stock'!H:H,Final_UAE!B:B)</f>
        <v/>
      </c>
      <c r="H4132" s="8" t="e">
        <v>#N/A</v>
      </c>
      <c r="I4132" s="8" t="n"/>
    </row>
    <row r="4133">
      <c r="A4133" s="4" t="n">
        <v>33834</v>
      </c>
      <c r="B4133" s="4" t="inlineStr">
        <is>
          <t>fw30418-spc-000834-0418-54</t>
        </is>
      </c>
      <c r="C4133" s="4" t="inlineStr">
        <is>
          <t>W00031886A</t>
        </is>
      </c>
      <c r="D4133" s="6">
        <f>IF(F4133&gt;=5, F4133-5, IF(F4133&lt;5, 0, F4133))</f>
        <v/>
      </c>
      <c r="E4133">
        <f>VLOOKUP(B4133,[1]Namshi!$A:$B,2,0)</f>
        <v/>
      </c>
      <c r="F4133" s="4">
        <f>SUMIFS('Dubai Stock'!I:I,'Dubai Stock'!H:H,Final_UAE!B:B)</f>
        <v/>
      </c>
      <c r="H4133" s="8" t="e">
        <v>#N/A</v>
      </c>
      <c r="I4133" s="8" t="n"/>
    </row>
    <row r="4134">
      <c r="A4134" s="4" t="n">
        <v>33834</v>
      </c>
      <c r="B4134" s="4" t="inlineStr">
        <is>
          <t>cost3mo-lay-lens-p02-golden-brown-sn0600</t>
        </is>
      </c>
      <c r="C4134" s="4" t="inlineStr">
        <is>
          <t>W00031886A</t>
        </is>
      </c>
      <c r="D4134" s="6">
        <f>IF(F4134&gt;=5, F4134-5, IF(F4134&lt;5, 0, F4134))</f>
        <v/>
      </c>
      <c r="E4134">
        <f>VLOOKUP(B4134,[1]Namshi!$A:$B,2,0)</f>
        <v/>
      </c>
      <c r="F4134" s="4">
        <f>SUMIFS('Dubai Stock'!I:I,'Dubai Stock'!H:H,Final_UAE!B:B)</f>
        <v/>
      </c>
      <c r="H4134" s="8" t="e">
        <v>#N/A</v>
      </c>
      <c r="I4134" s="8" t="n"/>
    </row>
    <row r="4135">
      <c r="A4135" s="4" t="n">
        <v>33834</v>
      </c>
      <c r="B4135" s="4" t="inlineStr">
        <is>
          <t>clstdai-eve-elit-p30-sp0550</t>
        </is>
      </c>
      <c r="C4135" s="4" t="inlineStr">
        <is>
          <t>W00031886A</t>
        </is>
      </c>
      <c r="D4135" s="6">
        <f>IF(F4135&gt;=5, F4135-5, IF(F4135&lt;5, 0, F4135))</f>
        <v/>
      </c>
      <c r="E4135">
        <f>VLOOKUP(B4135,[1]Namshi!$A:$B,2,0)</f>
        <v/>
      </c>
      <c r="F4135" s="4">
        <f>SUMIFS('Dubai Stock'!I:I,'Dubai Stock'!H:H,Final_UAE!B:B)</f>
        <v/>
      </c>
      <c r="H4135" s="8" t="n">
        <v>261</v>
      </c>
      <c r="I4135" s="8" t="n">
        <v>146.3</v>
      </c>
    </row>
    <row r="4136">
      <c r="A4136" s="4" t="n">
        <v>33834</v>
      </c>
      <c r="B4136" s="4" t="inlineStr">
        <is>
          <t>sc20907-bab-000502-0907-50</t>
        </is>
      </c>
      <c r="C4136" s="4" t="inlineStr">
        <is>
          <t>W00031886A</t>
        </is>
      </c>
      <c r="D4136" s="6">
        <f>IF(F4136&gt;=5, F4136-5, IF(F4136&lt;5, 0, F4136))</f>
        <v/>
      </c>
      <c r="E4136">
        <f>VLOOKUP(B4136,[1]Namshi!$A:$B,2,0)</f>
        <v/>
      </c>
      <c r="F4136" s="4">
        <f>SUMIFS('Dubai Stock'!I:I,'Dubai Stock'!H:H,Final_UAE!B:B)</f>
        <v/>
      </c>
      <c r="H4136" s="8" t="e">
        <v>#N/A</v>
      </c>
    </row>
    <row r="4137">
      <c r="A4137" s="4" t="n">
        <v>33834</v>
      </c>
      <c r="B4137" s="4" t="inlineStr">
        <is>
          <t>costmon-ama-2024-p02-chocolate-sn0175</t>
        </is>
      </c>
      <c r="C4137" s="4" t="inlineStr">
        <is>
          <t>W00031886A</t>
        </is>
      </c>
      <c r="D4137" s="6">
        <f>IF(F4137&gt;=5, F4137-5, IF(F4137&lt;5, 0, F4137))</f>
        <v/>
      </c>
      <c r="E4137">
        <f>VLOOKUP(B4137,[1]Namshi!$A:$B,2,0)</f>
        <v/>
      </c>
      <c r="F4137" s="4">
        <f>SUMIFS('Dubai Stock'!I:I,'Dubai Stock'!H:H,Final_UAE!B:B)</f>
        <v/>
      </c>
      <c r="H4137" s="8" t="e">
        <v>#N/A</v>
      </c>
      <c r="I4137" s="8" t="n"/>
    </row>
    <row r="4138">
      <c r="A4138" s="4" t="n">
        <v>33834</v>
      </c>
      <c r="B4138" s="4" t="inlineStr">
        <is>
          <t>fw31118-spc-000556-1100-53</t>
        </is>
      </c>
      <c r="C4138" s="4" t="inlineStr">
        <is>
          <t>W00031886A</t>
        </is>
      </c>
      <c r="D4138" s="6">
        <f>IF(F4138&gt;=5, F4138-5, IF(F4138&lt;5, 0, F4138))</f>
        <v/>
      </c>
      <c r="E4138">
        <f>VLOOKUP(B4138,[1]Namshi!$A:$B,2,0)</f>
        <v/>
      </c>
      <c r="F4138" s="4">
        <f>SUMIFS('Dubai Stock'!I:I,'Dubai Stock'!H:H,Final_UAE!B:B)</f>
        <v/>
      </c>
      <c r="H4138" s="8" t="e">
        <v>#N/A</v>
      </c>
      <c r="I4138" s="8" t="n"/>
    </row>
    <row r="4139">
      <c r="A4139" s="4" t="n">
        <v>33834</v>
      </c>
      <c r="B4139" s="4" t="inlineStr">
        <is>
          <t>clstdai-acu-dfna-p60-sn0050</t>
        </is>
      </c>
      <c r="C4139" s="4" t="inlineStr">
        <is>
          <t>W00031886A</t>
        </is>
      </c>
      <c r="D4139" s="6">
        <f>IF(F4139&gt;=5, F4139-5, IF(F4139&lt;5, 0, F4139))</f>
        <v/>
      </c>
      <c r="E4139">
        <f>VLOOKUP(B4139,[1]Namshi!$A:$B,2,0)</f>
        <v/>
      </c>
      <c r="F4139" s="4">
        <f>SUMIFS('Dubai Stock'!I:I,'Dubai Stock'!H:H,Final_UAE!B:B)</f>
        <v/>
      </c>
      <c r="H4139" s="8" t="e">
        <v>#N/A</v>
      </c>
      <c r="I4139" s="8" t="n"/>
    </row>
    <row r="4140">
      <c r="A4140" s="4" t="n">
        <v>33834</v>
      </c>
      <c r="B4140" s="4" t="inlineStr">
        <is>
          <t>sm50102-30s-000234-0102-48</t>
        </is>
      </c>
      <c r="C4140" s="4" t="inlineStr">
        <is>
          <t>W00031886A</t>
        </is>
      </c>
      <c r="D4140" s="6">
        <f>IF(F4140&gt;=5, F4140-5, IF(F4140&lt;5, 0, F4140))</f>
        <v/>
      </c>
      <c r="E4140">
        <f>VLOOKUP(B4140,[1]Namshi!$A:$B,2,0)</f>
        <v/>
      </c>
      <c r="F4140" s="4">
        <f>SUMIFS('Dubai Stock'!I:I,'Dubai Stock'!H:H,Final_UAE!B:B)</f>
        <v/>
      </c>
      <c r="H4140" s="8" t="e">
        <v>#N/A</v>
      </c>
      <c r="I4140" s="8" t="n"/>
    </row>
    <row r="4141">
      <c r="A4141" s="4" t="n">
        <v>33834</v>
      </c>
      <c r="B4141" s="4" t="inlineStr">
        <is>
          <t>fm70418-spc-000822-0418-51</t>
        </is>
      </c>
      <c r="C4141" s="4" t="inlineStr">
        <is>
          <t>W00031886A</t>
        </is>
      </c>
      <c r="D4141" s="6">
        <f>IF(F4141&gt;=5, F4141-5, IF(F4141&lt;5, 0, F4141))</f>
        <v/>
      </c>
      <c r="E4141">
        <f>VLOOKUP(B4141,[1]Namshi!$A:$B,2,0)</f>
        <v/>
      </c>
      <c r="F4141" s="4">
        <f>SUMIFS('Dubai Stock'!I:I,'Dubai Stock'!H:H,Final_UAE!B:B)</f>
        <v/>
      </c>
      <c r="H4141" s="8" t="e">
        <v>#N/A</v>
      </c>
      <c r="I4141" s="8" t="n"/>
    </row>
    <row r="4142">
      <c r="A4142" s="4" t="n">
        <v>33834</v>
      </c>
      <c r="B4142" s="4" t="inlineStr">
        <is>
          <t>sm50707-30s-000205-0707-55</t>
        </is>
      </c>
      <c r="C4142" s="4" t="inlineStr">
        <is>
          <t>W00031886A</t>
        </is>
      </c>
      <c r="D4142" s="6">
        <f>IF(F4142&gt;=5, F4142-5, IF(F4142&lt;5, 0, F4142))</f>
        <v/>
      </c>
      <c r="E4142">
        <f>VLOOKUP(B4142,[1]Namshi!$A:$B,2,0)</f>
        <v/>
      </c>
      <c r="F4142" s="4">
        <f>SUMIFS('Dubai Stock'!I:I,'Dubai Stock'!H:H,Final_UAE!B:B)</f>
        <v/>
      </c>
      <c r="H4142" s="8" t="e">
        <v>#N/A</v>
      </c>
    </row>
    <row r="4143">
      <c r="A4143" s="4" t="n">
        <v>33834</v>
      </c>
      <c r="B4143" s="4" t="inlineStr">
        <is>
          <t>cost3mo-lay-2025-p02-emerald-glow-sn0250</t>
        </is>
      </c>
      <c r="C4143" s="4" t="inlineStr">
        <is>
          <t>W00031886A</t>
        </is>
      </c>
      <c r="D4143" s="6">
        <f>IF(F4143&gt;=5, F4143-5, IF(F4143&lt;5, 0, F4143))</f>
        <v/>
      </c>
      <c r="E4143">
        <f>VLOOKUP(B4143,[1]Namshi!$A:$B,2,0)</f>
        <v/>
      </c>
      <c r="F4143" s="4">
        <f>SUMIFS('Dubai Stock'!I:I,'Dubai Stock'!H:H,Final_UAE!B:B)</f>
        <v/>
      </c>
      <c r="H4143" s="8" t="e">
        <v>#N/A</v>
      </c>
      <c r="I4143" s="8" t="n"/>
    </row>
    <row r="4144">
      <c r="A4144" s="4" t="n">
        <v>33834</v>
      </c>
      <c r="B4144" s="4" t="inlineStr">
        <is>
          <t>sw52904-bla-000226-2904-57</t>
        </is>
      </c>
      <c r="C4144" s="4" t="inlineStr">
        <is>
          <t>W00031886A</t>
        </is>
      </c>
      <c r="D4144" s="6">
        <f>IF(F4144&gt;=5, F4144-5, IF(F4144&lt;5, 0, F4144))</f>
        <v/>
      </c>
      <c r="E4144">
        <f>VLOOKUP(B4144,[1]Namshi!$A:$B,2,0)</f>
        <v/>
      </c>
      <c r="F4144" s="4">
        <f>SUMIFS('Dubai Stock'!I:I,'Dubai Stock'!H:H,Final_UAE!B:B)</f>
        <v/>
      </c>
      <c r="H4144" s="8" t="e">
        <v>#N/A</v>
      </c>
    </row>
    <row r="4145">
      <c r="A4145" s="4" t="n">
        <v>33834</v>
      </c>
      <c r="B4145" s="4" t="inlineStr">
        <is>
          <t>sm41306-30s-000214-1306-51</t>
        </is>
      </c>
      <c r="C4145" s="4" t="inlineStr">
        <is>
          <t>W00031886A</t>
        </is>
      </c>
      <c r="D4145" s="6">
        <f>IF(F4145&gt;=5, F4145-5, IF(F4145&lt;5, 0, F4145))</f>
        <v/>
      </c>
      <c r="E4145">
        <f>VLOOKUP(B4145,[1]Namshi!$A:$B,2,0)</f>
        <v/>
      </c>
      <c r="F4145" s="4">
        <f>SUMIFS('Dubai Stock'!I:I,'Dubai Stock'!H:H,Final_UAE!B:B)</f>
        <v/>
      </c>
      <c r="H4145" s="8" t="e">
        <v>#N/A</v>
      </c>
    </row>
    <row r="4146">
      <c r="A4146" s="4" t="n">
        <v>33834</v>
      </c>
      <c r="B4146" s="4" t="inlineStr">
        <is>
          <t>clstdai-btr-oned-p30-sn0800</t>
        </is>
      </c>
      <c r="C4146" s="4" t="inlineStr">
        <is>
          <t>W00031886A</t>
        </is>
      </c>
      <c r="D4146" s="6">
        <f>IF(F4146&gt;=5, F4146-5, IF(F4146&lt;5, 0, F4146))</f>
        <v/>
      </c>
      <c r="E4146">
        <f>VLOOKUP(B4146,[1]Namshi!$A:$B,2,0)</f>
        <v/>
      </c>
      <c r="F4146" s="4">
        <f>SUMIFS('Dubai Stock'!I:I,'Dubai Stock'!H:H,Final_UAE!B:B)</f>
        <v/>
      </c>
      <c r="H4146" s="8" t="e">
        <v>#N/A</v>
      </c>
      <c r="I4146" s="8" t="n"/>
    </row>
    <row r="4147">
      <c r="A4147" s="4" t="n">
        <v>33834</v>
      </c>
      <c r="B4147" s="4" t="inlineStr">
        <is>
          <t>clstdai-lay-cont-p10-dazzle-brown-sn0700</t>
        </is>
      </c>
      <c r="C4147" s="4" t="inlineStr">
        <is>
          <t>W00031886A</t>
        </is>
      </c>
      <c r="D4147" s="6">
        <f>IF(F4147&gt;=5, F4147-5, IF(F4147&lt;5, 0, F4147))</f>
        <v/>
      </c>
      <c r="E4147">
        <f>VLOOKUP(B4147,[1]Namshi!$A:$B,2,0)</f>
        <v/>
      </c>
      <c r="F4147" s="4">
        <f>SUMIFS('Dubai Stock'!I:I,'Dubai Stock'!H:H,Final_UAE!B:B)</f>
        <v/>
      </c>
      <c r="H4147" s="8" t="e">
        <v>#N/A</v>
      </c>
      <c r="I4147" s="8" t="n"/>
    </row>
    <row r="4148">
      <c r="A4148" s="4" t="n">
        <v>33834</v>
      </c>
      <c r="B4148" s="4" t="inlineStr">
        <is>
          <t>sw32904-bla-000220-2904-65</t>
        </is>
      </c>
      <c r="C4148" s="4" t="inlineStr">
        <is>
          <t>W00031886A</t>
        </is>
      </c>
      <c r="D4148" s="6">
        <f>IF(F4148&gt;=5, F4148-5, IF(F4148&lt;5, 0, F4148))</f>
        <v/>
      </c>
      <c r="E4148">
        <f>VLOOKUP(B4148,[1]Namshi!$A:$B,2,0)</f>
        <v/>
      </c>
      <c r="F4148" s="4">
        <f>SUMIFS('Dubai Stock'!I:I,'Dubai Stock'!H:H,Final_UAE!B:B)</f>
        <v/>
      </c>
      <c r="H4148" s="8" t="e">
        <v>#N/A</v>
      </c>
    </row>
    <row r="4149">
      <c r="A4149" s="4" t="n">
        <v>33834</v>
      </c>
      <c r="B4149" s="4" t="inlineStr">
        <is>
          <t>sw102404-30s-000301-2404-54</t>
        </is>
      </c>
      <c r="C4149" s="4" t="inlineStr">
        <is>
          <t>W00031886A</t>
        </is>
      </c>
      <c r="D4149" s="6">
        <f>IF(F4149&gt;=5, F4149-5, IF(F4149&lt;5, 0, F4149))</f>
        <v/>
      </c>
      <c r="E4149">
        <f>VLOOKUP(B4149,[1]Namshi!$A:$B,2,0)</f>
        <v/>
      </c>
      <c r="F4149" s="4">
        <f>SUMIFS('Dubai Stock'!I:I,'Dubai Stock'!H:H,Final_UAE!B:B)</f>
        <v/>
      </c>
      <c r="H4149" s="8" t="e">
        <v>#N/A</v>
      </c>
      <c r="I4149" s="8" t="n"/>
    </row>
    <row r="4150">
      <c r="A4150" s="4" t="n">
        <v>33834</v>
      </c>
      <c r="B4150" s="4" t="inlineStr">
        <is>
          <t>sw50504-30s-000406-2904p-56</t>
        </is>
      </c>
      <c r="C4150" s="4" t="inlineStr">
        <is>
          <t>W00031886A</t>
        </is>
      </c>
      <c r="D4150" s="6">
        <f>IF(F4150&gt;=5, F4150-5, IF(F4150&lt;5, 0, F4150))</f>
        <v/>
      </c>
      <c r="E4150">
        <f>VLOOKUP(B4150,[1]Namshi!$A:$B,2,0)</f>
        <v/>
      </c>
      <c r="F4150" s="4">
        <f>SUMIFS('Dubai Stock'!I:I,'Dubai Stock'!H:H,Final_UAE!B:B)</f>
        <v/>
      </c>
      <c r="H4150" s="8" t="e">
        <v>#N/A</v>
      </c>
    </row>
    <row r="4151">
      <c r="A4151" s="4" t="n">
        <v>33834</v>
      </c>
      <c r="B4151" s="4" t="inlineStr">
        <is>
          <t>sw40101-bla-000261-0101-50</t>
        </is>
      </c>
      <c r="C4151" s="4" t="inlineStr">
        <is>
          <t>W00031886A</t>
        </is>
      </c>
      <c r="D4151" s="6">
        <f>IF(F4151&gt;=5, F4151-5, IF(F4151&lt;5, 0, F4151))</f>
        <v/>
      </c>
      <c r="E4151">
        <f>VLOOKUP(B4151,[1]Namshi!$A:$B,2,0)</f>
        <v/>
      </c>
      <c r="F4151" s="4">
        <f>SUMIFS('Dubai Stock'!I:I,'Dubai Stock'!H:H,Final_UAE!B:B)</f>
        <v/>
      </c>
      <c r="H4151" s="8" t="e">
        <v>#N/A</v>
      </c>
    </row>
    <row r="4152">
      <c r="A4152" s="4" t="n">
        <v>33834</v>
      </c>
      <c r="B4152" s="4" t="inlineStr">
        <is>
          <t>cost3mo-lay-2023-p02-sable-brown-sp0000</t>
        </is>
      </c>
      <c r="C4152" s="4" t="inlineStr">
        <is>
          <t>W00031886A</t>
        </is>
      </c>
      <c r="D4152" s="6">
        <f>IF(F4152&gt;=5, F4152-5, IF(F4152&lt;5, 0, F4152))</f>
        <v/>
      </c>
      <c r="E4152">
        <f>VLOOKUP(B4152,[1]Namshi!$A:$B,2,0)</f>
        <v/>
      </c>
      <c r="F4152" s="4">
        <f>SUMIFS('Dubai Stock'!I:I,'Dubai Stock'!H:H,Final_UAE!B:B)</f>
        <v/>
      </c>
      <c r="H4152" s="8" t="e">
        <v>#N/A</v>
      </c>
      <c r="I4152" s="8" t="n"/>
    </row>
    <row r="4153">
      <c r="A4153" s="4" t="n">
        <v>33834</v>
      </c>
      <c r="B4153" s="4" t="inlineStr">
        <is>
          <t>clstdai-eve-elit-p30-sn0600</t>
        </is>
      </c>
      <c r="C4153" s="4" t="inlineStr">
        <is>
          <t>W00031886A</t>
        </is>
      </c>
      <c r="D4153" s="6">
        <f>IF(F4153&gt;=5, F4153-5, IF(F4153&lt;5, 0, F4153))</f>
        <v/>
      </c>
      <c r="E4153">
        <f>VLOOKUP(B4153,[1]Namshi!$A:$B,2,0)</f>
        <v/>
      </c>
      <c r="F4153" s="4">
        <f>SUMIFS('Dubai Stock'!I:I,'Dubai Stock'!H:H,Final_UAE!B:B)</f>
        <v/>
      </c>
      <c r="H4153" s="8" t="n">
        <v>261</v>
      </c>
      <c r="I4153" s="8" t="n">
        <v>146.3</v>
      </c>
    </row>
    <row r="4154">
      <c r="A4154" s="4" t="n">
        <v>33834</v>
      </c>
      <c r="B4154" s="4" t="inlineStr">
        <is>
          <t>sw30404-bla-000208-2604-54</t>
        </is>
      </c>
      <c r="C4154" s="4" t="inlineStr">
        <is>
          <t>W00031886A</t>
        </is>
      </c>
      <c r="D4154" s="6">
        <f>IF(F4154&gt;=5, F4154-5, IF(F4154&lt;5, 0, F4154))</f>
        <v/>
      </c>
      <c r="E4154">
        <f>VLOOKUP(B4154,[1]Namshi!$A:$B,2,0)</f>
        <v/>
      </c>
      <c r="F4154" s="4">
        <f>SUMIFS('Dubai Stock'!I:I,'Dubai Stock'!H:H,Final_UAE!B:B)</f>
        <v/>
      </c>
      <c r="H4154" s="8" t="e">
        <v>#N/A</v>
      </c>
    </row>
    <row r="4155">
      <c r="A4155" s="4" t="n">
        <v>33834</v>
      </c>
      <c r="B4155" s="4" t="inlineStr">
        <is>
          <t>clstdai-acu-oasy-p120-sn0150</t>
        </is>
      </c>
      <c r="C4155" s="4" t="inlineStr">
        <is>
          <t>W00031886A</t>
        </is>
      </c>
      <c r="D4155" s="6">
        <f>IF(F4155&gt;=5, F4155-5, IF(F4155&lt;5, 0, F4155))</f>
        <v/>
      </c>
      <c r="E4155">
        <f>VLOOKUP(B4155,[1]Namshi!$A:$B,2,0)</f>
        <v/>
      </c>
      <c r="F4155" s="4">
        <f>SUMIFS('Dubai Stock'!I:I,'Dubai Stock'!H:H,Final_UAE!B:B)</f>
        <v/>
      </c>
      <c r="H4155" s="8" t="e">
        <v>#N/A</v>
      </c>
      <c r="I4155" s="8" t="n"/>
    </row>
    <row r="4156">
      <c r="A4156" s="4" t="n">
        <v>33834</v>
      </c>
      <c r="B4156" s="4" t="inlineStr">
        <is>
          <t>clstdai-acu-dfna-p60-sn0525</t>
        </is>
      </c>
      <c r="C4156" s="4" t="inlineStr">
        <is>
          <t>W00031886A</t>
        </is>
      </c>
      <c r="D4156" s="6">
        <f>IF(F4156&gt;=5, F4156-5, IF(F4156&lt;5, 0, F4156))</f>
        <v/>
      </c>
      <c r="E4156">
        <f>VLOOKUP(B4156,[1]Namshi!$A:$B,2,0)</f>
        <v/>
      </c>
      <c r="F4156" s="4">
        <f>SUMIFS('Dubai Stock'!I:I,'Dubai Stock'!H:H,Final_UAE!B:B)</f>
        <v/>
      </c>
      <c r="H4156" s="8" t="e">
        <v>#N/A</v>
      </c>
      <c r="I4156" s="8" t="n"/>
    </row>
    <row r="4157">
      <c r="A4157" s="4" t="n">
        <v>33834</v>
      </c>
      <c r="B4157" s="4" t="inlineStr">
        <is>
          <t>sw31306-30s-000233-1306-53</t>
        </is>
      </c>
      <c r="C4157" s="4" t="inlineStr">
        <is>
          <t>W00031886A</t>
        </is>
      </c>
      <c r="D4157" s="6">
        <f>IF(F4157&gt;=5, F4157-5, IF(F4157&lt;5, 0, F4157))</f>
        <v/>
      </c>
      <c r="E4157">
        <f>VLOOKUP(B4157,[1]Namshi!$A:$B,2,0)</f>
        <v/>
      </c>
      <c r="F4157" s="4">
        <f>SUMIFS('Dubai Stock'!I:I,'Dubai Stock'!H:H,Final_UAE!B:B)</f>
        <v/>
      </c>
      <c r="H4157" s="8" t="e">
        <v>#N/A</v>
      </c>
    </row>
    <row r="4158">
      <c r="A4158" s="4" t="n">
        <v>33834</v>
      </c>
      <c r="B4158" s="4" t="inlineStr">
        <is>
          <t>clstmon-ava-avai-p06-sp0125</t>
        </is>
      </c>
      <c r="C4158" s="4" t="inlineStr">
        <is>
          <t>W00031886A</t>
        </is>
      </c>
      <c r="D4158" s="6">
        <f>IF(F4158&gt;=5, F4158-5, IF(F4158&lt;5, 0, F4158))</f>
        <v/>
      </c>
      <c r="E4158">
        <f>VLOOKUP(B4158,[1]Namshi!$A:$B,2,0)</f>
        <v/>
      </c>
      <c r="F4158" s="4">
        <f>SUMIFS('Dubai Stock'!I:I,'Dubai Stock'!H:H,Final_UAE!B:B)</f>
        <v/>
      </c>
      <c r="H4158" s="8" t="e">
        <v>#N/A</v>
      </c>
      <c r="I4158" s="8" t="n"/>
    </row>
    <row r="4159">
      <c r="A4159" s="4" t="n">
        <v>33834</v>
      </c>
      <c r="B4159" s="4" t="inlineStr">
        <is>
          <t>sw40211-bla-000260-0211-52</t>
        </is>
      </c>
      <c r="C4159" s="4" t="inlineStr">
        <is>
          <t>W00031886A</t>
        </is>
      </c>
      <c r="D4159" s="6">
        <f>IF(F4159&gt;=5, F4159-5, IF(F4159&lt;5, 0, F4159))</f>
        <v/>
      </c>
      <c r="E4159">
        <f>VLOOKUP(B4159,[1]Namshi!$A:$B,2,0)</f>
        <v/>
      </c>
      <c r="F4159" s="4">
        <f>SUMIFS('Dubai Stock'!I:I,'Dubai Stock'!H:H,Final_UAE!B:B)</f>
        <v/>
      </c>
      <c r="H4159" s="8" t="e">
        <v>#N/A</v>
      </c>
    </row>
    <row r="4160">
      <c r="A4160" s="4" t="n">
        <v>33834</v>
      </c>
      <c r="B4160" s="4" t="inlineStr">
        <is>
          <t>clstdai-lay-cont-p60-dazzle-brown-sn0100</t>
        </is>
      </c>
      <c r="C4160" s="4" t="inlineStr">
        <is>
          <t>W00031886A</t>
        </is>
      </c>
      <c r="D4160" s="6">
        <f>IF(F4160&gt;=5, F4160-5, IF(F4160&lt;5, 0, F4160))</f>
        <v/>
      </c>
      <c r="E4160">
        <f>VLOOKUP(B4160,[1]Namshi!$A:$B,2,0)</f>
        <v/>
      </c>
      <c r="F4160" s="4">
        <f>SUMIFS('Dubai Stock'!I:I,'Dubai Stock'!H:H,Final_UAE!B:B)</f>
        <v/>
      </c>
      <c r="H4160" s="8" t="e">
        <v>#N/A</v>
      </c>
      <c r="I4160" s="8" t="n"/>
    </row>
    <row r="4161">
      <c r="A4161" s="4" t="n">
        <v>33834</v>
      </c>
      <c r="B4161" s="4" t="inlineStr">
        <is>
          <t>clstdai-acu-dfrb-p30-sn0050</t>
        </is>
      </c>
      <c r="C4161" s="4" t="inlineStr">
        <is>
          <t>W00031886A</t>
        </is>
      </c>
      <c r="D4161" s="6">
        <f>IF(F4161&gt;=5, F4161-5, IF(F4161&lt;5, 0, F4161))</f>
        <v/>
      </c>
      <c r="E4161">
        <f>VLOOKUP(B4161,[1]Namshi!$A:$B,2,0)</f>
        <v/>
      </c>
      <c r="F4161" s="4">
        <f>SUMIFS('Dubai Stock'!I:I,'Dubai Stock'!H:H,Final_UAE!B:B)</f>
        <v/>
      </c>
      <c r="H4161" s="8" t="e">
        <v>#N/A</v>
      </c>
      <c r="I4161" s="8" t="n"/>
    </row>
    <row r="4162">
      <c r="A4162" s="4" t="n">
        <v>33834</v>
      </c>
      <c r="B4162" s="4" t="inlineStr">
        <is>
          <t>su11707-rov-8006-13-41-57</t>
        </is>
      </c>
      <c r="C4162" s="4" t="inlineStr">
        <is>
          <t>W00031886A</t>
        </is>
      </c>
      <c r="D4162" s="6">
        <f>IF(F4162&gt;=5, F4162-5, IF(F4162&lt;5, 0, F4162))</f>
        <v/>
      </c>
      <c r="E4162">
        <f>VLOOKUP(B4162,[1]Namshi!$A:$B,2,0)</f>
        <v/>
      </c>
      <c r="F4162" s="4">
        <f>SUMIFS('Dubai Stock'!I:I,'Dubai Stock'!H:H,Final_UAE!B:B)</f>
        <v/>
      </c>
      <c r="H4162" s="8" t="e">
        <v>#N/A</v>
      </c>
      <c r="I4162" s="8" t="n"/>
    </row>
    <row r="4163">
      <c r="A4163" s="4" t="n">
        <v>33834</v>
      </c>
      <c r="B4163" s="4" t="inlineStr">
        <is>
          <t>clstbiw-acu-0002-p06-sp0800</t>
        </is>
      </c>
      <c r="C4163" s="4" t="inlineStr">
        <is>
          <t>W00031886A</t>
        </is>
      </c>
      <c r="D4163" s="6">
        <f>IF(F4163&gt;=5, F4163-5, IF(F4163&lt;5, 0, F4163))</f>
        <v/>
      </c>
      <c r="E4163">
        <f>VLOOKUP(B4163,[1]Namshi!$A:$B,2,0)</f>
        <v/>
      </c>
      <c r="F4163" s="4">
        <f>SUMIFS('Dubai Stock'!I:I,'Dubai Stock'!H:H,Final_UAE!B:B)</f>
        <v/>
      </c>
      <c r="H4163" s="8" t="e">
        <v>#N/A</v>
      </c>
      <c r="I4163" s="8" t="n"/>
    </row>
    <row r="4164">
      <c r="A4164" s="4" t="n">
        <v>33834</v>
      </c>
      <c r="B4164" s="4" t="inlineStr">
        <is>
          <t>clstdai-dai-aqua-p30-sn1150</t>
        </is>
      </c>
      <c r="C4164" s="4" t="inlineStr">
        <is>
          <t>W00031886A</t>
        </is>
      </c>
      <c r="D4164" s="6">
        <f>IF(F4164&gt;=5, F4164-5, IF(F4164&lt;5, 0, F4164))</f>
        <v/>
      </c>
      <c r="E4164">
        <f>VLOOKUP(B4164,[1]Namshi!$A:$B,2,0)</f>
        <v/>
      </c>
      <c r="F4164" s="4">
        <f>SUMIFS('Dubai Stock'!I:I,'Dubai Stock'!H:H,Final_UAE!B:B)</f>
        <v/>
      </c>
      <c r="H4164" s="8" t="e">
        <v>#N/A</v>
      </c>
      <c r="I4164" s="8" t="n"/>
    </row>
    <row r="4165">
      <c r="A4165" s="4" t="n">
        <v>33834</v>
      </c>
      <c r="B4165" s="4" t="inlineStr">
        <is>
          <t>clstdai-lay-cont-p10-dazzle-black-sn0350</t>
        </is>
      </c>
      <c r="C4165" s="4" t="inlineStr">
        <is>
          <t>W00031886A</t>
        </is>
      </c>
      <c r="D4165" s="6">
        <f>IF(F4165&gt;=5, F4165-5, IF(F4165&lt;5, 0, F4165))</f>
        <v/>
      </c>
      <c r="E4165">
        <f>VLOOKUP(B4165,[1]Namshi!$A:$B,2,0)</f>
        <v/>
      </c>
      <c r="F4165" s="4">
        <f>SUMIFS('Dubai Stock'!I:I,'Dubai Stock'!H:H,Final_UAE!B:B)</f>
        <v/>
      </c>
      <c r="H4165" s="8" t="e">
        <v>#N/A</v>
      </c>
      <c r="I4165" s="8" t="n"/>
    </row>
    <row r="4166">
      <c r="A4166" s="4" t="n">
        <v>33834</v>
      </c>
      <c r="B4166" s="4" t="inlineStr">
        <is>
          <t>cost3mo-lay-lens-p02-platinum-gray-sn0525</t>
        </is>
      </c>
      <c r="C4166" s="4" t="inlineStr">
        <is>
          <t>W00031886A</t>
        </is>
      </c>
      <c r="D4166" s="6">
        <f>IF(F4166&gt;=5, F4166-5, IF(F4166&lt;5, 0, F4166))</f>
        <v/>
      </c>
      <c r="E4166">
        <f>VLOOKUP(B4166,[1]Namshi!$A:$B,2,0)</f>
        <v/>
      </c>
      <c r="F4166" s="4">
        <f>SUMIFS('Dubai Stock'!I:I,'Dubai Stock'!H:H,Final_UAE!B:B)</f>
        <v/>
      </c>
      <c r="H4166" s="8" t="e">
        <v>#N/A</v>
      </c>
      <c r="I4166" s="8" t="n"/>
    </row>
    <row r="4167">
      <c r="A4167" s="4" t="n">
        <v>33834</v>
      </c>
      <c r="B4167" s="4" t="inlineStr">
        <is>
          <t>clstmon-bio-biof-p06-sn0200</t>
        </is>
      </c>
      <c r="C4167" s="4" t="inlineStr">
        <is>
          <t>W00031886A</t>
        </is>
      </c>
      <c r="D4167" s="6">
        <f>IF(F4167&gt;=5, F4167-5, IF(F4167&lt;5, 0, F4167))</f>
        <v/>
      </c>
      <c r="E4167">
        <f>VLOOKUP(B4167,[1]Namshi!$A:$B,2,0)</f>
        <v/>
      </c>
      <c r="F4167" s="4">
        <f>SUMIFS('Dubai Stock'!I:I,'Dubai Stock'!H:H,Final_UAE!B:B)</f>
        <v/>
      </c>
      <c r="H4167" s="8" t="e">
        <v>#N/A</v>
      </c>
      <c r="I4167" s="8" t="n"/>
    </row>
    <row r="4168">
      <c r="A4168" s="4" t="n">
        <v>33834</v>
      </c>
      <c r="B4168" s="4" t="inlineStr">
        <is>
          <t>sw30701-bla-000228-0701-58</t>
        </is>
      </c>
      <c r="C4168" s="4" t="inlineStr">
        <is>
          <t>W00031886A</t>
        </is>
      </c>
      <c r="D4168" s="6">
        <f>IF(F4168&gt;=5, F4168-5, IF(F4168&lt;5, 0, F4168))</f>
        <v/>
      </c>
      <c r="E4168">
        <f>VLOOKUP(B4168,[1]Namshi!$A:$B,2,0)</f>
        <v/>
      </c>
      <c r="F4168" s="4">
        <f>SUMIFS('Dubai Stock'!I:I,'Dubai Stock'!H:H,Final_UAE!B:B)</f>
        <v/>
      </c>
      <c r="H4168" s="8" t="e">
        <v>#N/A</v>
      </c>
    </row>
    <row r="4169">
      <c r="A4169" s="4" t="n">
        <v>33834</v>
      </c>
      <c r="B4169" s="4" t="inlineStr">
        <is>
          <t>sacchan-30s-chain134-mul-berry-multicolour</t>
        </is>
      </c>
      <c r="C4169" s="4" t="inlineStr">
        <is>
          <t>W00031886A</t>
        </is>
      </c>
      <c r="D4169" s="6">
        <f>IF(F4169&gt;=5, F4169-5, IF(F4169&lt;5, 0, F4169))</f>
        <v/>
      </c>
      <c r="E4169">
        <f>VLOOKUP(B4169,[1]Namshi!$A:$B,2,0)</f>
        <v/>
      </c>
      <c r="F4169" s="4">
        <f>SUMIFS('Dubai Stock'!I:I,'Dubai Stock'!H:H,Final_UAE!B:B)</f>
        <v/>
      </c>
      <c r="H4169" s="8" t="e">
        <v>#N/A</v>
      </c>
      <c r="I4169" s="8" t="n"/>
    </row>
    <row r="4170">
      <c r="A4170" s="4" t="n">
        <v>33834</v>
      </c>
      <c r="B4170" s="4" t="inlineStr">
        <is>
          <t>clstdai-acu-dfrb-p30-sn0900</t>
        </is>
      </c>
      <c r="C4170" s="4" t="inlineStr">
        <is>
          <t>W00031886A</t>
        </is>
      </c>
      <c r="D4170" s="6">
        <f>IF(F4170&gt;=5, F4170-5, IF(F4170&lt;5, 0, F4170))</f>
        <v/>
      </c>
      <c r="E4170">
        <f>VLOOKUP(B4170,[1]Namshi!$A:$B,2,0)</f>
        <v/>
      </c>
      <c r="F4170" s="4">
        <f>SUMIFS('Dubai Stock'!I:I,'Dubai Stock'!H:H,Final_UAE!B:B)</f>
        <v/>
      </c>
      <c r="H4170" s="8" t="e">
        <v>#N/A</v>
      </c>
      <c r="I4170" s="8" t="n"/>
    </row>
    <row r="4171">
      <c r="A4171" s="4" t="n">
        <v>33834</v>
      </c>
      <c r="B4171" s="4" t="inlineStr">
        <is>
          <t>costmon-ama-2020-p02-pure-hazel-sp0000</t>
        </is>
      </c>
      <c r="C4171" s="4" t="inlineStr">
        <is>
          <t>W00031886A</t>
        </is>
      </c>
      <c r="D4171" s="6">
        <f>IF(F4171&gt;=5, F4171-5, IF(F4171&lt;5, 0, F4171))</f>
        <v/>
      </c>
      <c r="E4171">
        <f>VLOOKUP(B4171,[1]Namshi!$A:$B,2,0)</f>
        <v/>
      </c>
      <c r="F4171" s="4">
        <f>SUMIFS('Dubai Stock'!I:I,'Dubai Stock'!H:H,Final_UAE!B:B)</f>
        <v/>
      </c>
      <c r="H4171" s="8" t="e">
        <v>#N/A</v>
      </c>
      <c r="I4171" s="8" t="n"/>
    </row>
    <row r="4172">
      <c r="A4172" s="4" t="n">
        <v>33834</v>
      </c>
      <c r="B4172" s="4" t="inlineStr">
        <is>
          <t>clstdai-acu-oasy-p60-sn0350</t>
        </is>
      </c>
      <c r="C4172" s="4" t="inlineStr">
        <is>
          <t>W00031886A</t>
        </is>
      </c>
      <c r="D4172" s="6">
        <f>IF(F4172&gt;=5, F4172-5, IF(F4172&lt;5, 0, F4172))</f>
        <v/>
      </c>
      <c r="E4172">
        <f>VLOOKUP(B4172,[1]Namshi!$A:$B,2,0)</f>
        <v/>
      </c>
      <c r="F4172" s="4">
        <f>SUMIFS('Dubai Stock'!I:I,'Dubai Stock'!H:H,Final_UAE!B:B)</f>
        <v/>
      </c>
      <c r="H4172" s="8" t="e">
        <v>#N/A</v>
      </c>
      <c r="I4172" s="8" t="n"/>
    </row>
    <row r="4173">
      <c r="A4173" s="4" t="n">
        <v>33834</v>
      </c>
      <c r="B4173" s="4" t="inlineStr">
        <is>
          <t>sw100107-bla-000318-0107-56</t>
        </is>
      </c>
      <c r="C4173" s="4" t="inlineStr">
        <is>
          <t>W00031886A</t>
        </is>
      </c>
      <c r="D4173" s="6">
        <f>IF(F4173&gt;=5, F4173-5, IF(F4173&lt;5, 0, F4173))</f>
        <v/>
      </c>
      <c r="E4173">
        <f>VLOOKUP(B4173,[1]Namshi!$A:$B,2,0)</f>
        <v/>
      </c>
      <c r="F4173" s="4">
        <f>SUMIFS('Dubai Stock'!I:I,'Dubai Stock'!H:H,Final_UAE!B:B)</f>
        <v/>
      </c>
      <c r="H4173" s="8" t="e">
        <v>#N/A</v>
      </c>
    </row>
    <row r="4174">
      <c r="A4174" s="4" t="n">
        <v>33834</v>
      </c>
      <c r="B4174" s="4" t="inlineStr">
        <is>
          <t>sm51306-30s-000217-1306-54</t>
        </is>
      </c>
      <c r="C4174" s="4" t="inlineStr">
        <is>
          <t>W00031886A</t>
        </is>
      </c>
      <c r="D4174" s="6">
        <f>IF(F4174&gt;=5, F4174-5, IF(F4174&lt;5, 0, F4174))</f>
        <v/>
      </c>
      <c r="E4174">
        <f>VLOOKUP(B4174,[1]Namshi!$A:$B,2,0)</f>
        <v/>
      </c>
      <c r="F4174" s="4">
        <f>SUMIFS('Dubai Stock'!I:I,'Dubai Stock'!H:H,Final_UAE!B:B)</f>
        <v/>
      </c>
      <c r="H4174" s="8" t="e">
        <v>#N/A</v>
      </c>
    </row>
    <row r="4175">
      <c r="A4175" s="4" t="n">
        <v>33834</v>
      </c>
      <c r="B4175" s="4" t="inlineStr">
        <is>
          <t>clstdai-acu-dfrb-p30-sn0350</t>
        </is>
      </c>
      <c r="C4175" s="4" t="inlineStr">
        <is>
          <t>W00031886A</t>
        </is>
      </c>
      <c r="D4175" s="6">
        <f>IF(F4175&gt;=5, F4175-5, IF(F4175&lt;5, 0, F4175))</f>
        <v/>
      </c>
      <c r="E4175">
        <f>VLOOKUP(B4175,[1]Namshi!$A:$B,2,0)</f>
        <v/>
      </c>
      <c r="F4175" s="4">
        <f>SUMIFS('Dubai Stock'!I:I,'Dubai Stock'!H:H,Final_UAE!B:B)</f>
        <v/>
      </c>
      <c r="H4175" s="8" t="e">
        <v>#N/A</v>
      </c>
      <c r="I4175" s="8" t="n"/>
    </row>
    <row r="4176">
      <c r="A4176" s="4" t="n">
        <v>33834</v>
      </c>
      <c r="B4176" s="4" t="inlineStr">
        <is>
          <t>clstdai-acu-mois-p30-sp0225</t>
        </is>
      </c>
      <c r="C4176" s="4" t="inlineStr">
        <is>
          <t>W00031886A</t>
        </is>
      </c>
      <c r="D4176" s="6">
        <f>IF(F4176&gt;=5, F4176-5, IF(F4176&lt;5, 0, F4176))</f>
        <v/>
      </c>
      <c r="E4176">
        <f>VLOOKUP(B4176,[1]Namshi!$A:$B,2,0)</f>
        <v/>
      </c>
      <c r="F4176" s="4">
        <f>SUMIFS('Dubai Stock'!I:I,'Dubai Stock'!H:H,Final_UAE!B:B)</f>
        <v/>
      </c>
      <c r="H4176" s="8" t="e">
        <v>#N/A</v>
      </c>
      <c r="I4176" s="8" t="n"/>
    </row>
    <row r="4177">
      <c r="A4177" s="4" t="n">
        <v>33834</v>
      </c>
      <c r="B4177" s="4" t="inlineStr">
        <is>
          <t>clstdai-acu-mois-p30-sn0450</t>
        </is>
      </c>
      <c r="C4177" s="4" t="inlineStr">
        <is>
          <t>W00031886A</t>
        </is>
      </c>
      <c r="D4177" s="6">
        <f>IF(F4177&gt;=5, F4177-5, IF(F4177&lt;5, 0, F4177))</f>
        <v/>
      </c>
      <c r="E4177">
        <f>VLOOKUP(B4177,[1]Namshi!$A:$B,2,0)</f>
        <v/>
      </c>
      <c r="F4177" s="4">
        <f>SUMIFS('Dubai Stock'!I:I,'Dubai Stock'!H:H,Final_UAE!B:B)</f>
        <v/>
      </c>
      <c r="H4177" s="8" t="e">
        <v>#N/A</v>
      </c>
      <c r="I4177" s="8" t="n"/>
    </row>
    <row r="4178">
      <c r="A4178" s="4" t="n">
        <v>33834</v>
      </c>
      <c r="B4178" s="4" t="inlineStr">
        <is>
          <t>cost3mo-cel-natu-p01-light-grey-sp0200</t>
        </is>
      </c>
      <c r="C4178" s="4" t="inlineStr">
        <is>
          <t>W00031886A</t>
        </is>
      </c>
      <c r="D4178" s="6">
        <f>IF(F4178&gt;=5, F4178-5, IF(F4178&lt;5, 0, F4178))</f>
        <v/>
      </c>
      <c r="E4178">
        <f>VLOOKUP(B4178,[1]Namshi!$A:$B,2,0)</f>
        <v/>
      </c>
      <c r="F4178" s="4">
        <f>SUMIFS('Dubai Stock'!I:I,'Dubai Stock'!H:H,Final_UAE!B:B)</f>
        <v/>
      </c>
      <c r="H4178" s="8" t="e">
        <v>#N/A</v>
      </c>
      <c r="I4178" s="8" t="n"/>
    </row>
    <row r="4179">
      <c r="A4179" s="4" t="n">
        <v>33834</v>
      </c>
      <c r="B4179" s="4" t="inlineStr">
        <is>
          <t>clstbiw-acu-0002-p12-sn1050</t>
        </is>
      </c>
      <c r="C4179" s="4" t="inlineStr">
        <is>
          <t>W00031886A</t>
        </is>
      </c>
      <c r="D4179" s="6">
        <f>IF(F4179&gt;=5, F4179-5, IF(F4179&lt;5, 0, F4179))</f>
        <v/>
      </c>
      <c r="E4179">
        <f>VLOOKUP(B4179,[1]Namshi!$A:$B,2,0)</f>
        <v/>
      </c>
      <c r="F4179" s="4">
        <f>SUMIFS('Dubai Stock'!I:I,'Dubai Stock'!H:H,Final_UAE!B:B)</f>
        <v/>
      </c>
      <c r="H4179" s="8" t="e">
        <v>#N/A</v>
      </c>
      <c r="I4179" s="8" t="n"/>
    </row>
    <row r="4180">
      <c r="A4180" s="4" t="n">
        <v>33834</v>
      </c>
      <c r="B4180" s="4" t="inlineStr">
        <is>
          <t>sw70404-bla-000257-0404-57</t>
        </is>
      </c>
      <c r="C4180" s="4" t="inlineStr">
        <is>
          <t>W00031886A</t>
        </is>
      </c>
      <c r="D4180" s="6">
        <f>IF(F4180&gt;=5, F4180-5, IF(F4180&lt;5, 0, F4180))</f>
        <v/>
      </c>
      <c r="E4180">
        <f>VLOOKUP(B4180,[1]Namshi!$A:$B,2,0)</f>
        <v/>
      </c>
      <c r="F4180" s="4">
        <f>SUMIFS('Dubai Stock'!I:I,'Dubai Stock'!H:H,Final_UAE!B:B)</f>
        <v/>
      </c>
      <c r="H4180" s="8" t="e">
        <v>#N/A</v>
      </c>
    </row>
    <row r="4181">
      <c r="A4181" s="4" t="n">
        <v>33834</v>
      </c>
      <c r="B4181" s="4" t="inlineStr">
        <is>
          <t>costdai-ama-dail-p10-honey-sn0450</t>
        </is>
      </c>
      <c r="C4181" s="4" t="inlineStr">
        <is>
          <t>W00031886A</t>
        </is>
      </c>
      <c r="D4181" s="6">
        <f>IF(F4181&gt;=5, F4181-5, IF(F4181&lt;5, 0, F4181))</f>
        <v/>
      </c>
      <c r="E4181">
        <f>VLOOKUP(B4181,[1]Namshi!$A:$B,2,0)</f>
        <v/>
      </c>
      <c r="F4181" s="4">
        <f>SUMIFS('Dubai Stock'!I:I,'Dubai Stock'!H:H,Final_UAE!B:B)</f>
        <v/>
      </c>
      <c r="H4181" s="8" t="e">
        <v>#N/A</v>
      </c>
      <c r="I4181" s="8" t="n"/>
    </row>
    <row r="4182">
      <c r="A4182" s="4" t="n">
        <v>33834</v>
      </c>
      <c r="B4182" s="4" t="inlineStr">
        <is>
          <t>clstdai-lay-cont-p60-dazzle-black-sn0450</t>
        </is>
      </c>
      <c r="C4182" s="4" t="inlineStr">
        <is>
          <t>W00031886A</t>
        </is>
      </c>
      <c r="D4182" s="6">
        <f>IF(F4182&gt;=5, F4182-5, IF(F4182&lt;5, 0, F4182))</f>
        <v/>
      </c>
      <c r="E4182">
        <f>VLOOKUP(B4182,[1]Namshi!$A:$B,2,0)</f>
        <v/>
      </c>
      <c r="F4182" s="4">
        <f>SUMIFS('Dubai Stock'!I:I,'Dubai Stock'!H:H,Final_UAE!B:B)</f>
        <v/>
      </c>
      <c r="H4182" s="8" t="e">
        <v>#N/A</v>
      </c>
      <c r="I4182" s="8" t="n"/>
    </row>
    <row r="4183">
      <c r="A4183" s="4" t="n">
        <v>33834</v>
      </c>
      <c r="B4183" s="4" t="inlineStr">
        <is>
          <t>costmon-ama-lens-p02-crocodile-green-sn0325</t>
        </is>
      </c>
      <c r="C4183" s="4" t="inlineStr">
        <is>
          <t>W00031886A</t>
        </is>
      </c>
      <c r="D4183" s="6">
        <f>IF(F4183&gt;=5, F4183-5, IF(F4183&lt;5, 0, F4183))</f>
        <v/>
      </c>
      <c r="E4183">
        <f>VLOOKUP(B4183,[1]Namshi!$A:$B,2,0)</f>
        <v/>
      </c>
      <c r="F4183" s="4">
        <f>SUMIFS('Dubai Stock'!I:I,'Dubai Stock'!H:H,Final_UAE!B:B)</f>
        <v/>
      </c>
      <c r="H4183" s="8" t="e">
        <v>#N/A</v>
      </c>
      <c r="I4183" s="8" t="n"/>
    </row>
    <row r="4184">
      <c r="A4184" s="4" t="n">
        <v>33834</v>
      </c>
      <c r="B4184" s="4" t="inlineStr">
        <is>
          <t>costdai-acu-dffr-p10-rose-sn0300</t>
        </is>
      </c>
      <c r="C4184" s="4" t="inlineStr">
        <is>
          <t>W00031886A</t>
        </is>
      </c>
      <c r="D4184" s="6">
        <f>IF(F4184&gt;=5, F4184-5, IF(F4184&lt;5, 0, F4184))</f>
        <v/>
      </c>
      <c r="E4184">
        <f>VLOOKUP(B4184,[1]Namshi!$A:$B,2,0)</f>
        <v/>
      </c>
      <c r="F4184" s="4">
        <f>SUMIFS('Dubai Stock'!I:I,'Dubai Stock'!H:H,Final_UAE!B:B)</f>
        <v/>
      </c>
      <c r="H4184" s="8" t="e">
        <v>#N/A</v>
      </c>
      <c r="I4184" s="8" t="n"/>
    </row>
    <row r="4185">
      <c r="A4185" s="4" t="n">
        <v>33834</v>
      </c>
      <c r="B4185" s="4" t="inlineStr">
        <is>
          <t>clstdai-dai-aqua-p30-sp0650</t>
        </is>
      </c>
      <c r="C4185" s="4" t="inlineStr">
        <is>
          <t>W00031886A</t>
        </is>
      </c>
      <c r="D4185" s="6">
        <f>IF(F4185&gt;=5, F4185-5, IF(F4185&lt;5, 0, F4185))</f>
        <v/>
      </c>
      <c r="E4185">
        <f>VLOOKUP(B4185,[1]Namshi!$A:$B,2,0)</f>
        <v/>
      </c>
      <c r="F4185" s="4">
        <f>SUMIFS('Dubai Stock'!I:I,'Dubai Stock'!H:H,Final_UAE!B:B)</f>
        <v/>
      </c>
      <c r="H4185" s="8" t="e">
        <v>#N/A</v>
      </c>
      <c r="I4185" s="8" t="n"/>
    </row>
    <row r="4186">
      <c r="A4186" s="4" t="n">
        <v>33834</v>
      </c>
      <c r="B4186" s="4" t="inlineStr">
        <is>
          <t>costdai-ama-dail-p10-amber-sp0000</t>
        </is>
      </c>
      <c r="C4186" s="4" t="inlineStr">
        <is>
          <t>W00031886A</t>
        </is>
      </c>
      <c r="D4186" s="6">
        <f>IF(F4186&gt;=5, F4186-5, IF(F4186&lt;5, 0, F4186))</f>
        <v/>
      </c>
      <c r="E4186">
        <f>VLOOKUP(B4186,[1]Namshi!$A:$B,2,0)</f>
        <v/>
      </c>
      <c r="F4186" s="4">
        <f>SUMIFS('Dubai Stock'!I:I,'Dubai Stock'!H:H,Final_UAE!B:B)</f>
        <v/>
      </c>
      <c r="H4186" s="8" t="e">
        <v>#N/A</v>
      </c>
      <c r="I4186" s="8" t="n"/>
    </row>
    <row r="4187">
      <c r="A4187" s="4" t="n">
        <v>33834</v>
      </c>
      <c r="B4187" s="4" t="inlineStr">
        <is>
          <t>sw60107-bla-000376-0107-55</t>
        </is>
      </c>
      <c r="C4187" s="4" t="inlineStr">
        <is>
          <t>W00031886A</t>
        </is>
      </c>
      <c r="D4187" s="6">
        <f>IF(F4187&gt;=5, F4187-5, IF(F4187&lt;5, 0, F4187))</f>
        <v/>
      </c>
      <c r="E4187">
        <f>VLOOKUP(B4187,[1]Namshi!$A:$B,2,0)</f>
        <v/>
      </c>
      <c r="F4187" s="4">
        <f>SUMIFS('Dubai Stock'!I:I,'Dubai Stock'!H:H,Final_UAE!B:B)</f>
        <v/>
      </c>
      <c r="H4187" s="8" t="e">
        <v>#N/A</v>
      </c>
    </row>
    <row r="4188">
      <c r="A4188" s="4" t="n">
        <v>33834</v>
      </c>
      <c r="B4188" s="4" t="inlineStr">
        <is>
          <t>clstdai-acu-mois-p60-sn0900</t>
        </is>
      </c>
      <c r="C4188" s="4" t="inlineStr">
        <is>
          <t>W00031886A</t>
        </is>
      </c>
      <c r="D4188" s="6">
        <f>IF(F4188&gt;=5, F4188-5, IF(F4188&lt;5, 0, F4188))</f>
        <v/>
      </c>
      <c r="E4188">
        <f>VLOOKUP(B4188,[1]Namshi!$A:$B,2,0)</f>
        <v/>
      </c>
      <c r="F4188" s="4">
        <f>SUMIFS('Dubai Stock'!I:I,'Dubai Stock'!H:H,Final_UAE!B:B)</f>
        <v/>
      </c>
      <c r="H4188" s="8" t="e">
        <v>#N/A</v>
      </c>
      <c r="I4188" s="8" t="n"/>
    </row>
    <row r="4189">
      <c r="A4189" s="4" t="n">
        <v>33834</v>
      </c>
      <c r="B4189" s="4" t="inlineStr">
        <is>
          <t>sm50107-30s-000216-0107-51</t>
        </is>
      </c>
      <c r="C4189" s="4" t="inlineStr">
        <is>
          <t>W00031886A</t>
        </is>
      </c>
      <c r="D4189" s="6">
        <f>IF(F4189&gt;=5, F4189-5, IF(F4189&lt;5, 0, F4189))</f>
        <v/>
      </c>
      <c r="E4189">
        <f>VLOOKUP(B4189,[1]Namshi!$A:$B,2,0)</f>
        <v/>
      </c>
      <c r="F4189" s="4">
        <f>SUMIFS('Dubai Stock'!I:I,'Dubai Stock'!H:H,Final_UAE!B:B)</f>
        <v/>
      </c>
      <c r="H4189" s="8" t="e">
        <v>#N/A</v>
      </c>
    </row>
    <row r="4190">
      <c r="A4190" s="4" t="n">
        <v>33834</v>
      </c>
      <c r="B4190" s="4" t="inlineStr">
        <is>
          <t>costmon-ama-lens-p02-dark-sepia-sn0175</t>
        </is>
      </c>
      <c r="C4190" s="4" t="inlineStr">
        <is>
          <t>W00031886A</t>
        </is>
      </c>
      <c r="D4190" s="6">
        <f>IF(F4190&gt;=5, F4190-5, IF(F4190&lt;5, 0, F4190))</f>
        <v/>
      </c>
      <c r="E4190">
        <f>VLOOKUP(B4190,[1]Namshi!$A:$B,2,0)</f>
        <v/>
      </c>
      <c r="F4190" s="4">
        <f>SUMIFS('Dubai Stock'!I:I,'Dubai Stock'!H:H,Final_UAE!B:B)</f>
        <v/>
      </c>
      <c r="H4190" s="8" t="e">
        <v>#N/A</v>
      </c>
      <c r="I4190" s="8" t="n"/>
    </row>
    <row r="4191">
      <c r="A4191" s="4" t="n">
        <v>33834</v>
      </c>
      <c r="B4191" s="4" t="inlineStr">
        <is>
          <t>sw32904-bla-000344-2904-56</t>
        </is>
      </c>
      <c r="C4191" s="4" t="inlineStr">
        <is>
          <t>W00031886A</t>
        </is>
      </c>
      <c r="D4191" s="6">
        <f>IF(F4191&gt;=5, F4191-5, IF(F4191&lt;5, 0, F4191))</f>
        <v/>
      </c>
      <c r="E4191">
        <f>VLOOKUP(B4191,[1]Namshi!$A:$B,2,0)</f>
        <v/>
      </c>
      <c r="F4191" s="4">
        <f>SUMIFS('Dubai Stock'!I:I,'Dubai Stock'!H:H,Final_UAE!B:B)</f>
        <v/>
      </c>
      <c r="H4191" s="8" t="e">
        <v>#N/A</v>
      </c>
    </row>
    <row r="4192">
      <c r="A4192" s="4" t="n">
        <v>33834</v>
      </c>
      <c r="B4192" s="4" t="inlineStr">
        <is>
          <t>sw61207-bla-000241-1207-58</t>
        </is>
      </c>
      <c r="C4192" s="4" t="inlineStr">
        <is>
          <t>W00031886A</t>
        </is>
      </c>
      <c r="D4192" s="6">
        <f>IF(F4192&gt;=5, F4192-5, IF(F4192&lt;5, 0, F4192))</f>
        <v/>
      </c>
      <c r="E4192">
        <f>VLOOKUP(B4192,[1]Namshi!$A:$B,2,0)</f>
        <v/>
      </c>
      <c r="F4192" s="4">
        <f>SUMIFS('Dubai Stock'!I:I,'Dubai Stock'!H:H,Final_UAE!B:B)</f>
        <v/>
      </c>
      <c r="H4192" s="8" t="e">
        <v>#N/A</v>
      </c>
    </row>
    <row r="4193">
      <c r="A4193" s="4" t="n">
        <v>33834</v>
      </c>
      <c r="B4193" s="4" t="inlineStr">
        <is>
          <t>clstdai-acu-dfvi-p90-sn0275</t>
        </is>
      </c>
      <c r="C4193" s="4" t="inlineStr">
        <is>
          <t>W00031886A</t>
        </is>
      </c>
      <c r="D4193" s="6">
        <f>IF(F4193&gt;=5, F4193-5, IF(F4193&lt;5, 0, F4193))</f>
        <v/>
      </c>
      <c r="E4193">
        <f>VLOOKUP(B4193,[1]Namshi!$A:$B,2,0)</f>
        <v/>
      </c>
      <c r="F4193" s="4">
        <f>SUMIFS('Dubai Stock'!I:I,'Dubai Stock'!H:H,Final_UAE!B:B)</f>
        <v/>
      </c>
      <c r="H4193" s="8" t="e">
        <v>#N/A</v>
      </c>
      <c r="I4193" s="8" t="n"/>
    </row>
    <row r="4194">
      <c r="A4194" s="4" t="n">
        <v>33834</v>
      </c>
      <c r="B4194" s="4" t="inlineStr">
        <is>
          <t>su20102-30s-000213-0102-46</t>
        </is>
      </c>
      <c r="C4194" s="4" t="inlineStr">
        <is>
          <t>W00031886A</t>
        </is>
      </c>
      <c r="D4194" s="6">
        <f>IF(F4194&gt;=5, F4194-5, IF(F4194&lt;5, 0, F4194))</f>
        <v/>
      </c>
      <c r="E4194">
        <f>VLOOKUP(B4194,[1]Namshi!$A:$B,2,0)</f>
        <v/>
      </c>
      <c r="F4194" s="4">
        <f>SUMIFS('Dubai Stock'!I:I,'Dubai Stock'!H:H,Final_UAE!B:B)</f>
        <v/>
      </c>
      <c r="H4194" s="8" t="e">
        <v>#N/A</v>
      </c>
    </row>
    <row r="4195">
      <c r="A4195" s="4" t="n">
        <v>33834</v>
      </c>
      <c r="B4195" s="4" t="inlineStr">
        <is>
          <t>costmon-ama-2020-p02-charcoal-gray-sn0400</t>
        </is>
      </c>
      <c r="C4195" s="4" t="inlineStr">
        <is>
          <t>W00031886A</t>
        </is>
      </c>
      <c r="D4195" s="6">
        <f>IF(F4195&gt;=5, F4195-5, IF(F4195&lt;5, 0, F4195))</f>
        <v/>
      </c>
      <c r="E4195">
        <f>VLOOKUP(B4195,[1]Namshi!$A:$B,2,0)</f>
        <v/>
      </c>
      <c r="F4195" s="4">
        <f>SUMIFS('Dubai Stock'!I:I,'Dubai Stock'!H:H,Final_UAE!B:B)</f>
        <v/>
      </c>
      <c r="H4195" s="8" t="e">
        <v>#N/A</v>
      </c>
      <c r="I4195" s="8" t="n"/>
    </row>
    <row r="4196">
      <c r="A4196" s="4" t="n">
        <v>33834</v>
      </c>
      <c r="B4196" s="4" t="inlineStr">
        <is>
          <t>cost3mo-lay-2020-p02-hazel-brown-sn0125</t>
        </is>
      </c>
      <c r="C4196" s="4" t="inlineStr">
        <is>
          <t>W00031886A</t>
        </is>
      </c>
      <c r="D4196" s="6">
        <f>IF(F4196&gt;=5, F4196-5, IF(F4196&lt;5, 0, F4196))</f>
        <v/>
      </c>
      <c r="E4196">
        <f>VLOOKUP(B4196,[1]Namshi!$A:$B,2,0)</f>
        <v/>
      </c>
      <c r="F4196" s="4">
        <f>SUMIFS('Dubai Stock'!I:I,'Dubai Stock'!H:H,Final_UAE!B:B)</f>
        <v/>
      </c>
      <c r="H4196" s="8" t="e">
        <v>#N/A</v>
      </c>
      <c r="I4196" s="8" t="n"/>
    </row>
    <row r="4197">
      <c r="A4197" s="4" t="n">
        <v>33834</v>
      </c>
      <c r="B4197" s="4" t="inlineStr">
        <is>
          <t>sw100104-bla-000343-0104-55</t>
        </is>
      </c>
      <c r="C4197" s="4" t="inlineStr">
        <is>
          <t>W00031886A</t>
        </is>
      </c>
      <c r="D4197" s="6">
        <f>IF(F4197&gt;=5, F4197-5, IF(F4197&lt;5, 0, F4197))</f>
        <v/>
      </c>
      <c r="E4197">
        <f>VLOOKUP(B4197,[1]Namshi!$A:$B,2,0)</f>
        <v/>
      </c>
      <c r="F4197" s="4">
        <f>SUMIFS('Dubai Stock'!I:I,'Dubai Stock'!H:H,Final_UAE!B:B)</f>
        <v/>
      </c>
      <c r="H4197" s="8" t="e">
        <v>#N/A</v>
      </c>
    </row>
    <row r="4198">
      <c r="A4198" s="4" t="n">
        <v>33834</v>
      </c>
      <c r="B4198" s="4" t="inlineStr">
        <is>
          <t>clstdai-acu-dfvi-p60-sn0850</t>
        </is>
      </c>
      <c r="C4198" s="4" t="inlineStr">
        <is>
          <t>W00031886A</t>
        </is>
      </c>
      <c r="D4198" s="6">
        <f>IF(F4198&gt;=5, F4198-5, IF(F4198&lt;5, 0, F4198))</f>
        <v/>
      </c>
      <c r="E4198">
        <f>VLOOKUP(B4198,[1]Namshi!$A:$B,2,0)</f>
        <v/>
      </c>
      <c r="F4198" s="4">
        <f>SUMIFS('Dubai Stock'!I:I,'Dubai Stock'!H:H,Final_UAE!B:B)</f>
        <v/>
      </c>
      <c r="H4198" s="8" t="e">
        <v>#N/A</v>
      </c>
      <c r="I4198" s="8" t="n"/>
    </row>
    <row r="4199">
      <c r="A4199" s="4" t="n">
        <v>33834</v>
      </c>
      <c r="B4199" s="4" t="inlineStr">
        <is>
          <t>sw72604-30s-000245-2604-55</t>
        </is>
      </c>
      <c r="C4199" s="4" t="inlineStr">
        <is>
          <t>W00031886A</t>
        </is>
      </c>
      <c r="D4199" s="6">
        <f>IF(F4199&gt;=5, F4199-5, IF(F4199&lt;5, 0, F4199))</f>
        <v/>
      </c>
      <c r="E4199">
        <f>VLOOKUP(B4199,[1]Namshi!$A:$B,2,0)</f>
        <v/>
      </c>
      <c r="F4199" s="4">
        <f>SUMIFS('Dubai Stock'!I:I,'Dubai Stock'!H:H,Final_UAE!B:B)</f>
        <v/>
      </c>
      <c r="H4199" s="8" t="e">
        <v>#N/A</v>
      </c>
    </row>
    <row r="4200">
      <c r="A4200" s="4" t="n">
        <v>33834</v>
      </c>
      <c r="B4200" s="4" t="inlineStr">
        <is>
          <t>clstbiw-acu-cle-p06-sn0175</t>
        </is>
      </c>
      <c r="C4200" s="4" t="inlineStr">
        <is>
          <t>W00031886A</t>
        </is>
      </c>
      <c r="D4200" s="6">
        <f>IF(F4200&gt;=5, F4200-5, IF(F4200&lt;5, 0, F4200))</f>
        <v/>
      </c>
      <c r="E4200">
        <f>VLOOKUP(B4200,[1]Namshi!$A:$B,2,0)</f>
        <v/>
      </c>
      <c r="F4200" s="4">
        <f>SUMIFS('Dubai Stock'!I:I,'Dubai Stock'!H:H,Final_UAE!B:B)</f>
        <v/>
      </c>
      <c r="H4200" s="8" t="e">
        <v>#N/A</v>
      </c>
      <c r="I4200" s="8" t="n"/>
    </row>
    <row r="4201">
      <c r="A4201" s="4" t="n">
        <v>33834</v>
      </c>
      <c r="B4201" s="4" t="inlineStr">
        <is>
          <t>clstdai-acu-omax-p90-sn0900</t>
        </is>
      </c>
      <c r="C4201" s="4" t="inlineStr">
        <is>
          <t>W00031886A</t>
        </is>
      </c>
      <c r="D4201" s="6">
        <f>IF(F4201&gt;=5, F4201-5, IF(F4201&lt;5, 0, F4201))</f>
        <v/>
      </c>
      <c r="E4201">
        <f>VLOOKUP(B4201,[1]Namshi!$A:$B,2,0)</f>
        <v/>
      </c>
      <c r="F4201" s="4">
        <f>SUMIFS('Dubai Stock'!I:I,'Dubai Stock'!H:H,Final_UAE!B:B)</f>
        <v/>
      </c>
      <c r="H4201" s="8" t="e">
        <v>#N/A</v>
      </c>
      <c r="I4201" s="8" t="n"/>
    </row>
    <row r="4202">
      <c r="A4202" s="4" t="n">
        <v>33834</v>
      </c>
      <c r="B4202" s="4" t="inlineStr">
        <is>
          <t>sm101207-30s-000247-1207p-57</t>
        </is>
      </c>
      <c r="C4202" s="4" t="inlineStr">
        <is>
          <t>W00031886A</t>
        </is>
      </c>
      <c r="D4202" s="6">
        <f>IF(F4202&gt;=5, F4202-5, IF(F4202&lt;5, 0, F4202))</f>
        <v/>
      </c>
      <c r="E4202">
        <f>VLOOKUP(B4202,[1]Namshi!$A:$B,2,0)</f>
        <v/>
      </c>
      <c r="F4202" s="4">
        <f>SUMIFS('Dubai Stock'!I:I,'Dubai Stock'!H:H,Final_UAE!B:B)</f>
        <v/>
      </c>
      <c r="H4202" s="8" t="e">
        <v>#N/A</v>
      </c>
    </row>
    <row r="4203">
      <c r="A4203" s="4" t="n">
        <v>33834</v>
      </c>
      <c r="B4203" s="4" t="inlineStr">
        <is>
          <t>clstdai-dai-tot1-p30-sn0750</t>
        </is>
      </c>
      <c r="C4203" s="4" t="inlineStr">
        <is>
          <t>W00031886A</t>
        </is>
      </c>
      <c r="D4203" s="6">
        <f>IF(F4203&gt;=5, F4203-5, IF(F4203&lt;5, 0, F4203))</f>
        <v/>
      </c>
      <c r="E4203">
        <f>VLOOKUP(B4203,[1]Namshi!$A:$B,2,0)</f>
        <v/>
      </c>
      <c r="F4203" s="4">
        <f>SUMIFS('Dubai Stock'!I:I,'Dubai Stock'!H:H,Final_UAE!B:B)</f>
        <v/>
      </c>
      <c r="H4203" s="8" t="e">
        <v>#N/A</v>
      </c>
      <c r="I4203" s="8" t="n"/>
    </row>
    <row r="4204">
      <c r="A4204" s="4" t="n">
        <v>33834</v>
      </c>
      <c r="B4204" s="4" t="inlineStr">
        <is>
          <t>costdai-ama-dail-p10-amber-sn0850</t>
        </is>
      </c>
      <c r="C4204" s="4" t="inlineStr">
        <is>
          <t>W00031886A</t>
        </is>
      </c>
      <c r="D4204" s="6">
        <f>IF(F4204&gt;=5, F4204-5, IF(F4204&lt;5, 0, F4204))</f>
        <v/>
      </c>
      <c r="E4204">
        <f>VLOOKUP(B4204,[1]Namshi!$A:$B,2,0)</f>
        <v/>
      </c>
      <c r="F4204" s="4">
        <f>SUMIFS('Dubai Stock'!I:I,'Dubai Stock'!H:H,Final_UAE!B:B)</f>
        <v/>
      </c>
      <c r="H4204" s="8" t="e">
        <v>#N/A</v>
      </c>
      <c r="I4204" s="8" t="n"/>
    </row>
    <row r="4205">
      <c r="A4205" s="4" t="n">
        <v>33834</v>
      </c>
      <c r="B4205" s="4" t="inlineStr">
        <is>
          <t>costdai-ama-dail-p10-sugar-sn0075</t>
        </is>
      </c>
      <c r="C4205" s="4" t="inlineStr">
        <is>
          <t>W00031886A</t>
        </is>
      </c>
      <c r="D4205" s="6">
        <f>IF(F4205&gt;=5, F4205-5, IF(F4205&lt;5, 0, F4205))</f>
        <v/>
      </c>
      <c r="E4205">
        <f>VLOOKUP(B4205,[1]Namshi!$A:$B,2,0)</f>
        <v/>
      </c>
      <c r="F4205" s="4">
        <f>SUMIFS('Dubai Stock'!I:I,'Dubai Stock'!H:H,Final_UAE!B:B)</f>
        <v/>
      </c>
      <c r="H4205" s="8" t="e">
        <v>#N/A</v>
      </c>
      <c r="I4205" s="8" t="n"/>
    </row>
    <row r="4206">
      <c r="A4206" s="4" t="n">
        <v>33834</v>
      </c>
      <c r="B4206" s="4" t="inlineStr">
        <is>
          <t>clstmon-bio-biof-p06-sn0325</t>
        </is>
      </c>
      <c r="C4206" s="4" t="inlineStr">
        <is>
          <t>W00031886A</t>
        </is>
      </c>
      <c r="D4206" s="6">
        <f>IF(F4206&gt;=5, F4206-5, IF(F4206&lt;5, 0, F4206))</f>
        <v/>
      </c>
      <c r="E4206">
        <f>VLOOKUP(B4206,[1]Namshi!$A:$B,2,0)</f>
        <v/>
      </c>
      <c r="F4206" s="4">
        <f>SUMIFS('Dubai Stock'!I:I,'Dubai Stock'!H:H,Final_UAE!B:B)</f>
        <v/>
      </c>
      <c r="H4206" s="8" t="e">
        <v>#N/A</v>
      </c>
      <c r="I4206" s="8" t="n"/>
    </row>
    <row r="4207">
      <c r="A4207" s="4" t="n">
        <v>33834</v>
      </c>
      <c r="B4207" s="4" t="inlineStr">
        <is>
          <t>clstdai-lay-cont-p90-dazzle-black-sn1000</t>
        </is>
      </c>
      <c r="C4207" s="4" t="inlineStr">
        <is>
          <t>W00031886A</t>
        </is>
      </c>
      <c r="D4207" s="6">
        <f>IF(F4207&gt;=5, F4207-5, IF(F4207&lt;5, 0, F4207))</f>
        <v/>
      </c>
      <c r="E4207">
        <f>VLOOKUP(B4207,[1]Namshi!$A:$B,2,0)</f>
        <v/>
      </c>
      <c r="F4207" s="4">
        <f>SUMIFS('Dubai Stock'!I:I,'Dubai Stock'!H:H,Final_UAE!B:B)</f>
        <v/>
      </c>
      <c r="H4207" s="8" t="e">
        <v>#N/A</v>
      </c>
      <c r="I4207" s="8" t="n"/>
    </row>
    <row r="4208">
      <c r="A4208" s="4" t="n">
        <v>33834</v>
      </c>
      <c r="B4208" s="4" t="inlineStr">
        <is>
          <t>sw52302-30s-000242-2302-58</t>
        </is>
      </c>
      <c r="C4208" s="4" t="inlineStr">
        <is>
          <t>W00031886A</t>
        </is>
      </c>
      <c r="D4208" s="6">
        <f>IF(F4208&gt;=5, F4208-5, IF(F4208&lt;5, 0, F4208))</f>
        <v/>
      </c>
      <c r="E4208">
        <f>VLOOKUP(B4208,[1]Namshi!$A:$B,2,0)</f>
        <v/>
      </c>
      <c r="F4208" s="4">
        <f>SUMIFS('Dubai Stock'!I:I,'Dubai Stock'!H:H,Final_UAE!B:B)</f>
        <v/>
      </c>
      <c r="H4208" s="8" t="e">
        <v>#N/A</v>
      </c>
    </row>
    <row r="4209">
      <c r="A4209" s="4" t="n">
        <v>33834</v>
      </c>
      <c r="B4209" s="4" t="inlineStr">
        <is>
          <t>clstdai-eve-elit-p30-sn0400</t>
        </is>
      </c>
      <c r="C4209" s="4" t="inlineStr">
        <is>
          <t>W00031886A</t>
        </is>
      </c>
      <c r="D4209" s="6">
        <f>IF(F4209&gt;=5, F4209-5, IF(F4209&lt;5, 0, F4209))</f>
        <v/>
      </c>
      <c r="E4209">
        <f>VLOOKUP(B4209,[1]Namshi!$A:$B,2,0)</f>
        <v/>
      </c>
      <c r="F4209" s="4">
        <f>SUMIFS('Dubai Stock'!I:I,'Dubai Stock'!H:H,Final_UAE!B:B)</f>
        <v/>
      </c>
      <c r="H4209" s="8" t="n">
        <v>261</v>
      </c>
      <c r="I4209" s="8" t="n">
        <v>146.3</v>
      </c>
    </row>
    <row r="4210">
      <c r="A4210" s="4" t="n">
        <v>33834</v>
      </c>
      <c r="B4210" s="4" t="inlineStr">
        <is>
          <t>sm11304-30s-000201-1304-57</t>
        </is>
      </c>
      <c r="C4210" s="4" t="inlineStr">
        <is>
          <t>W00031886A</t>
        </is>
      </c>
      <c r="D4210" s="6">
        <f>IF(F4210&gt;=5, F4210-5, IF(F4210&lt;5, 0, F4210))</f>
        <v/>
      </c>
      <c r="E4210">
        <f>VLOOKUP(B4210,[1]Namshi!$A:$B,2,0)</f>
        <v/>
      </c>
      <c r="F4210" s="4">
        <f>SUMIFS('Dubai Stock'!I:I,'Dubai Stock'!H:H,Final_UAE!B:B)</f>
        <v/>
      </c>
      <c r="H4210" s="8" t="e">
        <v>#N/A</v>
      </c>
    </row>
    <row r="4211">
      <c r="A4211" s="4" t="n">
        <v>33834</v>
      </c>
      <c r="B4211" s="4" t="inlineStr">
        <is>
          <t>bc52018-bab-000505-2018-43</t>
        </is>
      </c>
      <c r="C4211" s="4" t="inlineStr">
        <is>
          <t>W00031886A</t>
        </is>
      </c>
      <c r="D4211" s="6">
        <f>IF(F4211&gt;=5, F4211-5, IF(F4211&lt;5, 0, F4211))</f>
        <v/>
      </c>
      <c r="E4211">
        <f>VLOOKUP(B4211,[1]Namshi!$A:$B,2,0)</f>
        <v/>
      </c>
      <c r="F4211" s="4">
        <f>SUMIFS('Dubai Stock'!I:I,'Dubai Stock'!H:H,Final_UAE!B:B)</f>
        <v/>
      </c>
      <c r="H4211" s="8" t="e">
        <v>#N/A</v>
      </c>
      <c r="I4211" s="8" t="n"/>
    </row>
    <row r="4212">
      <c r="A4212" s="4" t="n">
        <v>33834</v>
      </c>
      <c r="B4212" s="4" t="inlineStr">
        <is>
          <t>clstbiw-acu-oasy-p06-sp0750</t>
        </is>
      </c>
      <c r="C4212" s="4" t="inlineStr">
        <is>
          <t>W00031886A</t>
        </is>
      </c>
      <c r="D4212" s="6">
        <f>IF(F4212&gt;=5, F4212-5, IF(F4212&lt;5, 0, F4212))</f>
        <v/>
      </c>
      <c r="E4212">
        <f>VLOOKUP(B4212,[1]Namshi!$A:$B,2,0)</f>
        <v/>
      </c>
      <c r="F4212" s="4">
        <f>SUMIFS('Dubai Stock'!I:I,'Dubai Stock'!H:H,Final_UAE!B:B)</f>
        <v/>
      </c>
      <c r="H4212" s="8" t="e">
        <v>#N/A</v>
      </c>
      <c r="I4212" s="8" t="n"/>
    </row>
    <row r="4213">
      <c r="A4213" s="4" t="n">
        <v>33834</v>
      </c>
      <c r="B4213" s="4" t="inlineStr">
        <is>
          <t>sw62304-bla-000320-2304-56</t>
        </is>
      </c>
      <c r="C4213" s="4" t="inlineStr">
        <is>
          <t>W00031886A</t>
        </is>
      </c>
      <c r="D4213" s="6">
        <f>IF(F4213&gt;=5, F4213-5, IF(F4213&lt;5, 0, F4213))</f>
        <v/>
      </c>
      <c r="E4213">
        <f>VLOOKUP(B4213,[1]Namshi!$A:$B,2,0)</f>
        <v/>
      </c>
      <c r="F4213" s="4">
        <f>SUMIFS('Dubai Stock'!I:I,'Dubai Stock'!H:H,Final_UAE!B:B)</f>
        <v/>
      </c>
      <c r="H4213" s="8" t="e">
        <v>#N/A</v>
      </c>
    </row>
    <row r="4214">
      <c r="A4214" s="4" t="n">
        <v>33834</v>
      </c>
      <c r="B4214" s="4" t="inlineStr">
        <is>
          <t>sw50101-30s-000120-0101-59</t>
        </is>
      </c>
      <c r="C4214" s="4" t="inlineStr">
        <is>
          <t>W00031886A</t>
        </is>
      </c>
      <c r="D4214" s="6">
        <f>IF(F4214&gt;=5, F4214-5, IF(F4214&lt;5, 0, F4214))</f>
        <v/>
      </c>
      <c r="E4214">
        <f>VLOOKUP(B4214,[1]Namshi!$A:$B,2,0)</f>
        <v/>
      </c>
      <c r="F4214" s="4">
        <f>SUMIFS('Dubai Stock'!I:I,'Dubai Stock'!H:H,Final_UAE!B:B)</f>
        <v/>
      </c>
      <c r="H4214" s="8" t="e">
        <v>#N/A</v>
      </c>
    </row>
    <row r="4215">
      <c r="A4215" s="4" t="n">
        <v>33834</v>
      </c>
      <c r="B4215" s="4" t="inlineStr">
        <is>
          <t>clstdai-acu-dfna-p60-sn0250</t>
        </is>
      </c>
      <c r="C4215" s="4" t="inlineStr">
        <is>
          <t>W00031886A</t>
        </is>
      </c>
      <c r="D4215" s="6">
        <f>IF(F4215&gt;=5, F4215-5, IF(F4215&lt;5, 0, F4215))</f>
        <v/>
      </c>
      <c r="E4215">
        <f>VLOOKUP(B4215,[1]Namshi!$A:$B,2,0)</f>
        <v/>
      </c>
      <c r="F4215" s="4">
        <f>SUMIFS('Dubai Stock'!I:I,'Dubai Stock'!H:H,Final_UAE!B:B)</f>
        <v/>
      </c>
      <c r="H4215" s="8" t="e">
        <v>#N/A</v>
      </c>
      <c r="I4215" s="8" t="n"/>
    </row>
    <row r="4216">
      <c r="A4216" s="4" t="n">
        <v>33834</v>
      </c>
      <c r="B4216" s="4" t="inlineStr">
        <is>
          <t>sw20404-30s-000269-0404-51</t>
        </is>
      </c>
      <c r="C4216" s="4" t="inlineStr">
        <is>
          <t>W00031886A</t>
        </is>
      </c>
      <c r="D4216" s="6">
        <f>IF(F4216&gt;=5, F4216-5, IF(F4216&lt;5, 0, F4216))</f>
        <v/>
      </c>
      <c r="E4216">
        <f>VLOOKUP(B4216,[1]Namshi!$A:$B,2,0)</f>
        <v/>
      </c>
      <c r="F4216" s="4">
        <f>SUMIFS('Dubai Stock'!I:I,'Dubai Stock'!H:H,Final_UAE!B:B)</f>
        <v/>
      </c>
      <c r="H4216" s="8" t="e">
        <v>#N/A</v>
      </c>
    </row>
    <row r="4217">
      <c r="A4217" s="4" t="n">
        <v>33834</v>
      </c>
      <c r="B4217" s="4" t="inlineStr">
        <is>
          <t>sacchan-30s-chain123-pnk-etta-pink</t>
        </is>
      </c>
      <c r="C4217" s="4" t="inlineStr">
        <is>
          <t>W00031886A</t>
        </is>
      </c>
      <c r="D4217" s="6">
        <f>IF(F4217&gt;=5, F4217-5, IF(F4217&lt;5, 0, F4217))</f>
        <v/>
      </c>
      <c r="E4217">
        <f>VLOOKUP(B4217,[1]Namshi!$A:$B,2,0)</f>
        <v/>
      </c>
      <c r="F4217" s="4">
        <f>SUMIFS('Dubai Stock'!I:I,'Dubai Stock'!H:H,Final_UAE!B:B)</f>
        <v/>
      </c>
      <c r="H4217" s="8" t="e">
        <v>#N/A</v>
      </c>
      <c r="I4217" s="8" t="n"/>
    </row>
    <row r="4218">
      <c r="A4218" s="4" t="n">
        <v>33834</v>
      </c>
      <c r="B4218" s="4" t="inlineStr">
        <is>
          <t>cost3mo-lay-2024-p02-moon-gray-sn0550</t>
        </is>
      </c>
      <c r="C4218" s="4" t="inlineStr">
        <is>
          <t>W00031886A</t>
        </is>
      </c>
      <c r="D4218" s="6">
        <f>IF(F4218&gt;=5, F4218-5, IF(F4218&lt;5, 0, F4218))</f>
        <v/>
      </c>
      <c r="E4218">
        <f>VLOOKUP(B4218,[1]Namshi!$A:$B,2,0)</f>
        <v/>
      </c>
      <c r="F4218" s="4">
        <f>SUMIFS('Dubai Stock'!I:I,'Dubai Stock'!H:H,Final_UAE!B:B)</f>
        <v/>
      </c>
      <c r="H4218" s="8" t="e">
        <v>#N/A</v>
      </c>
      <c r="I4218" s="8" t="n"/>
    </row>
    <row r="4219">
      <c r="A4219" s="4" t="n">
        <v>33834</v>
      </c>
      <c r="B4219" s="4" t="inlineStr">
        <is>
          <t>sacchan-30s-chain134-blk-berry-black</t>
        </is>
      </c>
      <c r="C4219" s="4" t="inlineStr">
        <is>
          <t>W00031886A</t>
        </is>
      </c>
      <c r="D4219" s="6">
        <f>IF(F4219&gt;=5, F4219-5, IF(F4219&lt;5, 0, F4219))</f>
        <v/>
      </c>
      <c r="E4219">
        <f>VLOOKUP(B4219,[1]Namshi!$A:$B,2,0)</f>
        <v/>
      </c>
      <c r="F4219" s="4">
        <f>SUMIFS('Dubai Stock'!I:I,'Dubai Stock'!H:H,Final_UAE!B:B)</f>
        <v/>
      </c>
      <c r="H4219" s="8" t="e">
        <v>#N/A</v>
      </c>
      <c r="I4219" s="8" t="n"/>
    </row>
    <row r="4220">
      <c r="A4220" s="4" t="n">
        <v>33834</v>
      </c>
      <c r="B4220" s="4" t="inlineStr">
        <is>
          <t>clstdai-lay-cont-p90-dazzle-black-sn0700</t>
        </is>
      </c>
      <c r="C4220" s="4" t="inlineStr">
        <is>
          <t>W00031886A</t>
        </is>
      </c>
      <c r="D4220" s="6">
        <f>IF(F4220&gt;=5, F4220-5, IF(F4220&lt;5, 0, F4220))</f>
        <v/>
      </c>
      <c r="E4220">
        <f>VLOOKUP(B4220,[1]Namshi!$A:$B,2,0)</f>
        <v/>
      </c>
      <c r="F4220" s="4">
        <f>SUMIFS('Dubai Stock'!I:I,'Dubai Stock'!H:H,Final_UAE!B:B)</f>
        <v/>
      </c>
      <c r="H4220" s="8" t="e">
        <v>#N/A</v>
      </c>
      <c r="I4220" s="8" t="n"/>
    </row>
    <row r="4221">
      <c r="A4221" s="4" t="n">
        <v>33834</v>
      </c>
      <c r="B4221" s="4" t="inlineStr">
        <is>
          <t>cost3mo-lay-2023-p02-sable-brown-sn0550</t>
        </is>
      </c>
      <c r="C4221" s="4" t="inlineStr">
        <is>
          <t>W00031886A</t>
        </is>
      </c>
      <c r="D4221" s="6">
        <f>IF(F4221&gt;=5, F4221-5, IF(F4221&lt;5, 0, F4221))</f>
        <v/>
      </c>
      <c r="E4221">
        <f>VLOOKUP(B4221,[1]Namshi!$A:$B,2,0)</f>
        <v/>
      </c>
      <c r="F4221" s="4">
        <f>SUMIFS('Dubai Stock'!I:I,'Dubai Stock'!H:H,Final_UAE!B:B)</f>
        <v/>
      </c>
      <c r="H4221" s="8" t="e">
        <v>#N/A</v>
      </c>
      <c r="I4221" s="8" t="n"/>
    </row>
    <row r="4222">
      <c r="A4222" s="4" t="n">
        <v>33834</v>
      </c>
      <c r="B4222" s="4" t="inlineStr">
        <is>
          <t>costmon-ama-2024-p02-matcha-sn0350</t>
        </is>
      </c>
      <c r="C4222" s="4" t="inlineStr">
        <is>
          <t>W00031886A</t>
        </is>
      </c>
      <c r="D4222" s="6">
        <f>IF(F4222&gt;=5, F4222-5, IF(F4222&lt;5, 0, F4222))</f>
        <v/>
      </c>
      <c r="E4222">
        <f>VLOOKUP(B4222,[1]Namshi!$A:$B,2,0)</f>
        <v/>
      </c>
      <c r="F4222" s="4">
        <f>SUMIFS('Dubai Stock'!I:I,'Dubai Stock'!H:H,Final_UAE!B:B)</f>
        <v/>
      </c>
      <c r="H4222" s="8" t="e">
        <v>#N/A</v>
      </c>
      <c r="I4222" s="8" t="n"/>
    </row>
    <row r="4223">
      <c r="A4223" s="4" t="n">
        <v>33834</v>
      </c>
      <c r="B4223" s="4" t="inlineStr">
        <is>
          <t>costdai-acu-dffr-p30-grayzel-sn0800</t>
        </is>
      </c>
      <c r="C4223" s="4" t="inlineStr">
        <is>
          <t>W00031886A</t>
        </is>
      </c>
      <c r="D4223" s="6">
        <f>IF(F4223&gt;=5, F4223-5, IF(F4223&lt;5, 0, F4223))</f>
        <v/>
      </c>
      <c r="E4223">
        <f>VLOOKUP(B4223,[1]Namshi!$A:$B,2,0)</f>
        <v/>
      </c>
      <c r="F4223" s="4">
        <f>SUMIFS('Dubai Stock'!I:I,'Dubai Stock'!H:H,Final_UAE!B:B)</f>
        <v/>
      </c>
      <c r="H4223" s="8" t="e">
        <v>#N/A</v>
      </c>
      <c r="I4223" s="8" t="n"/>
    </row>
    <row r="4224">
      <c r="A4224" s="4" t="n">
        <v>33834</v>
      </c>
      <c r="B4224" s="4" t="inlineStr">
        <is>
          <t>cost3mo-lay-2020-p02-hazel-brown-sn0375</t>
        </is>
      </c>
      <c r="C4224" s="4" t="inlineStr">
        <is>
          <t>W00031886A</t>
        </is>
      </c>
      <c r="D4224" s="6">
        <f>IF(F4224&gt;=5, F4224-5, IF(F4224&lt;5, 0, F4224))</f>
        <v/>
      </c>
      <c r="E4224">
        <f>VLOOKUP(B4224,[1]Namshi!$A:$B,2,0)</f>
        <v/>
      </c>
      <c r="F4224" s="4">
        <f>SUMIFS('Dubai Stock'!I:I,'Dubai Stock'!H:H,Final_UAE!B:B)</f>
        <v/>
      </c>
      <c r="H4224" s="8" t="e">
        <v>#N/A</v>
      </c>
      <c r="I4224" s="8" t="n"/>
    </row>
    <row r="4225">
      <c r="A4225" s="4" t="n">
        <v>33834</v>
      </c>
      <c r="B4225" s="4" t="inlineStr">
        <is>
          <t>sw62906-bla-000304-2906-55</t>
        </is>
      </c>
      <c r="C4225" s="4" t="inlineStr">
        <is>
          <t>W00031886A</t>
        </is>
      </c>
      <c r="D4225" s="6">
        <f>IF(F4225&gt;=5, F4225-5, IF(F4225&lt;5, 0, F4225))</f>
        <v/>
      </c>
      <c r="E4225">
        <f>VLOOKUP(B4225,[1]Namshi!$A:$B,2,0)</f>
        <v/>
      </c>
      <c r="F4225" s="4">
        <f>SUMIFS('Dubai Stock'!I:I,'Dubai Stock'!H:H,Final_UAE!B:B)</f>
        <v/>
      </c>
      <c r="H4225" s="8" t="e">
        <v>#N/A</v>
      </c>
    </row>
    <row r="4226">
      <c r="A4226" s="4" t="n">
        <v>33834</v>
      </c>
      <c r="B4226" s="4" t="inlineStr">
        <is>
          <t>su10702-bla-000213-0702-61</t>
        </is>
      </c>
      <c r="C4226" s="4" t="inlineStr">
        <is>
          <t>W00031886A</t>
        </is>
      </c>
      <c r="D4226" s="6">
        <f>IF(F4226&gt;=5, F4226-5, IF(F4226&lt;5, 0, F4226))</f>
        <v/>
      </c>
      <c r="E4226">
        <f>VLOOKUP(B4226,[1]Namshi!$A:$B,2,0)</f>
        <v/>
      </c>
      <c r="F4226" s="4">
        <f>SUMIFS('Dubai Stock'!I:I,'Dubai Stock'!H:H,Final_UAE!B:B)</f>
        <v/>
      </c>
      <c r="H4226" s="8" t="e">
        <v>#N/A</v>
      </c>
    </row>
    <row r="4227">
      <c r="A4227" s="4" t="n">
        <v>33834</v>
      </c>
      <c r="B4227" s="4" t="inlineStr">
        <is>
          <t>costmon-ama-2020-p02-charcoal-gray-sn0050</t>
        </is>
      </c>
      <c r="C4227" s="4" t="inlineStr">
        <is>
          <t>W00031886A</t>
        </is>
      </c>
      <c r="D4227" s="6">
        <f>IF(F4227&gt;=5, F4227-5, IF(F4227&lt;5, 0, F4227))</f>
        <v/>
      </c>
      <c r="E4227">
        <f>VLOOKUP(B4227,[1]Namshi!$A:$B,2,0)</f>
        <v/>
      </c>
      <c r="F4227" s="4">
        <f>SUMIFS('Dubai Stock'!I:I,'Dubai Stock'!H:H,Final_UAE!B:B)</f>
        <v/>
      </c>
      <c r="H4227" s="8" t="e">
        <v>#N/A</v>
      </c>
      <c r="I4227" s="8" t="n"/>
    </row>
    <row r="4228">
      <c r="A4228" s="4" t="n">
        <v>33834</v>
      </c>
      <c r="B4228" s="4" t="inlineStr">
        <is>
          <t>clstdai-acu-omax-p30-sn0275</t>
        </is>
      </c>
      <c r="C4228" s="4" t="inlineStr">
        <is>
          <t>W00031886A</t>
        </is>
      </c>
      <c r="D4228" s="6">
        <f>IF(F4228&gt;=5, F4228-5, IF(F4228&lt;5, 0, F4228))</f>
        <v/>
      </c>
      <c r="E4228">
        <f>VLOOKUP(B4228,[1]Namshi!$A:$B,2,0)</f>
        <v/>
      </c>
      <c r="F4228" s="4">
        <f>SUMIFS('Dubai Stock'!I:I,'Dubai Stock'!H:H,Final_UAE!B:B)</f>
        <v/>
      </c>
      <c r="H4228" s="8" t="e">
        <v>#N/A</v>
      </c>
      <c r="I4228" s="8" t="n"/>
    </row>
    <row r="4229">
      <c r="A4229" s="4" t="n">
        <v>33834</v>
      </c>
      <c r="B4229" s="4" t="inlineStr">
        <is>
          <t>sacchan-30s-chain136-wht-celestia-white-pearl</t>
        </is>
      </c>
      <c r="C4229" s="4" t="inlineStr">
        <is>
          <t>W00031886A</t>
        </is>
      </c>
      <c r="D4229" s="6">
        <f>IF(F4229&gt;=5, F4229-5, IF(F4229&lt;5, 0, F4229))</f>
        <v/>
      </c>
      <c r="E4229">
        <f>VLOOKUP(B4229,[1]Namshi!$A:$B,2,0)</f>
        <v/>
      </c>
      <c r="F4229" s="4">
        <f>SUMIFS('Dubai Stock'!I:I,'Dubai Stock'!H:H,Final_UAE!B:B)</f>
        <v/>
      </c>
      <c r="H4229" s="8" t="e">
        <v>#N/A</v>
      </c>
      <c r="I4229" s="8" t="n"/>
    </row>
    <row r="4230">
      <c r="A4230" s="4" t="n">
        <v>33834</v>
      </c>
      <c r="B4230" s="4" t="inlineStr">
        <is>
          <t>clstdai-lay-cont-p30-dazzle-black-sn0325</t>
        </is>
      </c>
      <c r="C4230" s="4" t="inlineStr">
        <is>
          <t>W00031886A</t>
        </is>
      </c>
      <c r="D4230" s="6">
        <f>IF(F4230&gt;=5, F4230-5, IF(F4230&lt;5, 0, F4230))</f>
        <v/>
      </c>
      <c r="E4230">
        <f>VLOOKUP(B4230,[1]Namshi!$A:$B,2,0)</f>
        <v/>
      </c>
      <c r="F4230" s="4">
        <f>SUMIFS('Dubai Stock'!I:I,'Dubai Stock'!H:H,Final_UAE!B:B)</f>
        <v/>
      </c>
      <c r="H4230" s="8" t="e">
        <v>#N/A</v>
      </c>
      <c r="I4230" s="8" t="n"/>
    </row>
    <row r="4231">
      <c r="A4231" s="4" t="n">
        <v>33834</v>
      </c>
      <c r="B4231" s="4" t="inlineStr">
        <is>
          <t>sacchan-30s-chain141-blu-legacy-navy-blue</t>
        </is>
      </c>
      <c r="C4231" s="4" t="inlineStr">
        <is>
          <t>W00031886A</t>
        </is>
      </c>
      <c r="D4231" s="6">
        <f>IF(F4231&gt;=5, F4231-5, IF(F4231&lt;5, 0, F4231))</f>
        <v/>
      </c>
      <c r="E4231">
        <f>VLOOKUP(B4231,[1]Namshi!$A:$B,2,0)</f>
        <v/>
      </c>
      <c r="F4231" s="4">
        <f>SUMIFS('Dubai Stock'!I:I,'Dubai Stock'!H:H,Final_UAE!B:B)</f>
        <v/>
      </c>
      <c r="H4231" s="8" t="e">
        <v>#N/A</v>
      </c>
      <c r="I4231" s="8" t="n"/>
    </row>
    <row r="4232">
      <c r="A4232" s="4" t="n">
        <v>33834</v>
      </c>
      <c r="B4232" s="4" t="inlineStr">
        <is>
          <t>fw32418-spc-000634-2418-53</t>
        </is>
      </c>
      <c r="C4232" s="4" t="inlineStr">
        <is>
          <t>W00031886A</t>
        </is>
      </c>
      <c r="D4232" s="6">
        <f>IF(F4232&gt;=5, F4232-5, IF(F4232&lt;5, 0, F4232))</f>
        <v/>
      </c>
      <c r="E4232">
        <f>VLOOKUP(B4232,[1]Namshi!$A:$B,2,0)</f>
        <v/>
      </c>
      <c r="F4232" s="4">
        <f>SUMIFS('Dubai Stock'!I:I,'Dubai Stock'!H:H,Final_UAE!B:B)</f>
        <v/>
      </c>
      <c r="H4232" s="8" t="e">
        <v>#N/A</v>
      </c>
      <c r="I4232" s="8" t="n"/>
    </row>
    <row r="4233">
      <c r="A4233" s="4" t="n">
        <v>33834</v>
      </c>
      <c r="B4233" s="4" t="inlineStr">
        <is>
          <t>clstdai-eve-pure-p90-sn0600</t>
        </is>
      </c>
      <c r="C4233" s="4" t="inlineStr">
        <is>
          <t>W00031886A</t>
        </is>
      </c>
      <c r="D4233" s="6">
        <f>IF(F4233&gt;=5, F4233-5, IF(F4233&lt;5, 0, F4233))</f>
        <v/>
      </c>
      <c r="E4233">
        <f>VLOOKUP(B4233,[1]Namshi!$A:$B,2,0)</f>
        <v/>
      </c>
      <c r="F4233" s="4">
        <f>SUMIFS('Dubai Stock'!I:I,'Dubai Stock'!H:H,Final_UAE!B:B)</f>
        <v/>
      </c>
      <c r="H4233" s="8" t="n">
        <v>529</v>
      </c>
      <c r="I4233" s="8" t="n">
        <v>259</v>
      </c>
    </row>
    <row r="4234">
      <c r="A4234" s="4" t="n">
        <v>33834</v>
      </c>
      <c r="B4234" s="4" t="inlineStr">
        <is>
          <t>clstbiw-acu-oasy-p18-sn0150</t>
        </is>
      </c>
      <c r="C4234" s="4" t="inlineStr">
        <is>
          <t>W00031886A</t>
        </is>
      </c>
      <c r="D4234" s="6">
        <f>IF(F4234&gt;=5, F4234-5, IF(F4234&lt;5, 0, F4234))</f>
        <v/>
      </c>
      <c r="E4234">
        <f>VLOOKUP(B4234,[1]Namshi!$A:$B,2,0)</f>
        <v/>
      </c>
      <c r="F4234" s="4">
        <f>SUMIFS('Dubai Stock'!I:I,'Dubai Stock'!H:H,Final_UAE!B:B)</f>
        <v/>
      </c>
      <c r="H4234" s="8" t="e">
        <v>#N/A</v>
      </c>
      <c r="I4234" s="8" t="n"/>
    </row>
    <row r="4235">
      <c r="A4235" s="4" t="n">
        <v>33834</v>
      </c>
      <c r="B4235" s="4" t="inlineStr">
        <is>
          <t>sw30404-30s-000233-0402-53</t>
        </is>
      </c>
      <c r="C4235" s="4" t="inlineStr">
        <is>
          <t>W00031886A</t>
        </is>
      </c>
      <c r="D4235" s="6">
        <f>IF(F4235&gt;=5, F4235-5, IF(F4235&lt;5, 0, F4235))</f>
        <v/>
      </c>
      <c r="E4235">
        <f>VLOOKUP(B4235,[1]Namshi!$A:$B,2,0)</f>
        <v/>
      </c>
      <c r="F4235" s="4">
        <f>SUMIFS('Dubai Stock'!I:I,'Dubai Stock'!H:H,Final_UAE!B:B)</f>
        <v/>
      </c>
      <c r="H4235" s="8" t="e">
        <v>#N/A</v>
      </c>
    </row>
    <row r="4236">
      <c r="A4236" s="4" t="n">
        <v>33834</v>
      </c>
      <c r="B4236" s="4" t="inlineStr">
        <is>
          <t>clstdai-dai-tot1-p90-sp0050</t>
        </is>
      </c>
      <c r="C4236" s="4" t="inlineStr">
        <is>
          <t>W00031886A</t>
        </is>
      </c>
      <c r="D4236" s="6">
        <f>IF(F4236&gt;=5, F4236-5, IF(F4236&lt;5, 0, F4236))</f>
        <v/>
      </c>
      <c r="E4236">
        <f>VLOOKUP(B4236,[1]Namshi!$A:$B,2,0)</f>
        <v/>
      </c>
      <c r="F4236" s="4">
        <f>SUMIFS('Dubai Stock'!I:I,'Dubai Stock'!H:H,Final_UAE!B:B)</f>
        <v/>
      </c>
      <c r="H4236" s="8" t="e">
        <v>#N/A</v>
      </c>
      <c r="I4236" s="8" t="n"/>
    </row>
    <row r="4237">
      <c r="A4237" s="4" t="n">
        <v>33834</v>
      </c>
      <c r="B4237" s="4" t="inlineStr">
        <is>
          <t>clstdai-eve-elit-p90-sn0100</t>
        </is>
      </c>
      <c r="C4237" s="4" t="inlineStr">
        <is>
          <t>W00031886A</t>
        </is>
      </c>
      <c r="D4237" s="6">
        <f>IF(F4237&gt;=5, F4237-5, IF(F4237&lt;5, 0, F4237))</f>
        <v/>
      </c>
      <c r="E4237">
        <f>VLOOKUP(B4237,[1]Namshi!$A:$B,2,0)</f>
        <v/>
      </c>
      <c r="F4237" s="4">
        <f>SUMIFS('Dubai Stock'!I:I,'Dubai Stock'!H:H,Final_UAE!B:B)</f>
        <v/>
      </c>
      <c r="H4237" s="8" t="n">
        <v>729</v>
      </c>
      <c r="I4237" s="8" t="n">
        <v>357</v>
      </c>
    </row>
    <row r="4238">
      <c r="A4238" s="4" t="n">
        <v>33834</v>
      </c>
      <c r="B4238" s="4" t="inlineStr">
        <is>
          <t>cost3mo-lay-2024-p02-terra-brown-sn0450</t>
        </is>
      </c>
      <c r="C4238" s="4" t="inlineStr">
        <is>
          <t>W00031886A</t>
        </is>
      </c>
      <c r="D4238" s="6">
        <f>IF(F4238&gt;=5, F4238-5, IF(F4238&lt;5, 0, F4238))</f>
        <v/>
      </c>
      <c r="E4238">
        <f>VLOOKUP(B4238,[1]Namshi!$A:$B,2,0)</f>
        <v/>
      </c>
      <c r="F4238" s="4">
        <f>SUMIFS('Dubai Stock'!I:I,'Dubai Stock'!H:H,Final_UAE!B:B)</f>
        <v/>
      </c>
      <c r="H4238" s="8" t="e">
        <v>#N/A</v>
      </c>
      <c r="I4238" s="8" t="n"/>
    </row>
    <row r="4239">
      <c r="A4239" s="4" t="n">
        <v>33834</v>
      </c>
      <c r="B4239" s="4" t="inlineStr">
        <is>
          <t>clstbiw-acu-oasy-p06-sp0075</t>
        </is>
      </c>
      <c r="C4239" s="4" t="inlineStr">
        <is>
          <t>W00031886A</t>
        </is>
      </c>
      <c r="D4239" s="6">
        <f>IF(F4239&gt;=5, F4239-5, IF(F4239&lt;5, 0, F4239))</f>
        <v/>
      </c>
      <c r="E4239">
        <f>VLOOKUP(B4239,[1]Namshi!$A:$B,2,0)</f>
        <v/>
      </c>
      <c r="F4239" s="4">
        <f>SUMIFS('Dubai Stock'!I:I,'Dubai Stock'!H:H,Final_UAE!B:B)</f>
        <v/>
      </c>
      <c r="H4239" s="8" t="e">
        <v>#N/A</v>
      </c>
      <c r="I4239" s="8" t="n"/>
    </row>
    <row r="4240">
      <c r="A4240" s="4" t="n">
        <v>33834</v>
      </c>
      <c r="B4240" s="4" t="inlineStr">
        <is>
          <t>clstdai-lay-cont-p60-dazzle-black-sn0525</t>
        </is>
      </c>
      <c r="C4240" s="4" t="inlineStr">
        <is>
          <t>W00031886A</t>
        </is>
      </c>
      <c r="D4240" s="6">
        <f>IF(F4240&gt;=5, F4240-5, IF(F4240&lt;5, 0, F4240))</f>
        <v/>
      </c>
      <c r="E4240">
        <f>VLOOKUP(B4240,[1]Namshi!$A:$B,2,0)</f>
        <v/>
      </c>
      <c r="F4240" s="4">
        <f>SUMIFS('Dubai Stock'!I:I,'Dubai Stock'!H:H,Final_UAE!B:B)</f>
        <v/>
      </c>
      <c r="H4240" s="8" t="e">
        <v>#N/A</v>
      </c>
      <c r="I4240" s="8" t="n"/>
    </row>
    <row r="4241">
      <c r="A4241" s="4" t="n">
        <v>33834</v>
      </c>
      <c r="B4241" s="4" t="inlineStr">
        <is>
          <t>sc21007-bab-000512-1007d-48</t>
        </is>
      </c>
      <c r="C4241" s="4" t="inlineStr">
        <is>
          <t>W00031886A</t>
        </is>
      </c>
      <c r="D4241" s="6">
        <f>IF(F4241&gt;=5, F4241-5, IF(F4241&lt;5, 0, F4241))</f>
        <v/>
      </c>
      <c r="E4241">
        <f>VLOOKUP(B4241,[1]Namshi!$A:$B,2,0)</f>
        <v/>
      </c>
      <c r="F4241" s="4">
        <f>SUMIFS('Dubai Stock'!I:I,'Dubai Stock'!H:H,Final_UAE!B:B)</f>
        <v/>
      </c>
      <c r="H4241" s="8" t="e">
        <v>#N/A</v>
      </c>
    </row>
    <row r="4242">
      <c r="A4242" s="4" t="n">
        <v>33834</v>
      </c>
      <c r="B4242" s="4" t="inlineStr">
        <is>
          <t>cost3mo-lay-2022-p02-sweet-hazel-sn0100</t>
        </is>
      </c>
      <c r="C4242" s="4" t="inlineStr">
        <is>
          <t>W00031886A</t>
        </is>
      </c>
      <c r="D4242" s="6">
        <f>IF(F4242&gt;=5, F4242-5, IF(F4242&lt;5, 0, F4242))</f>
        <v/>
      </c>
      <c r="E4242">
        <f>VLOOKUP(B4242,[1]Namshi!$A:$B,2,0)</f>
        <v/>
      </c>
      <c r="F4242" s="4">
        <f>SUMIFS('Dubai Stock'!I:I,'Dubai Stock'!H:H,Final_UAE!B:B)</f>
        <v/>
      </c>
      <c r="H4242" s="8" t="e">
        <v>#N/A</v>
      </c>
      <c r="I4242" s="8" t="n"/>
    </row>
    <row r="4243">
      <c r="A4243" s="4" t="n">
        <v>33834</v>
      </c>
      <c r="B4243" s="4" t="inlineStr">
        <is>
          <t>clstdai-acu-dfrb-p90-sn0750</t>
        </is>
      </c>
      <c r="C4243" s="4" t="inlineStr">
        <is>
          <t>W00031886A</t>
        </is>
      </c>
      <c r="D4243" s="6">
        <f>IF(F4243&gt;=5, F4243-5, IF(F4243&lt;5, 0, F4243))</f>
        <v/>
      </c>
      <c r="E4243">
        <f>VLOOKUP(B4243,[1]Namshi!$A:$B,2,0)</f>
        <v/>
      </c>
      <c r="F4243" s="4">
        <f>SUMIFS('Dubai Stock'!I:I,'Dubai Stock'!H:H,Final_UAE!B:B)</f>
        <v/>
      </c>
      <c r="H4243" s="8" t="e">
        <v>#N/A</v>
      </c>
      <c r="I4243" s="8" t="n"/>
    </row>
    <row r="4244">
      <c r="A4244" s="4" t="n">
        <v>33834</v>
      </c>
      <c r="B4244" s="4" t="inlineStr">
        <is>
          <t>cost3mo-lay-2022-p02-crescent-gray-sn0250</t>
        </is>
      </c>
      <c r="C4244" s="4" t="inlineStr">
        <is>
          <t>W00031886A</t>
        </is>
      </c>
      <c r="D4244" s="6">
        <f>IF(F4244&gt;=5, F4244-5, IF(F4244&lt;5, 0, F4244))</f>
        <v/>
      </c>
      <c r="E4244">
        <f>VLOOKUP(B4244,[1]Namshi!$A:$B,2,0)</f>
        <v/>
      </c>
      <c r="F4244" s="4">
        <f>SUMIFS('Dubai Stock'!I:I,'Dubai Stock'!H:H,Final_UAE!B:B)</f>
        <v/>
      </c>
      <c r="H4244" s="8" t="e">
        <v>#N/A</v>
      </c>
      <c r="I4244" s="8" t="n"/>
    </row>
    <row r="4245">
      <c r="A4245" s="4" t="n">
        <v>33834</v>
      </c>
      <c r="B4245" s="4" t="inlineStr">
        <is>
          <t>clstdai-acu-omax-p90-sn0200</t>
        </is>
      </c>
      <c r="C4245" s="4" t="inlineStr">
        <is>
          <t>W00031886A</t>
        </is>
      </c>
      <c r="D4245" s="6">
        <f>IF(F4245&gt;=5, F4245-5, IF(F4245&lt;5, 0, F4245))</f>
        <v/>
      </c>
      <c r="E4245">
        <f>VLOOKUP(B4245,[1]Namshi!$A:$B,2,0)</f>
        <v/>
      </c>
      <c r="F4245" s="4">
        <f>SUMIFS('Dubai Stock'!I:I,'Dubai Stock'!H:H,Final_UAE!B:B)</f>
        <v/>
      </c>
      <c r="H4245" s="8" t="e">
        <v>#N/A</v>
      </c>
      <c r="I4245" s="8" t="n"/>
    </row>
    <row r="4246">
      <c r="A4246" s="4" t="n">
        <v>33834</v>
      </c>
      <c r="B4246" s="4" t="inlineStr">
        <is>
          <t>sm100102-30s-000410-0102-55</t>
        </is>
      </c>
      <c r="C4246" s="4" t="inlineStr">
        <is>
          <t>W00031886A</t>
        </is>
      </c>
      <c r="D4246" s="6">
        <f>IF(F4246&gt;=5, F4246-5, IF(F4246&lt;5, 0, F4246))</f>
        <v/>
      </c>
      <c r="E4246">
        <f>VLOOKUP(B4246,[1]Namshi!$A:$B,2,0)</f>
        <v/>
      </c>
      <c r="F4246" s="4">
        <f>SUMIFS('Dubai Stock'!I:I,'Dubai Stock'!H:H,Final_UAE!B:B)</f>
        <v/>
      </c>
      <c r="H4246" s="8" t="e">
        <v>#N/A</v>
      </c>
    </row>
    <row r="4247">
      <c r="A4247" s="4" t="n">
        <v>33834</v>
      </c>
      <c r="B4247" s="4" t="inlineStr">
        <is>
          <t>sunglasses-30Sundays-30s-000454-0107</t>
        </is>
      </c>
      <c r="C4247" s="4" t="inlineStr">
        <is>
          <t>W00031886A</t>
        </is>
      </c>
      <c r="D4247" s="6">
        <f>IF(F4247&gt;=5, F4247-5, IF(F4247&lt;5, 0, F4247))</f>
        <v/>
      </c>
      <c r="E4247">
        <f>VLOOKUP(B4247,[1]Namshi!$A:$B,2,0)</f>
        <v/>
      </c>
      <c r="F4247" s="4">
        <f>SUMIFS('Dubai Stock'!I:I,'Dubai Stock'!H:H,Final_UAE!B:B)</f>
        <v/>
      </c>
      <c r="H4247" s="8" t="e">
        <v>#N/A</v>
      </c>
      <c r="I4247" s="8" t="n"/>
    </row>
    <row r="4248">
      <c r="A4248" s="4" t="n">
        <v>33834</v>
      </c>
      <c r="B4248" s="4" t="inlineStr">
        <is>
          <t>costdai-ama-dail-p10-moon-stone-sn0375</t>
        </is>
      </c>
      <c r="C4248" s="4" t="inlineStr">
        <is>
          <t>W00031886A</t>
        </is>
      </c>
      <c r="D4248" s="6">
        <f>IF(F4248&gt;=5, F4248-5, IF(F4248&lt;5, 0, F4248))</f>
        <v/>
      </c>
      <c r="E4248">
        <f>VLOOKUP(B4248,[1]Namshi!$A:$B,2,0)</f>
        <v/>
      </c>
      <c r="F4248" s="4">
        <f>SUMIFS('Dubai Stock'!I:I,'Dubai Stock'!H:H,Final_UAE!B:B)</f>
        <v/>
      </c>
      <c r="H4248" s="8" t="e">
        <v>#N/A</v>
      </c>
      <c r="I4248" s="8" t="n"/>
    </row>
    <row r="4249">
      <c r="A4249" s="4" t="n">
        <v>33834</v>
      </c>
      <c r="B4249" s="4" t="inlineStr">
        <is>
          <t>sw30107-30s-000432-0107-58</t>
        </is>
      </c>
      <c r="C4249" s="4" t="inlineStr">
        <is>
          <t>W00031886A</t>
        </is>
      </c>
      <c r="D4249" s="6">
        <f>IF(F4249&gt;=5, F4249-5, IF(F4249&lt;5, 0, F4249))</f>
        <v/>
      </c>
      <c r="E4249">
        <f>VLOOKUP(B4249,[1]Namshi!$A:$B,2,0)</f>
        <v/>
      </c>
      <c r="F4249" s="4">
        <f>SUMIFS('Dubai Stock'!I:I,'Dubai Stock'!H:H,Final_UAE!B:B)</f>
        <v/>
      </c>
      <c r="H4249" s="8" t="e">
        <v>#N/A</v>
      </c>
    </row>
    <row r="4250">
      <c r="A4250" s="4" t="n">
        <v>33834</v>
      </c>
      <c r="B4250" s="4" t="inlineStr">
        <is>
          <t>costdai-ama-dail-p10-sugar-sn0475</t>
        </is>
      </c>
      <c r="C4250" s="4" t="inlineStr">
        <is>
          <t>W00031886A</t>
        </is>
      </c>
      <c r="D4250" s="6">
        <f>IF(F4250&gt;=5, F4250-5, IF(F4250&lt;5, 0, F4250))</f>
        <v/>
      </c>
      <c r="E4250">
        <f>VLOOKUP(B4250,[1]Namshi!$A:$B,2,0)</f>
        <v/>
      </c>
      <c r="F4250" s="4">
        <f>SUMIFS('Dubai Stock'!I:I,'Dubai Stock'!H:H,Final_UAE!B:B)</f>
        <v/>
      </c>
      <c r="H4250" s="8" t="e">
        <v>#N/A</v>
      </c>
      <c r="I4250" s="8" t="n"/>
    </row>
    <row r="4251">
      <c r="A4251" s="4" t="n">
        <v>33834</v>
      </c>
      <c r="B4251" s="4" t="inlineStr">
        <is>
          <t>clstmon-bme-bm55-p06-sn0425</t>
        </is>
      </c>
      <c r="C4251" s="4" t="inlineStr">
        <is>
          <t>W00031886A</t>
        </is>
      </c>
      <c r="D4251" s="6">
        <f>IF(F4251&gt;=5, F4251-5, IF(F4251&lt;5, 0, F4251))</f>
        <v/>
      </c>
      <c r="E4251">
        <f>VLOOKUP(B4251,[1]Namshi!$A:$B,2,0)</f>
        <v/>
      </c>
      <c r="F4251" s="4">
        <f>SUMIFS('Dubai Stock'!I:I,'Dubai Stock'!H:H,Final_UAE!B:B)</f>
        <v/>
      </c>
      <c r="H4251" s="8" t="e">
        <v>#N/A</v>
      </c>
      <c r="I4251" s="8" t="n"/>
    </row>
    <row r="4252">
      <c r="A4252" s="4" t="n">
        <v>33834</v>
      </c>
      <c r="B4252" s="4" t="inlineStr">
        <is>
          <t>clstdai-cla-iris-p30-jazz-black-sn0450</t>
        </is>
      </c>
      <c r="C4252" s="4" t="inlineStr">
        <is>
          <t>W00031886A</t>
        </is>
      </c>
      <c r="D4252" s="6">
        <f>IF(F4252&gt;=5, F4252-5, IF(F4252&lt;5, 0, F4252))</f>
        <v/>
      </c>
      <c r="E4252">
        <f>VLOOKUP(B4252,[1]Namshi!$A:$B,2,0)</f>
        <v/>
      </c>
      <c r="F4252" s="4">
        <f>SUMIFS('Dubai Stock'!I:I,'Dubai Stock'!H:H,Final_UAE!B:B)</f>
        <v/>
      </c>
      <c r="H4252" s="8" t="e">
        <v>#N/A</v>
      </c>
      <c r="I4252" s="8" t="n"/>
    </row>
    <row r="4253">
      <c r="A4253" s="4" t="n">
        <v>33834</v>
      </c>
      <c r="B4253" s="4" t="inlineStr">
        <is>
          <t>clstdai-acu-oasy-p90-sn0350</t>
        </is>
      </c>
      <c r="C4253" s="4" t="inlineStr">
        <is>
          <t>W00031886A</t>
        </is>
      </c>
      <c r="D4253" s="6">
        <f>IF(F4253&gt;=5, F4253-5, IF(F4253&lt;5, 0, F4253))</f>
        <v/>
      </c>
      <c r="E4253">
        <f>VLOOKUP(B4253,[1]Namshi!$A:$B,2,0)</f>
        <v/>
      </c>
      <c r="F4253" s="4">
        <f>SUMIFS('Dubai Stock'!I:I,'Dubai Stock'!H:H,Final_UAE!B:B)</f>
        <v/>
      </c>
      <c r="H4253" s="8" t="e">
        <v>#N/A</v>
      </c>
      <c r="I4253" s="8" t="n"/>
    </row>
    <row r="4254">
      <c r="A4254" s="4" t="n">
        <v>33834</v>
      </c>
      <c r="B4254" s="4" t="inlineStr">
        <is>
          <t>clstdai-dai-aqua-p90-sn1050</t>
        </is>
      </c>
      <c r="C4254" s="4" t="inlineStr">
        <is>
          <t>W00031886A</t>
        </is>
      </c>
      <c r="D4254" s="6">
        <f>IF(F4254&gt;=5, F4254-5, IF(F4254&lt;5, 0, F4254))</f>
        <v/>
      </c>
      <c r="E4254">
        <f>VLOOKUP(B4254,[1]Namshi!$A:$B,2,0)</f>
        <v/>
      </c>
      <c r="F4254" s="4">
        <f>SUMIFS('Dubai Stock'!I:I,'Dubai Stock'!H:H,Final_UAE!B:B)</f>
        <v/>
      </c>
      <c r="H4254" s="8" t="e">
        <v>#N/A</v>
      </c>
      <c r="I4254" s="8" t="n"/>
    </row>
    <row r="4255">
      <c r="A4255" s="4" t="n">
        <v>33834</v>
      </c>
      <c r="B4255" s="4" t="inlineStr">
        <is>
          <t>clstdai-lay-cont-p30-dazzle-brown-sn0850</t>
        </is>
      </c>
      <c r="C4255" s="4" t="inlineStr">
        <is>
          <t>W00031886A</t>
        </is>
      </c>
      <c r="D4255" s="6">
        <f>IF(F4255&gt;=5, F4255-5, IF(F4255&lt;5, 0, F4255))</f>
        <v/>
      </c>
      <c r="E4255">
        <f>VLOOKUP(B4255,[1]Namshi!$A:$B,2,0)</f>
        <v/>
      </c>
      <c r="F4255" s="4">
        <f>SUMIFS('Dubai Stock'!I:I,'Dubai Stock'!H:H,Final_UAE!B:B)</f>
        <v/>
      </c>
      <c r="H4255" s="8" t="e">
        <v>#N/A</v>
      </c>
      <c r="I4255" s="8" t="n"/>
    </row>
    <row r="4256">
      <c r="A4256" s="4" t="n">
        <v>33834</v>
      </c>
      <c r="B4256" s="4" t="inlineStr">
        <is>
          <t>clstdai-acu-dfna-p60-sn0125</t>
        </is>
      </c>
      <c r="C4256" s="4" t="inlineStr">
        <is>
          <t>W00031886A</t>
        </is>
      </c>
      <c r="D4256" s="6">
        <f>IF(F4256&gt;=5, F4256-5, IF(F4256&lt;5, 0, F4256))</f>
        <v/>
      </c>
      <c r="E4256">
        <f>VLOOKUP(B4256,[1]Namshi!$A:$B,2,0)</f>
        <v/>
      </c>
      <c r="F4256" s="4">
        <f>SUMIFS('Dubai Stock'!I:I,'Dubai Stock'!H:H,Final_UAE!B:B)</f>
        <v/>
      </c>
      <c r="H4256" s="8" t="e">
        <v>#N/A</v>
      </c>
      <c r="I4256" s="8" t="n"/>
    </row>
    <row r="4257">
      <c r="A4257" s="4" t="n">
        <v>33834</v>
      </c>
      <c r="B4257" s="4" t="inlineStr">
        <is>
          <t>fw21318-spc-000620-1318-49</t>
        </is>
      </c>
      <c r="C4257" s="4" t="inlineStr">
        <is>
          <t>W00031886A</t>
        </is>
      </c>
      <c r="D4257" s="6">
        <f>IF(F4257&gt;=5, F4257-5, IF(F4257&lt;5, 0, F4257))</f>
        <v/>
      </c>
      <c r="E4257">
        <f>VLOOKUP(B4257,[1]Namshi!$A:$B,2,0)</f>
        <v/>
      </c>
      <c r="F4257" s="4">
        <f>SUMIFS('Dubai Stock'!I:I,'Dubai Stock'!H:H,Final_UAE!B:B)</f>
        <v/>
      </c>
      <c r="H4257" s="8" t="e">
        <v>#N/A</v>
      </c>
      <c r="I4257" s="8" t="n"/>
    </row>
    <row r="4258">
      <c r="A4258" s="4" t="n">
        <v>33834</v>
      </c>
      <c r="B4258" s="4" t="inlineStr">
        <is>
          <t>costdai-acu-dffr-p10-hazel-sn0125</t>
        </is>
      </c>
      <c r="C4258" s="4" t="inlineStr">
        <is>
          <t>W00031886A</t>
        </is>
      </c>
      <c r="D4258" s="6">
        <f>IF(F4258&gt;=5, F4258-5, IF(F4258&lt;5, 0, F4258))</f>
        <v/>
      </c>
      <c r="E4258">
        <f>VLOOKUP(B4258,[1]Namshi!$A:$B,2,0)</f>
        <v/>
      </c>
      <c r="F4258" s="4">
        <f>SUMIFS('Dubai Stock'!I:I,'Dubai Stock'!H:H,Final_UAE!B:B)</f>
        <v/>
      </c>
      <c r="H4258" s="8" t="e">
        <v>#N/A</v>
      </c>
      <c r="I4258" s="8" t="n"/>
    </row>
    <row r="4259">
      <c r="A4259" s="4" t="n">
        <v>33834</v>
      </c>
      <c r="B4259" s="4" t="inlineStr">
        <is>
          <t>clstdai-acu-dfrb-p60-sn0125</t>
        </is>
      </c>
      <c r="C4259" s="4" t="inlineStr">
        <is>
          <t>W00031886A</t>
        </is>
      </c>
      <c r="D4259" s="6">
        <f>IF(F4259&gt;=5, F4259-5, IF(F4259&lt;5, 0, F4259))</f>
        <v/>
      </c>
      <c r="E4259">
        <f>VLOOKUP(B4259,[1]Namshi!$A:$B,2,0)</f>
        <v/>
      </c>
      <c r="F4259" s="4">
        <f>SUMIFS('Dubai Stock'!I:I,'Dubai Stock'!H:H,Final_UAE!B:B)</f>
        <v/>
      </c>
      <c r="H4259" s="8" t="e">
        <v>#N/A</v>
      </c>
      <c r="I4259" s="8" t="n"/>
    </row>
    <row r="4260">
      <c r="A4260" s="4" t="n">
        <v>33834</v>
      </c>
      <c r="B4260" s="4" t="inlineStr">
        <is>
          <t>sw80502-bla-000212-0502-61</t>
        </is>
      </c>
      <c r="C4260" s="4" t="inlineStr">
        <is>
          <t>W00031886A</t>
        </is>
      </c>
      <c r="D4260" s="6">
        <f>IF(F4260&gt;=5, F4260-5, IF(F4260&lt;5, 0, F4260))</f>
        <v/>
      </c>
      <c r="E4260">
        <f>VLOOKUP(B4260,[1]Namshi!$A:$B,2,0)</f>
        <v/>
      </c>
      <c r="F4260" s="4">
        <f>SUMIFS('Dubai Stock'!I:I,'Dubai Stock'!H:H,Final_UAE!B:B)</f>
        <v/>
      </c>
      <c r="H4260" s="8" t="e">
        <v>#N/A</v>
      </c>
    </row>
    <row r="4261">
      <c r="A4261" s="4" t="n">
        <v>33834</v>
      </c>
      <c r="B4261" s="4" t="inlineStr">
        <is>
          <t>clstdai-dai-tot1-p30-sn0650</t>
        </is>
      </c>
      <c r="C4261" s="4" t="inlineStr">
        <is>
          <t>W00031886A</t>
        </is>
      </c>
      <c r="D4261" s="6">
        <f>IF(F4261&gt;=5, F4261-5, IF(F4261&lt;5, 0, F4261))</f>
        <v/>
      </c>
      <c r="E4261">
        <f>VLOOKUP(B4261,[1]Namshi!$A:$B,2,0)</f>
        <v/>
      </c>
      <c r="F4261" s="4">
        <f>SUMIFS('Dubai Stock'!I:I,'Dubai Stock'!H:H,Final_UAE!B:B)</f>
        <v/>
      </c>
      <c r="H4261" s="8" t="e">
        <v>#N/A</v>
      </c>
      <c r="I4261" s="8" t="n"/>
    </row>
    <row r="4262">
      <c r="A4262" s="4" t="n">
        <v>33834</v>
      </c>
      <c r="B4262" s="4" t="inlineStr">
        <is>
          <t>clstdai-dai-aqua-p30-sn0050</t>
        </is>
      </c>
      <c r="C4262" s="4" t="inlineStr">
        <is>
          <t>W00031886A</t>
        </is>
      </c>
      <c r="D4262" s="6">
        <f>IF(F4262&gt;=5, F4262-5, IF(F4262&lt;5, 0, F4262))</f>
        <v/>
      </c>
      <c r="E4262">
        <f>VLOOKUP(B4262,[1]Namshi!$A:$B,2,0)</f>
        <v/>
      </c>
      <c r="F4262" s="4">
        <f>SUMIFS('Dubai Stock'!I:I,'Dubai Stock'!H:H,Final_UAE!B:B)</f>
        <v/>
      </c>
      <c r="H4262" s="8" t="e">
        <v>#N/A</v>
      </c>
      <c r="I4262" s="8" t="n"/>
    </row>
    <row r="4263">
      <c r="A4263" s="4" t="n">
        <v>33834</v>
      </c>
      <c r="B4263" s="4" t="inlineStr">
        <is>
          <t>clstdai-lay-cont-p60-dazzle-brown-sn0400</t>
        </is>
      </c>
      <c r="C4263" s="4" t="inlineStr">
        <is>
          <t>W00031886A</t>
        </is>
      </c>
      <c r="D4263" s="6">
        <f>IF(F4263&gt;=5, F4263-5, IF(F4263&lt;5, 0, F4263))</f>
        <v/>
      </c>
      <c r="E4263">
        <f>VLOOKUP(B4263,[1]Namshi!$A:$B,2,0)</f>
        <v/>
      </c>
      <c r="F4263" s="4">
        <f>SUMIFS('Dubai Stock'!I:I,'Dubai Stock'!H:H,Final_UAE!B:B)</f>
        <v/>
      </c>
      <c r="H4263" s="8" t="e">
        <v>#N/A</v>
      </c>
      <c r="I4263" s="8" t="n"/>
    </row>
    <row r="4264">
      <c r="A4264" s="4" t="n">
        <v>33834</v>
      </c>
      <c r="B4264" s="4" t="inlineStr">
        <is>
          <t>clstdai-dai-tot1-p30-sp0575</t>
        </is>
      </c>
      <c r="C4264" s="4" t="inlineStr">
        <is>
          <t>W00031886A</t>
        </is>
      </c>
      <c r="D4264" s="6">
        <f>IF(F4264&gt;=5, F4264-5, IF(F4264&lt;5, 0, F4264))</f>
        <v/>
      </c>
      <c r="E4264">
        <f>VLOOKUP(B4264,[1]Namshi!$A:$B,2,0)</f>
        <v/>
      </c>
      <c r="F4264" s="4">
        <f>SUMIFS('Dubai Stock'!I:I,'Dubai Stock'!H:H,Final_UAE!B:B)</f>
        <v/>
      </c>
      <c r="H4264" s="8" t="e">
        <v>#N/A</v>
      </c>
      <c r="I4264" s="8" t="n"/>
    </row>
    <row r="4265">
      <c r="A4265" s="4" t="n">
        <v>33834</v>
      </c>
      <c r="B4265" s="4" t="inlineStr">
        <is>
          <t>sw50606-30s-000275-0606-48</t>
        </is>
      </c>
      <c r="C4265" s="4" t="inlineStr">
        <is>
          <t>W00031886A</t>
        </is>
      </c>
      <c r="D4265" s="6">
        <f>IF(F4265&gt;=5, F4265-5, IF(F4265&lt;5, 0, F4265))</f>
        <v/>
      </c>
      <c r="E4265">
        <f>VLOOKUP(B4265,[1]Namshi!$A:$B,2,0)</f>
        <v/>
      </c>
      <c r="F4265" s="4">
        <f>SUMIFS('Dubai Stock'!I:I,'Dubai Stock'!H:H,Final_UAE!B:B)</f>
        <v/>
      </c>
      <c r="H4265" s="8" t="e">
        <v>#N/A</v>
      </c>
    </row>
    <row r="4266">
      <c r="A4266" s="4" t="n">
        <v>33834</v>
      </c>
      <c r="B4266" s="4" t="inlineStr">
        <is>
          <t>sm10707-30s-00443-0707p-56</t>
        </is>
      </c>
      <c r="C4266" s="4" t="inlineStr">
        <is>
          <t>W00031886A</t>
        </is>
      </c>
      <c r="D4266" s="6">
        <f>IF(F4266&gt;=5, F4266-5, IF(F4266&lt;5, 0, F4266))</f>
        <v/>
      </c>
      <c r="E4266">
        <f>VLOOKUP(B4266,[1]Namshi!$A:$B,2,0)</f>
        <v/>
      </c>
      <c r="F4266" s="4">
        <f>SUMIFS('Dubai Stock'!I:I,'Dubai Stock'!H:H,Final_UAE!B:B)</f>
        <v/>
      </c>
      <c r="H4266" s="8" t="e">
        <v>#N/A</v>
      </c>
    </row>
    <row r="4267">
      <c r="A4267" s="4" t="n">
        <v>33834</v>
      </c>
      <c r="B4267" s="4" t="inlineStr">
        <is>
          <t>sacchan-30s-chain137-gld-nova-gold</t>
        </is>
      </c>
      <c r="C4267" s="4" t="inlineStr">
        <is>
          <t>W00031886A</t>
        </is>
      </c>
      <c r="D4267" s="6">
        <f>IF(F4267&gt;=5, F4267-5, IF(F4267&lt;5, 0, F4267))</f>
        <v/>
      </c>
      <c r="E4267">
        <f>VLOOKUP(B4267,[1]Namshi!$A:$B,2,0)</f>
        <v/>
      </c>
      <c r="F4267" s="4">
        <f>SUMIFS('Dubai Stock'!I:I,'Dubai Stock'!H:H,Final_UAE!B:B)</f>
        <v/>
      </c>
      <c r="H4267" s="8" t="e">
        <v>#N/A</v>
      </c>
      <c r="I4267" s="8" t="n"/>
    </row>
    <row r="4268">
      <c r="A4268" s="4" t="n">
        <v>33834</v>
      </c>
      <c r="B4268" s="4" t="inlineStr">
        <is>
          <t>clstdai-btr-oned-p30-sn0325</t>
        </is>
      </c>
      <c r="C4268" s="4" t="inlineStr">
        <is>
          <t>W00031886A</t>
        </is>
      </c>
      <c r="D4268" s="6">
        <f>IF(F4268&gt;=5, F4268-5, IF(F4268&lt;5, 0, F4268))</f>
        <v/>
      </c>
      <c r="E4268">
        <f>VLOOKUP(B4268,[1]Namshi!$A:$B,2,0)</f>
        <v/>
      </c>
      <c r="F4268" s="4">
        <f>SUMIFS('Dubai Stock'!I:I,'Dubai Stock'!H:H,Final_UAE!B:B)</f>
        <v/>
      </c>
      <c r="H4268" s="8" t="e">
        <v>#N/A</v>
      </c>
      <c r="I4268" s="8" t="n"/>
    </row>
    <row r="4269">
      <c r="A4269" s="4" t="n">
        <v>33834</v>
      </c>
      <c r="B4269" s="4" t="inlineStr">
        <is>
          <t>cost3mo-lay-lens-p02-crystal-brown-sn0400</t>
        </is>
      </c>
      <c r="C4269" s="4" t="inlineStr">
        <is>
          <t>W00031886A</t>
        </is>
      </c>
      <c r="D4269" s="6">
        <f>IF(F4269&gt;=5, F4269-5, IF(F4269&lt;5, 0, F4269))</f>
        <v/>
      </c>
      <c r="E4269">
        <f>VLOOKUP(B4269,[1]Namshi!$A:$B,2,0)</f>
        <v/>
      </c>
      <c r="F4269" s="4">
        <f>SUMIFS('Dubai Stock'!I:I,'Dubai Stock'!H:H,Final_UAE!B:B)</f>
        <v/>
      </c>
      <c r="H4269" s="8" t="e">
        <v>#N/A</v>
      </c>
      <c r="I4269" s="8" t="n"/>
    </row>
    <row r="4270">
      <c r="A4270" s="4" t="n">
        <v>33834</v>
      </c>
      <c r="B4270" s="4" t="inlineStr">
        <is>
          <t>clstdai-dai-aqua-p30-sp0275</t>
        </is>
      </c>
      <c r="C4270" s="4" t="inlineStr">
        <is>
          <t>W00031886A</t>
        </is>
      </c>
      <c r="D4270" s="6">
        <f>IF(F4270&gt;=5, F4270-5, IF(F4270&lt;5, 0, F4270))</f>
        <v/>
      </c>
      <c r="E4270">
        <f>VLOOKUP(B4270,[1]Namshi!$A:$B,2,0)</f>
        <v/>
      </c>
      <c r="F4270" s="4">
        <f>SUMIFS('Dubai Stock'!I:I,'Dubai Stock'!H:H,Final_UAE!B:B)</f>
        <v/>
      </c>
      <c r="H4270" s="8" t="e">
        <v>#N/A</v>
      </c>
      <c r="I4270" s="8" t="n"/>
    </row>
    <row r="4271">
      <c r="A4271" s="4" t="n">
        <v>33834</v>
      </c>
      <c r="B4271" s="4" t="inlineStr">
        <is>
          <t>sw32404-bla-000332-2404-53</t>
        </is>
      </c>
      <c r="C4271" s="4" t="inlineStr">
        <is>
          <t>W00031886A</t>
        </is>
      </c>
      <c r="D4271" s="6">
        <f>IF(F4271&gt;=5, F4271-5, IF(F4271&lt;5, 0, F4271))</f>
        <v/>
      </c>
      <c r="E4271">
        <f>VLOOKUP(B4271,[1]Namshi!$A:$B,2,0)</f>
        <v/>
      </c>
      <c r="F4271" s="4">
        <f>SUMIFS('Dubai Stock'!I:I,'Dubai Stock'!H:H,Final_UAE!B:B)</f>
        <v/>
      </c>
      <c r="H4271" s="8" t="e">
        <v>#N/A</v>
      </c>
    </row>
    <row r="4272">
      <c r="A4272" s="4" t="n">
        <v>33834</v>
      </c>
      <c r="B4272" s="4" t="inlineStr">
        <is>
          <t>clstdai-acu-dfvi-p90-sp0000</t>
        </is>
      </c>
      <c r="C4272" s="4" t="inlineStr">
        <is>
          <t>W00031886A</t>
        </is>
      </c>
      <c r="D4272" s="6">
        <f>IF(F4272&gt;=5, F4272-5, IF(F4272&lt;5, 0, F4272))</f>
        <v/>
      </c>
      <c r="E4272">
        <f>VLOOKUP(B4272,[1]Namshi!$A:$B,2,0)</f>
        <v/>
      </c>
      <c r="F4272" s="4">
        <f>SUMIFS('Dubai Stock'!I:I,'Dubai Stock'!H:H,Final_UAE!B:B)</f>
        <v/>
      </c>
      <c r="H4272" s="8" t="e">
        <v>#N/A</v>
      </c>
      <c r="I4272" s="8" t="n"/>
    </row>
    <row r="4273">
      <c r="A4273" s="4" t="n">
        <v>33834</v>
      </c>
      <c r="B4273" s="4" t="inlineStr">
        <is>
          <t>clstmon-bio-biof-p06-sn0075</t>
        </is>
      </c>
      <c r="C4273" s="4" t="inlineStr">
        <is>
          <t>W00031886A</t>
        </is>
      </c>
      <c r="D4273" s="6">
        <f>IF(F4273&gt;=5, F4273-5, IF(F4273&lt;5, 0, F4273))</f>
        <v/>
      </c>
      <c r="E4273">
        <f>VLOOKUP(B4273,[1]Namshi!$A:$B,2,0)</f>
        <v/>
      </c>
      <c r="F4273" s="4">
        <f>SUMIFS('Dubai Stock'!I:I,'Dubai Stock'!H:H,Final_UAE!B:B)</f>
        <v/>
      </c>
      <c r="H4273" s="8" t="e">
        <v>#N/A</v>
      </c>
      <c r="I4273" s="8" t="n"/>
    </row>
    <row r="4274">
      <c r="A4274" s="4" t="n">
        <v>33834</v>
      </c>
      <c r="B4274" s="4" t="inlineStr">
        <is>
          <t>clstdai-lay-cont-p10-dazzle-black-sn0325</t>
        </is>
      </c>
      <c r="C4274" s="4" t="inlineStr">
        <is>
          <t>W00031886A</t>
        </is>
      </c>
      <c r="D4274" s="6">
        <f>IF(F4274&gt;=5, F4274-5, IF(F4274&lt;5, 0, F4274))</f>
        <v/>
      </c>
      <c r="E4274">
        <f>VLOOKUP(B4274,[1]Namshi!$A:$B,2,0)</f>
        <v/>
      </c>
      <c r="F4274" s="4">
        <f>SUMIFS('Dubai Stock'!I:I,'Dubai Stock'!H:H,Final_UAE!B:B)</f>
        <v/>
      </c>
      <c r="H4274" s="8" t="e">
        <v>#N/A</v>
      </c>
      <c r="I4274" s="8" t="n"/>
    </row>
    <row r="4275">
      <c r="A4275" s="4" t="n">
        <v>33834</v>
      </c>
      <c r="B4275" s="4" t="inlineStr">
        <is>
          <t>sw22309-30s-000112-0916-50</t>
        </is>
      </c>
      <c r="C4275" s="4" t="inlineStr">
        <is>
          <t>W00031886A</t>
        </is>
      </c>
      <c r="D4275" s="6">
        <f>IF(F4275&gt;=5, F4275-5, IF(F4275&lt;5, 0, F4275))</f>
        <v/>
      </c>
      <c r="E4275">
        <f>VLOOKUP(B4275,[1]Namshi!$A:$B,2,0)</f>
        <v/>
      </c>
      <c r="F4275" s="4">
        <f>SUMIFS('Dubai Stock'!I:I,'Dubai Stock'!H:H,Final_UAE!B:B)</f>
        <v/>
      </c>
      <c r="H4275" s="8" t="e">
        <v>#N/A</v>
      </c>
    </row>
    <row r="4276">
      <c r="A4276" s="4" t="n">
        <v>33834</v>
      </c>
      <c r="B4276" s="4" t="inlineStr">
        <is>
          <t>clstmon-pur-visi-p06-sp0250</t>
        </is>
      </c>
      <c r="C4276" s="4" t="inlineStr">
        <is>
          <t>W00031886A</t>
        </is>
      </c>
      <c r="D4276" s="6">
        <f>IF(F4276&gt;=5, F4276-5, IF(F4276&lt;5, 0, F4276))</f>
        <v/>
      </c>
      <c r="E4276">
        <f>VLOOKUP(B4276,[1]Namshi!$A:$B,2,0)</f>
        <v/>
      </c>
      <c r="F4276" s="4">
        <f>SUMIFS('Dubai Stock'!I:I,'Dubai Stock'!H:H,Final_UAE!B:B)</f>
        <v/>
      </c>
      <c r="H4276" s="8" t="e">
        <v>#N/A</v>
      </c>
      <c r="I4276" s="8" t="n"/>
    </row>
    <row r="4277">
      <c r="A4277" s="4" t="n">
        <v>33834</v>
      </c>
      <c r="B4277" s="4" t="inlineStr">
        <is>
          <t>su40207-bla-000353-0207-51</t>
        </is>
      </c>
      <c r="C4277" s="4" t="inlineStr">
        <is>
          <t>W00031886A</t>
        </is>
      </c>
      <c r="D4277" s="6">
        <f>IF(F4277&gt;=5, F4277-5, IF(F4277&lt;5, 0, F4277))</f>
        <v/>
      </c>
      <c r="E4277">
        <f>VLOOKUP(B4277,[1]Namshi!$A:$B,2,0)</f>
        <v/>
      </c>
      <c r="F4277" s="4">
        <f>SUMIFS('Dubai Stock'!I:I,'Dubai Stock'!H:H,Final_UAE!B:B)</f>
        <v/>
      </c>
      <c r="H4277" s="8" t="e">
        <v>#N/A</v>
      </c>
    </row>
    <row r="4278">
      <c r="A4278" s="4" t="n">
        <v>33834</v>
      </c>
      <c r="B4278" s="4" t="inlineStr">
        <is>
          <t>sw32404-bla-000243-2404-58</t>
        </is>
      </c>
      <c r="C4278" s="4" t="inlineStr">
        <is>
          <t>W00031886A</t>
        </is>
      </c>
      <c r="D4278" s="6">
        <f>IF(F4278&gt;=5, F4278-5, IF(F4278&lt;5, 0, F4278))</f>
        <v/>
      </c>
      <c r="E4278">
        <f>VLOOKUP(B4278,[1]Namshi!$A:$B,2,0)</f>
        <v/>
      </c>
      <c r="F4278" s="4">
        <f>SUMIFS('Dubai Stock'!I:I,'Dubai Stock'!H:H,Final_UAE!B:B)</f>
        <v/>
      </c>
      <c r="H4278" s="8" t="e">
        <v>#N/A</v>
      </c>
    </row>
    <row r="4279">
      <c r="A4279" s="4" t="n">
        <v>33834</v>
      </c>
      <c r="B4279" s="4" t="inlineStr">
        <is>
          <t>clstdai-lay-cont-p60-dazzle-brown-sp0000</t>
        </is>
      </c>
      <c r="C4279" s="4" t="inlineStr">
        <is>
          <t>W00031886A</t>
        </is>
      </c>
      <c r="D4279" s="6">
        <f>IF(F4279&gt;=5, F4279-5, IF(F4279&lt;5, 0, F4279))</f>
        <v/>
      </c>
      <c r="E4279">
        <f>VLOOKUP(B4279,[1]Namshi!$A:$B,2,0)</f>
        <v/>
      </c>
      <c r="F4279" s="4">
        <f>SUMIFS('Dubai Stock'!I:I,'Dubai Stock'!H:H,Final_UAE!B:B)</f>
        <v/>
      </c>
      <c r="H4279" s="8" t="e">
        <v>#N/A</v>
      </c>
      <c r="I4279" s="8" t="n"/>
    </row>
    <row r="4280">
      <c r="A4280" s="4" t="n">
        <v>33834</v>
      </c>
      <c r="B4280" s="4" t="inlineStr">
        <is>
          <t>clstdai-bme-1day-p30-sn0275</t>
        </is>
      </c>
      <c r="C4280" s="4" t="inlineStr">
        <is>
          <t>W00031886A</t>
        </is>
      </c>
      <c r="D4280" s="6">
        <f>IF(F4280&gt;=5, F4280-5, IF(F4280&lt;5, 0, F4280))</f>
        <v/>
      </c>
      <c r="E4280">
        <f>VLOOKUP(B4280,[1]Namshi!$A:$B,2,0)</f>
        <v/>
      </c>
      <c r="F4280" s="4">
        <f>SUMIFS('Dubai Stock'!I:I,'Dubai Stock'!H:H,Final_UAE!B:B)</f>
        <v/>
      </c>
      <c r="H4280" s="8" t="e">
        <v>#N/A</v>
      </c>
      <c r="I4280" s="8" t="n"/>
    </row>
    <row r="4281">
      <c r="A4281" s="4" t="n">
        <v>33834</v>
      </c>
      <c r="B4281" s="4" t="inlineStr">
        <is>
          <t>clstdai-acu-dfvi-p90-sn0525</t>
        </is>
      </c>
      <c r="C4281" s="4" t="inlineStr">
        <is>
          <t>W00031886A</t>
        </is>
      </c>
      <c r="D4281" s="6">
        <f>IF(F4281&gt;=5, F4281-5, IF(F4281&lt;5, 0, F4281))</f>
        <v/>
      </c>
      <c r="E4281">
        <f>VLOOKUP(B4281,[1]Namshi!$A:$B,2,0)</f>
        <v/>
      </c>
      <c r="F4281" s="4">
        <f>SUMIFS('Dubai Stock'!I:I,'Dubai Stock'!H:H,Final_UAE!B:B)</f>
        <v/>
      </c>
      <c r="H4281" s="8" t="e">
        <v>#N/A</v>
      </c>
      <c r="I4281" s="8" t="n"/>
    </row>
    <row r="4282">
      <c r="A4282" s="4" t="n">
        <v>33834</v>
      </c>
      <c r="B4282" s="4" t="inlineStr">
        <is>
          <t>clstdai-lay-cont-p30-dazzle-brown-sn0600</t>
        </is>
      </c>
      <c r="C4282" s="4" t="inlineStr">
        <is>
          <t>W00031886A</t>
        </is>
      </c>
      <c r="D4282" s="6">
        <f>IF(F4282&gt;=5, F4282-5, IF(F4282&lt;5, 0, F4282))</f>
        <v/>
      </c>
      <c r="E4282">
        <f>VLOOKUP(B4282,[1]Namshi!$A:$B,2,0)</f>
        <v/>
      </c>
      <c r="F4282" s="4">
        <f>SUMIFS('Dubai Stock'!I:I,'Dubai Stock'!H:H,Final_UAE!B:B)</f>
        <v/>
      </c>
      <c r="H4282" s="8" t="e">
        <v>#N/A</v>
      </c>
      <c r="I4282" s="8" t="n"/>
    </row>
    <row r="4283">
      <c r="A4283" s="4" t="n">
        <v>33834</v>
      </c>
      <c r="B4283" s="4" t="inlineStr">
        <is>
          <t>costmon-ama-2022-p02-dream-sn0250</t>
        </is>
      </c>
      <c r="C4283" s="4" t="inlineStr">
        <is>
          <t>W00031886A</t>
        </is>
      </c>
      <c r="D4283" s="6">
        <f>IF(F4283&gt;=5, F4283-5, IF(F4283&lt;5, 0, F4283))</f>
        <v/>
      </c>
      <c r="E4283">
        <f>VLOOKUP(B4283,[1]Namshi!$A:$B,2,0)</f>
        <v/>
      </c>
      <c r="F4283" s="4">
        <f>SUMIFS('Dubai Stock'!I:I,'Dubai Stock'!H:H,Final_UAE!B:B)</f>
        <v/>
      </c>
      <c r="H4283" s="8" t="e">
        <v>#N/A</v>
      </c>
      <c r="I4283" s="8" t="n"/>
    </row>
    <row r="4284">
      <c r="A4284" s="4" t="n">
        <v>33834</v>
      </c>
      <c r="B4284" s="4" t="inlineStr">
        <is>
          <t>costmon-ama-2023-p02-chai-sn0350</t>
        </is>
      </c>
      <c r="C4284" s="4" t="inlineStr">
        <is>
          <t>W00031886A</t>
        </is>
      </c>
      <c r="D4284" s="6">
        <f>IF(F4284&gt;=5, F4284-5, IF(F4284&lt;5, 0, F4284))</f>
        <v/>
      </c>
      <c r="E4284">
        <f>VLOOKUP(B4284,[1]Namshi!$A:$B,2,0)</f>
        <v/>
      </c>
      <c r="F4284" s="4">
        <f>SUMIFS('Dubai Stock'!I:I,'Dubai Stock'!H:H,Final_UAE!B:B)</f>
        <v/>
      </c>
      <c r="H4284" s="8" t="e">
        <v>#N/A</v>
      </c>
      <c r="I4284" s="8" t="n"/>
    </row>
    <row r="4285">
      <c r="A4285" s="4" t="n">
        <v>33834</v>
      </c>
      <c r="B4285" s="4" t="inlineStr">
        <is>
          <t>sm20406-30s-000207-0406-52</t>
        </is>
      </c>
      <c r="C4285" s="4" t="inlineStr">
        <is>
          <t>W00031886A</t>
        </is>
      </c>
      <c r="D4285" s="6">
        <f>IF(F4285&gt;=5, F4285-5, IF(F4285&lt;5, 0, F4285))</f>
        <v/>
      </c>
      <c r="E4285">
        <f>VLOOKUP(B4285,[1]Namshi!$A:$B,2,0)</f>
        <v/>
      </c>
      <c r="F4285" s="4">
        <f>SUMIFS('Dubai Stock'!I:I,'Dubai Stock'!H:H,Final_UAE!B:B)</f>
        <v/>
      </c>
      <c r="H4285" s="8" t="e">
        <v>#N/A</v>
      </c>
    </row>
    <row r="4286">
      <c r="A4286" s="4" t="n">
        <v>33834</v>
      </c>
      <c r="B4286" s="4" t="inlineStr">
        <is>
          <t>sacchan-30s-chain128-svr-mia-silver</t>
        </is>
      </c>
      <c r="C4286" s="4" t="inlineStr">
        <is>
          <t>W00031886A</t>
        </is>
      </c>
      <c r="D4286" s="6">
        <f>IF(F4286&gt;=5, F4286-5, IF(F4286&lt;5, 0, F4286))</f>
        <v/>
      </c>
      <c r="E4286">
        <f>VLOOKUP(B4286,[1]Namshi!$A:$B,2,0)</f>
        <v/>
      </c>
      <c r="F4286" s="4">
        <f>SUMIFS('Dubai Stock'!I:I,'Dubai Stock'!H:H,Final_UAE!B:B)</f>
        <v/>
      </c>
      <c r="H4286" s="8" t="e">
        <v>#N/A</v>
      </c>
      <c r="I4286" s="8" t="n"/>
    </row>
    <row r="4287">
      <c r="A4287" s="4" t="n">
        <v>33834</v>
      </c>
      <c r="B4287" s="4" t="inlineStr">
        <is>
          <t>clstmon-sof-sl59-p06-sn0700</t>
        </is>
      </c>
      <c r="C4287" s="4" t="inlineStr">
        <is>
          <t>W00031886A</t>
        </is>
      </c>
      <c r="D4287" s="6">
        <f>IF(F4287&gt;=5, F4287-5, IF(F4287&lt;5, 0, F4287))</f>
        <v/>
      </c>
      <c r="E4287">
        <f>VLOOKUP(B4287,[1]Namshi!$A:$B,2,0)</f>
        <v/>
      </c>
      <c r="F4287" s="4">
        <f>SUMIFS('Dubai Stock'!I:I,'Dubai Stock'!H:H,Final_UAE!B:B)</f>
        <v/>
      </c>
      <c r="H4287" s="8" t="e">
        <v>#N/A</v>
      </c>
      <c r="I4287" s="8" t="n"/>
    </row>
    <row r="4288">
      <c r="A4288" s="4" t="n">
        <v>33834</v>
      </c>
      <c r="B4288" s="4" t="inlineStr">
        <is>
          <t>clstdai-acu-dfna-p30-sn0850</t>
        </is>
      </c>
      <c r="C4288" s="4" t="inlineStr">
        <is>
          <t>W00031886A</t>
        </is>
      </c>
      <c r="D4288" s="6">
        <f>IF(F4288&gt;=5, F4288-5, IF(F4288&lt;5, 0, F4288))</f>
        <v/>
      </c>
      <c r="E4288">
        <f>VLOOKUP(B4288,[1]Namshi!$A:$B,2,0)</f>
        <v/>
      </c>
      <c r="F4288" s="4">
        <f>SUMIFS('Dubai Stock'!I:I,'Dubai Stock'!H:H,Final_UAE!B:B)</f>
        <v/>
      </c>
      <c r="H4288" s="8" t="e">
        <v>#N/A</v>
      </c>
      <c r="I4288" s="8" t="n"/>
    </row>
    <row r="4289">
      <c r="A4289" s="4" t="n">
        <v>33834</v>
      </c>
      <c r="B4289" s="4" t="inlineStr">
        <is>
          <t>costdai-ama-dail-p10-moon-stone-sn0950</t>
        </is>
      </c>
      <c r="C4289" s="4" t="inlineStr">
        <is>
          <t>W00031886A</t>
        </is>
      </c>
      <c r="D4289" s="6">
        <f>IF(F4289&gt;=5, F4289-5, IF(F4289&lt;5, 0, F4289))</f>
        <v/>
      </c>
      <c r="E4289">
        <f>VLOOKUP(B4289,[1]Namshi!$A:$B,2,0)</f>
        <v/>
      </c>
      <c r="F4289" s="4">
        <f>SUMIFS('Dubai Stock'!I:I,'Dubai Stock'!H:H,Final_UAE!B:B)</f>
        <v/>
      </c>
      <c r="H4289" s="8" t="e">
        <v>#N/A</v>
      </c>
      <c r="I4289" s="8" t="n"/>
    </row>
    <row r="4290">
      <c r="A4290" s="4" t="n">
        <v>33834</v>
      </c>
      <c r="B4290" s="4" t="inlineStr">
        <is>
          <t>clstdai-acu-mois-p60-sn0525</t>
        </is>
      </c>
      <c r="C4290" s="4" t="inlineStr">
        <is>
          <t>W00031886A</t>
        </is>
      </c>
      <c r="D4290" s="6">
        <f>IF(F4290&gt;=5, F4290-5, IF(F4290&lt;5, 0, F4290))</f>
        <v/>
      </c>
      <c r="E4290">
        <f>VLOOKUP(B4290,[1]Namshi!$A:$B,2,0)</f>
        <v/>
      </c>
      <c r="F4290" s="4">
        <f>SUMIFS('Dubai Stock'!I:I,'Dubai Stock'!H:H,Final_UAE!B:B)</f>
        <v/>
      </c>
      <c r="H4290" s="8" t="e">
        <v>#N/A</v>
      </c>
      <c r="I4290" s="8" t="n"/>
    </row>
    <row r="4291">
      <c r="A4291" s="4" t="n">
        <v>33834</v>
      </c>
      <c r="B4291" s="4" t="inlineStr">
        <is>
          <t>cost3mo-lay-lens-p02-chestnut-brown-sn0300</t>
        </is>
      </c>
      <c r="C4291" s="4" t="inlineStr">
        <is>
          <t>W00031886A</t>
        </is>
      </c>
      <c r="D4291" s="6">
        <f>IF(F4291&gt;=5, F4291-5, IF(F4291&lt;5, 0, F4291))</f>
        <v/>
      </c>
      <c r="E4291">
        <f>VLOOKUP(B4291,[1]Namshi!$A:$B,2,0)</f>
        <v/>
      </c>
      <c r="F4291" s="4">
        <f>SUMIFS('Dubai Stock'!I:I,'Dubai Stock'!H:H,Final_UAE!B:B)</f>
        <v/>
      </c>
      <c r="H4291" s="8" t="e">
        <v>#N/A</v>
      </c>
      <c r="I4291" s="8" t="n"/>
    </row>
    <row r="4292">
      <c r="A4292" s="4" t="n">
        <v>33834</v>
      </c>
      <c r="B4292" s="4" t="inlineStr">
        <is>
          <t>cost3mo-lay-lens-p02-crystal-brown-sn0800</t>
        </is>
      </c>
      <c r="C4292" s="4" t="inlineStr">
        <is>
          <t>W00031886A</t>
        </is>
      </c>
      <c r="D4292" s="6">
        <f>IF(F4292&gt;=5, F4292-5, IF(F4292&lt;5, 0, F4292))</f>
        <v/>
      </c>
      <c r="E4292">
        <f>VLOOKUP(B4292,[1]Namshi!$A:$B,2,0)</f>
        <v/>
      </c>
      <c r="F4292" s="4">
        <f>SUMIFS('Dubai Stock'!I:I,'Dubai Stock'!H:H,Final_UAE!B:B)</f>
        <v/>
      </c>
      <c r="H4292" s="8" t="e">
        <v>#N/A</v>
      </c>
      <c r="I4292" s="8" t="n"/>
    </row>
    <row r="4293">
      <c r="A4293" s="4" t="n">
        <v>33834</v>
      </c>
      <c r="B4293" s="4" t="inlineStr">
        <is>
          <t>fw70518-spc-000667-0500-57</t>
        </is>
      </c>
      <c r="C4293" s="4" t="inlineStr">
        <is>
          <t>W00031886A</t>
        </is>
      </c>
      <c r="D4293" s="6">
        <f>IF(F4293&gt;=5, F4293-5, IF(F4293&lt;5, 0, F4293))</f>
        <v/>
      </c>
      <c r="E4293">
        <f>VLOOKUP(B4293,[1]Namshi!$A:$B,2,0)</f>
        <v/>
      </c>
      <c r="F4293" s="4">
        <f>SUMIFS('Dubai Stock'!I:I,'Dubai Stock'!H:H,Final_UAE!B:B)</f>
        <v/>
      </c>
      <c r="H4293" s="8" t="e">
        <v>#N/A</v>
      </c>
      <c r="I4293" s="8" t="n"/>
    </row>
    <row r="4294">
      <c r="A4294" s="4" t="n">
        <v>33834</v>
      </c>
      <c r="B4294" s="4" t="inlineStr">
        <is>
          <t>costdai-ama-dail-p10-shadow-sn0400</t>
        </is>
      </c>
      <c r="C4294" s="4" t="inlineStr">
        <is>
          <t>W00031886A</t>
        </is>
      </c>
      <c r="D4294" s="6">
        <f>IF(F4294&gt;=5, F4294-5, IF(F4294&lt;5, 0, F4294))</f>
        <v/>
      </c>
      <c r="E4294">
        <f>VLOOKUP(B4294,[1]Namshi!$A:$B,2,0)</f>
        <v/>
      </c>
      <c r="F4294" s="4">
        <f>SUMIFS('Dubai Stock'!I:I,'Dubai Stock'!H:H,Final_UAE!B:B)</f>
        <v/>
      </c>
      <c r="H4294" s="8" t="e">
        <v>#N/A</v>
      </c>
      <c r="I4294" s="8" t="n"/>
    </row>
    <row r="4295">
      <c r="A4295" s="4" t="n">
        <v>33834</v>
      </c>
      <c r="B4295" s="4" t="inlineStr">
        <is>
          <t>sm52104-30s-000211-2104-51</t>
        </is>
      </c>
      <c r="C4295" s="4" t="inlineStr">
        <is>
          <t>W00031886A</t>
        </is>
      </c>
      <c r="D4295" s="6">
        <f>IF(F4295&gt;=5, F4295-5, IF(F4295&lt;5, 0, F4295))</f>
        <v/>
      </c>
      <c r="E4295">
        <f>VLOOKUP(B4295,[1]Namshi!$A:$B,2,0)</f>
        <v/>
      </c>
      <c r="F4295" s="4">
        <f>SUMIFS('Dubai Stock'!I:I,'Dubai Stock'!H:H,Final_UAE!B:B)</f>
        <v/>
      </c>
      <c r="H4295" s="8" t="e">
        <v>#N/A</v>
      </c>
    </row>
    <row r="4296">
      <c r="A4296" s="4" t="n">
        <v>33834</v>
      </c>
      <c r="B4296" s="4" t="inlineStr">
        <is>
          <t>cost3mo-lay-2022-p02-avena-brown-sn0450</t>
        </is>
      </c>
      <c r="C4296" s="4" t="inlineStr">
        <is>
          <t>W00031886A</t>
        </is>
      </c>
      <c r="D4296" s="6">
        <f>IF(F4296&gt;=5, F4296-5, IF(F4296&lt;5, 0, F4296))</f>
        <v/>
      </c>
      <c r="E4296">
        <f>VLOOKUP(B4296,[1]Namshi!$A:$B,2,0)</f>
        <v/>
      </c>
      <c r="F4296" s="4">
        <f>SUMIFS('Dubai Stock'!I:I,'Dubai Stock'!H:H,Final_UAE!B:B)</f>
        <v/>
      </c>
      <c r="H4296" s="8" t="e">
        <v>#N/A</v>
      </c>
      <c r="I4296" s="8" t="n"/>
    </row>
    <row r="4297">
      <c r="A4297" s="4" t="n">
        <v>33834</v>
      </c>
      <c r="B4297" s="4" t="inlineStr">
        <is>
          <t>clstdai-eve-pure-p90-sn0125</t>
        </is>
      </c>
      <c r="C4297" s="4" t="inlineStr">
        <is>
          <t>W00031886A</t>
        </is>
      </c>
      <c r="D4297" s="6">
        <f>IF(F4297&gt;=5, F4297-5, IF(F4297&lt;5, 0, F4297))</f>
        <v/>
      </c>
      <c r="E4297">
        <f>VLOOKUP(B4297,[1]Namshi!$A:$B,2,0)</f>
        <v/>
      </c>
      <c r="F4297" s="4">
        <f>SUMIFS('Dubai Stock'!I:I,'Dubai Stock'!H:H,Final_UAE!B:B)</f>
        <v/>
      </c>
      <c r="H4297" s="8" t="n">
        <v>529</v>
      </c>
      <c r="I4297" s="8" t="n">
        <v>259</v>
      </c>
    </row>
    <row r="4298">
      <c r="A4298" s="4" t="n">
        <v>33834</v>
      </c>
      <c r="B4298" s="4" t="inlineStr">
        <is>
          <t>cost3mo-lay-lens-p02-cloudy-gray-sn0300</t>
        </is>
      </c>
      <c r="C4298" s="4" t="inlineStr">
        <is>
          <t>W00031886A</t>
        </is>
      </c>
      <c r="D4298" s="6">
        <f>IF(F4298&gt;=5, F4298-5, IF(F4298&lt;5, 0, F4298))</f>
        <v/>
      </c>
      <c r="E4298">
        <f>VLOOKUP(B4298,[1]Namshi!$A:$B,2,0)</f>
        <v/>
      </c>
      <c r="F4298" s="4">
        <f>SUMIFS('Dubai Stock'!I:I,'Dubai Stock'!H:H,Final_UAE!B:B)</f>
        <v/>
      </c>
      <c r="H4298" s="8" t="e">
        <v>#N/A</v>
      </c>
      <c r="I4298" s="8" t="n"/>
    </row>
    <row r="4299">
      <c r="A4299" s="4" t="n">
        <v>33834</v>
      </c>
      <c r="B4299" s="4" t="inlineStr">
        <is>
          <t>clstbiw-acu-0002-p06-sn0500</t>
        </is>
      </c>
      <c r="C4299" s="4" t="inlineStr">
        <is>
          <t>W00031886A</t>
        </is>
      </c>
      <c r="D4299" s="6">
        <f>IF(F4299&gt;=5, F4299-5, IF(F4299&lt;5, 0, F4299))</f>
        <v/>
      </c>
      <c r="E4299">
        <f>VLOOKUP(B4299,[1]Namshi!$A:$B,2,0)</f>
        <v/>
      </c>
      <c r="F4299" s="4">
        <f>SUMIFS('Dubai Stock'!I:I,'Dubai Stock'!H:H,Final_UAE!B:B)</f>
        <v/>
      </c>
      <c r="H4299" s="8" t="e">
        <v>#N/A</v>
      </c>
      <c r="I4299" s="8" t="n"/>
    </row>
    <row r="4300">
      <c r="A4300" s="4" t="n">
        <v>33834</v>
      </c>
      <c r="B4300" s="4" t="inlineStr">
        <is>
          <t>clstdai-acu-dfrb-p60-sn0325</t>
        </is>
      </c>
      <c r="C4300" s="4" t="inlineStr">
        <is>
          <t>W00031886A</t>
        </is>
      </c>
      <c r="D4300" s="6">
        <f>IF(F4300&gt;=5, F4300-5, IF(F4300&lt;5, 0, F4300))</f>
        <v/>
      </c>
      <c r="E4300">
        <f>VLOOKUP(B4300,[1]Namshi!$A:$B,2,0)</f>
        <v/>
      </c>
      <c r="F4300" s="4">
        <f>SUMIFS('Dubai Stock'!I:I,'Dubai Stock'!H:H,Final_UAE!B:B)</f>
        <v/>
      </c>
      <c r="H4300" s="8" t="e">
        <v>#N/A</v>
      </c>
      <c r="I4300" s="8" t="n"/>
    </row>
    <row r="4301">
      <c r="A4301" s="4" t="n">
        <v>33834</v>
      </c>
      <c r="B4301" s="4" t="inlineStr">
        <is>
          <t>clstdai-dai-aqua-p30-sn1300</t>
        </is>
      </c>
      <c r="C4301" s="4" t="inlineStr">
        <is>
          <t>W00031886A</t>
        </is>
      </c>
      <c r="D4301" s="6">
        <f>IF(F4301&gt;=5, F4301-5, IF(F4301&lt;5, 0, F4301))</f>
        <v/>
      </c>
      <c r="E4301">
        <f>VLOOKUP(B4301,[1]Namshi!$A:$B,2,0)</f>
        <v/>
      </c>
      <c r="F4301" s="4">
        <f>SUMIFS('Dubai Stock'!I:I,'Dubai Stock'!H:H,Final_UAE!B:B)</f>
        <v/>
      </c>
      <c r="H4301" s="8" t="e">
        <v>#N/A</v>
      </c>
      <c r="I4301" s="8" t="n"/>
    </row>
    <row r="4302">
      <c r="A4302" s="4" t="n">
        <v>33834</v>
      </c>
      <c r="B4302" s="4" t="inlineStr">
        <is>
          <t>clstdai-lay-cont-p60-dazzle-black-sn0375</t>
        </is>
      </c>
      <c r="C4302" s="4" t="inlineStr">
        <is>
          <t>W00031886A</t>
        </is>
      </c>
      <c r="D4302" s="6">
        <f>IF(F4302&gt;=5, F4302-5, IF(F4302&lt;5, 0, F4302))</f>
        <v/>
      </c>
      <c r="E4302">
        <f>VLOOKUP(B4302,[1]Namshi!$A:$B,2,0)</f>
        <v/>
      </c>
      <c r="F4302" s="4">
        <f>SUMIFS('Dubai Stock'!I:I,'Dubai Stock'!H:H,Final_UAE!B:B)</f>
        <v/>
      </c>
      <c r="H4302" s="8" t="e">
        <v>#N/A</v>
      </c>
      <c r="I4302" s="8" t="n"/>
    </row>
    <row r="4303">
      <c r="A4303" s="4" t="n">
        <v>33834</v>
      </c>
      <c r="B4303" s="4" t="inlineStr">
        <is>
          <t>clstdai-dai-tot1-p90-sp0450</t>
        </is>
      </c>
      <c r="C4303" s="4" t="inlineStr">
        <is>
          <t>W00031886A</t>
        </is>
      </c>
      <c r="D4303" s="6">
        <f>IF(F4303&gt;=5, F4303-5, IF(F4303&lt;5, 0, F4303))</f>
        <v/>
      </c>
      <c r="E4303">
        <f>VLOOKUP(B4303,[1]Namshi!$A:$B,2,0)</f>
        <v/>
      </c>
      <c r="F4303" s="4">
        <f>SUMIFS('Dubai Stock'!I:I,'Dubai Stock'!H:H,Final_UAE!B:B)</f>
        <v/>
      </c>
      <c r="H4303" s="8" t="e">
        <v>#N/A</v>
      </c>
      <c r="I4303" s="8" t="n"/>
    </row>
    <row r="4304">
      <c r="A4304" s="4" t="n">
        <v>33834</v>
      </c>
      <c r="B4304" s="4" t="inlineStr">
        <is>
          <t>sm100101-30s-000410-0101-55</t>
        </is>
      </c>
      <c r="C4304" s="4" t="inlineStr">
        <is>
          <t>W00031886A</t>
        </is>
      </c>
      <c r="D4304" s="6">
        <f>IF(F4304&gt;=5, F4304-5, IF(F4304&lt;5, 0, F4304))</f>
        <v/>
      </c>
      <c r="E4304">
        <f>VLOOKUP(B4304,[1]Namshi!$A:$B,2,0)</f>
        <v/>
      </c>
      <c r="F4304" s="4">
        <f>SUMIFS('Dubai Stock'!I:I,'Dubai Stock'!H:H,Final_UAE!B:B)</f>
        <v/>
      </c>
      <c r="H4304" s="8" t="e">
        <v>#N/A</v>
      </c>
      <c r="I4304" s="8" t="n"/>
    </row>
    <row r="4305">
      <c r="A4305" s="4" t="n">
        <v>33834</v>
      </c>
      <c r="B4305" s="4" t="inlineStr">
        <is>
          <t>su60404-bla-000326-0404-55</t>
        </is>
      </c>
      <c r="C4305" s="4" t="inlineStr">
        <is>
          <t>W00031886A</t>
        </is>
      </c>
      <c r="D4305" s="6">
        <f>IF(F4305&gt;=5, F4305-5, IF(F4305&lt;5, 0, F4305))</f>
        <v/>
      </c>
      <c r="E4305">
        <f>VLOOKUP(B4305,[1]Namshi!$A:$B,2,0)</f>
        <v/>
      </c>
      <c r="F4305" s="4">
        <f>SUMIFS('Dubai Stock'!I:I,'Dubai Stock'!H:H,Final_UAE!B:B)</f>
        <v/>
      </c>
      <c r="H4305" s="8" t="e">
        <v>#N/A</v>
      </c>
    </row>
    <row r="4306">
      <c r="A4306" s="4" t="n">
        <v>33834</v>
      </c>
      <c r="B4306" s="4" t="inlineStr">
        <is>
          <t>clstbiw-acu-cle-p06-sn0450</t>
        </is>
      </c>
      <c r="C4306" s="4" t="inlineStr">
        <is>
          <t>W00031886A</t>
        </is>
      </c>
      <c r="D4306" s="6">
        <f>IF(F4306&gt;=5, F4306-5, IF(F4306&lt;5, 0, F4306))</f>
        <v/>
      </c>
      <c r="E4306">
        <f>VLOOKUP(B4306,[1]Namshi!$A:$B,2,0)</f>
        <v/>
      </c>
      <c r="F4306" s="4">
        <f>SUMIFS('Dubai Stock'!I:I,'Dubai Stock'!H:H,Final_UAE!B:B)</f>
        <v/>
      </c>
      <c r="H4306" s="8" t="e">
        <v>#N/A</v>
      </c>
      <c r="I4306" s="8" t="n"/>
    </row>
    <row r="4307">
      <c r="A4307" s="4" t="n">
        <v>33834</v>
      </c>
      <c r="B4307" s="4" t="inlineStr">
        <is>
          <t>clstdai-eve-elit-p30-sn0650</t>
        </is>
      </c>
      <c r="C4307" s="4" t="inlineStr">
        <is>
          <t>W00031886A</t>
        </is>
      </c>
      <c r="D4307" s="6">
        <f>IF(F4307&gt;=5, F4307-5, IF(F4307&lt;5, 0, F4307))</f>
        <v/>
      </c>
      <c r="E4307">
        <f>VLOOKUP(B4307,[1]Namshi!$A:$B,2,0)</f>
        <v/>
      </c>
      <c r="F4307" s="4">
        <f>SUMIFS('Dubai Stock'!I:I,'Dubai Stock'!H:H,Final_UAE!B:B)</f>
        <v/>
      </c>
      <c r="H4307" s="8" t="n">
        <v>261</v>
      </c>
      <c r="I4307" s="8" t="n">
        <v>146.3</v>
      </c>
    </row>
    <row r="4308">
      <c r="A4308" s="4" t="n">
        <v>33834</v>
      </c>
      <c r="B4308" s="4" t="inlineStr">
        <is>
          <t>sw102907-30s-000307-2901-54</t>
        </is>
      </c>
      <c r="C4308" s="4" t="inlineStr">
        <is>
          <t>W00031886A</t>
        </is>
      </c>
      <c r="D4308" s="6">
        <f>IF(F4308&gt;=5, F4308-5, IF(F4308&lt;5, 0, F4308))</f>
        <v/>
      </c>
      <c r="E4308">
        <f>VLOOKUP(B4308,[1]Namshi!$A:$B,2,0)</f>
        <v/>
      </c>
      <c r="F4308" s="4">
        <f>SUMIFS('Dubai Stock'!I:I,'Dubai Stock'!H:H,Final_UAE!B:B)</f>
        <v/>
      </c>
      <c r="H4308" s="8" t="e">
        <v>#N/A</v>
      </c>
    </row>
    <row r="4309">
      <c r="A4309" s="4" t="n">
        <v>33834</v>
      </c>
      <c r="B4309" s="4" t="inlineStr">
        <is>
          <t>clstdai-btr-oned-p30-sn0300</t>
        </is>
      </c>
      <c r="C4309" s="4" t="inlineStr">
        <is>
          <t>W00031886A</t>
        </is>
      </c>
      <c r="D4309" s="6">
        <f>IF(F4309&gt;=5, F4309-5, IF(F4309&lt;5, 0, F4309))</f>
        <v/>
      </c>
      <c r="E4309">
        <f>VLOOKUP(B4309,[1]Namshi!$A:$B,2,0)</f>
        <v/>
      </c>
      <c r="F4309" s="4">
        <f>SUMIFS('Dubai Stock'!I:I,'Dubai Stock'!H:H,Final_UAE!B:B)</f>
        <v/>
      </c>
      <c r="H4309" s="8" t="e">
        <v>#N/A</v>
      </c>
      <c r="I4309" s="8" t="n"/>
    </row>
    <row r="4310">
      <c r="A4310" s="4" t="n">
        <v>33834</v>
      </c>
      <c r="B4310" s="4" t="inlineStr">
        <is>
          <t>cost3mo-lay-2025-p02-emerald-glow-sn0550</t>
        </is>
      </c>
      <c r="C4310" s="4" t="inlineStr">
        <is>
          <t>W00031886A</t>
        </is>
      </c>
      <c r="D4310" s="6">
        <f>IF(F4310&gt;=5, F4310-5, IF(F4310&lt;5, 0, F4310))</f>
        <v/>
      </c>
      <c r="E4310">
        <f>VLOOKUP(B4310,[1]Namshi!$A:$B,2,0)</f>
        <v/>
      </c>
      <c r="F4310" s="4">
        <f>SUMIFS('Dubai Stock'!I:I,'Dubai Stock'!H:H,Final_UAE!B:B)</f>
        <v/>
      </c>
      <c r="H4310" s="8" t="e">
        <v>#N/A</v>
      </c>
      <c r="I4310" s="8" t="n"/>
    </row>
    <row r="4311">
      <c r="A4311" s="4" t="n">
        <v>33834</v>
      </c>
      <c r="B4311" s="4" t="inlineStr">
        <is>
          <t>ru40218-spc-000850-0218-49-sp0250</t>
        </is>
      </c>
      <c r="C4311" s="4" t="inlineStr">
        <is>
          <t>W00031886A</t>
        </is>
      </c>
      <c r="D4311" s="6">
        <f>IF(F4311&gt;=5, F4311-5, IF(F4311&lt;5, 0, F4311))</f>
        <v/>
      </c>
      <c r="E4311">
        <f>VLOOKUP(B4311,[1]Namshi!$A:$B,2,0)</f>
        <v/>
      </c>
      <c r="F4311" s="4">
        <f>SUMIFS('Dubai Stock'!I:I,'Dubai Stock'!H:H,Final_UAE!B:B)</f>
        <v/>
      </c>
      <c r="H4311" s="8" t="e">
        <v>#N/A</v>
      </c>
      <c r="I4311" s="8" t="n"/>
    </row>
    <row r="4312">
      <c r="A4312" s="4" t="n">
        <v>33834</v>
      </c>
      <c r="B4312" s="4" t="inlineStr">
        <is>
          <t>costmon-ama-2024-p02-matcha-sn0450</t>
        </is>
      </c>
      <c r="C4312" s="4" t="inlineStr">
        <is>
          <t>W00031886A</t>
        </is>
      </c>
      <c r="D4312" s="6">
        <f>IF(F4312&gt;=5, F4312-5, IF(F4312&lt;5, 0, F4312))</f>
        <v/>
      </c>
      <c r="E4312">
        <f>VLOOKUP(B4312,[1]Namshi!$A:$B,2,0)</f>
        <v/>
      </c>
      <c r="F4312" s="4">
        <f>SUMIFS('Dubai Stock'!I:I,'Dubai Stock'!H:H,Final_UAE!B:B)</f>
        <v/>
      </c>
      <c r="H4312" s="8" t="e">
        <v>#N/A</v>
      </c>
      <c r="I4312" s="8" t="n"/>
    </row>
    <row r="4313">
      <c r="A4313" s="4" t="n">
        <v>33834</v>
      </c>
      <c r="B4313" s="4" t="inlineStr">
        <is>
          <t>clstdai-dai-tot1-p30-sn0575</t>
        </is>
      </c>
      <c r="C4313" s="4" t="inlineStr">
        <is>
          <t>W00031886A</t>
        </is>
      </c>
      <c r="D4313" s="6">
        <f>IF(F4313&gt;=5, F4313-5, IF(F4313&lt;5, 0, F4313))</f>
        <v/>
      </c>
      <c r="E4313">
        <f>VLOOKUP(B4313,[1]Namshi!$A:$B,2,0)</f>
        <v/>
      </c>
      <c r="F4313" s="4">
        <f>SUMIFS('Dubai Stock'!I:I,'Dubai Stock'!H:H,Final_UAE!B:B)</f>
        <v/>
      </c>
      <c r="H4313" s="8" t="e">
        <v>#N/A</v>
      </c>
      <c r="I4313" s="8" t="n"/>
    </row>
    <row r="4314">
      <c r="A4314" s="4" t="n">
        <v>33834</v>
      </c>
      <c r="B4314" s="4" t="inlineStr">
        <is>
          <t>cost3mo-lay-2022-p02-royal-green-sn0050</t>
        </is>
      </c>
      <c r="C4314" s="4" t="inlineStr">
        <is>
          <t>W00031886A</t>
        </is>
      </c>
      <c r="D4314" s="6">
        <f>IF(F4314&gt;=5, F4314-5, IF(F4314&lt;5, 0, F4314))</f>
        <v/>
      </c>
      <c r="E4314">
        <f>VLOOKUP(B4314,[1]Namshi!$A:$B,2,0)</f>
        <v/>
      </c>
      <c r="F4314" s="4">
        <f>SUMIFS('Dubai Stock'!I:I,'Dubai Stock'!H:H,Final_UAE!B:B)</f>
        <v/>
      </c>
      <c r="H4314" s="8" t="e">
        <v>#N/A</v>
      </c>
      <c r="I4314" s="8" t="n"/>
    </row>
    <row r="4315">
      <c r="A4315" s="4" t="n">
        <v>33834</v>
      </c>
      <c r="B4315" s="4" t="inlineStr">
        <is>
          <t>clstdai-acu-mois-p120-sn0100</t>
        </is>
      </c>
      <c r="C4315" s="4" t="inlineStr">
        <is>
          <t>W00031886A</t>
        </is>
      </c>
      <c r="D4315" s="6">
        <f>IF(F4315&gt;=5, F4315-5, IF(F4315&lt;5, 0, F4315))</f>
        <v/>
      </c>
      <c r="E4315">
        <f>VLOOKUP(B4315,[1]Namshi!$A:$B,2,0)</f>
        <v/>
      </c>
      <c r="F4315" s="4">
        <f>SUMIFS('Dubai Stock'!I:I,'Dubai Stock'!H:H,Final_UAE!B:B)</f>
        <v/>
      </c>
      <c r="H4315" s="8" t="e">
        <v>#N/A</v>
      </c>
      <c r="I4315" s="8" t="n"/>
    </row>
    <row r="4316">
      <c r="A4316" s="4" t="n">
        <v>33834</v>
      </c>
      <c r="B4316" s="4" t="inlineStr">
        <is>
          <t>clstdai-acu-dfrb-p90-sn0650</t>
        </is>
      </c>
      <c r="C4316" s="4" t="inlineStr">
        <is>
          <t>W00031886A</t>
        </is>
      </c>
      <c r="D4316" s="6">
        <f>IF(F4316&gt;=5, F4316-5, IF(F4316&lt;5, 0, F4316))</f>
        <v/>
      </c>
      <c r="E4316">
        <f>VLOOKUP(B4316,[1]Namshi!$A:$B,2,0)</f>
        <v/>
      </c>
      <c r="F4316" s="4">
        <f>SUMIFS('Dubai Stock'!I:I,'Dubai Stock'!H:H,Final_UAE!B:B)</f>
        <v/>
      </c>
      <c r="H4316" s="8" t="e">
        <v>#N/A</v>
      </c>
      <c r="I4316" s="8" t="n"/>
    </row>
    <row r="4317">
      <c r="A4317" s="4" t="n">
        <v>33834</v>
      </c>
      <c r="B4317" s="4" t="inlineStr">
        <is>
          <t>fc50918-bab-000505-0900-43</t>
        </is>
      </c>
      <c r="C4317" s="4" t="inlineStr">
        <is>
          <t>W00031886A</t>
        </is>
      </c>
      <c r="D4317" s="6">
        <f>IF(F4317&gt;=5, F4317-5, IF(F4317&lt;5, 0, F4317))</f>
        <v/>
      </c>
      <c r="E4317">
        <f>VLOOKUP(B4317,[1]Namshi!$A:$B,2,0)</f>
        <v/>
      </c>
      <c r="F4317" s="4">
        <f>SUMIFS('Dubai Stock'!I:I,'Dubai Stock'!H:H,Final_UAE!B:B)</f>
        <v/>
      </c>
      <c r="H4317" s="8" t="e">
        <v>#N/A</v>
      </c>
      <c r="I4317" s="8" t="n"/>
    </row>
    <row r="4318">
      <c r="A4318" s="4" t="n">
        <v>33834</v>
      </c>
      <c r="B4318" s="4" t="inlineStr">
        <is>
          <t>su20106-30s-000206-0106-52</t>
        </is>
      </c>
      <c r="C4318" s="4" t="inlineStr">
        <is>
          <t>W00031886A</t>
        </is>
      </c>
      <c r="D4318" s="6">
        <f>IF(F4318&gt;=5, F4318-5, IF(F4318&lt;5, 0, F4318))</f>
        <v/>
      </c>
      <c r="E4318">
        <f>VLOOKUP(B4318,[1]Namshi!$A:$B,2,0)</f>
        <v/>
      </c>
      <c r="F4318" s="4">
        <f>SUMIFS('Dubai Stock'!I:I,'Dubai Stock'!H:H,Final_UAE!B:B)</f>
        <v/>
      </c>
      <c r="H4318" s="8" t="e">
        <v>#N/A</v>
      </c>
    </row>
    <row r="4319">
      <c r="A4319" s="4" t="n">
        <v>33834</v>
      </c>
      <c r="B4319" s="4" t="inlineStr">
        <is>
          <t>clstdai-eve-pure-p30-sn0425</t>
        </is>
      </c>
      <c r="C4319" s="4" t="inlineStr">
        <is>
          <t>W00031886A</t>
        </is>
      </c>
      <c r="D4319" s="6">
        <f>IF(F4319&gt;=5, F4319-5, IF(F4319&lt;5, 0, F4319))</f>
        <v/>
      </c>
      <c r="E4319">
        <f>VLOOKUP(B4319,[1]Namshi!$A:$B,2,0)</f>
        <v/>
      </c>
      <c r="F4319" s="4">
        <f>SUMIFS('Dubai Stock'!I:I,'Dubai Stock'!H:H,Final_UAE!B:B)</f>
        <v/>
      </c>
      <c r="H4319" s="8" t="n">
        <v>186</v>
      </c>
      <c r="I4319" s="8" t="n">
        <v>104.3</v>
      </c>
    </row>
    <row r="4320">
      <c r="A4320" s="4" t="n">
        <v>33834</v>
      </c>
      <c r="B4320" s="4" t="inlineStr">
        <is>
          <t>su21202-30s-000206-1202-52</t>
        </is>
      </c>
      <c r="C4320" s="4" t="inlineStr">
        <is>
          <t>W00031886A</t>
        </is>
      </c>
      <c r="D4320" s="6">
        <f>IF(F4320&gt;=5, F4320-5, IF(F4320&lt;5, 0, F4320))</f>
        <v/>
      </c>
      <c r="E4320">
        <f>VLOOKUP(B4320,[1]Namshi!$A:$B,2,0)</f>
        <v/>
      </c>
      <c r="F4320" s="4">
        <f>SUMIFS('Dubai Stock'!I:I,'Dubai Stock'!H:H,Final_UAE!B:B)</f>
        <v/>
      </c>
      <c r="H4320" s="8" t="e">
        <v>#N/A</v>
      </c>
    </row>
    <row r="4321">
      <c r="A4321" s="4" t="n">
        <v>33834</v>
      </c>
      <c r="B4321" s="4" t="inlineStr">
        <is>
          <t>sw42404-30s-000123-2404-51</t>
        </is>
      </c>
      <c r="C4321" s="4" t="inlineStr">
        <is>
          <t>W00031886A</t>
        </is>
      </c>
      <c r="D4321" s="6">
        <f>IF(F4321&gt;=5, F4321-5, IF(F4321&lt;5, 0, F4321))</f>
        <v/>
      </c>
      <c r="E4321">
        <f>VLOOKUP(B4321,[1]Namshi!$A:$B,2,0)</f>
        <v/>
      </c>
      <c r="F4321" s="4">
        <f>SUMIFS('Dubai Stock'!I:I,'Dubai Stock'!H:H,Final_UAE!B:B)</f>
        <v/>
      </c>
      <c r="H4321" s="8" t="e">
        <v>#N/A</v>
      </c>
    </row>
    <row r="4322">
      <c r="A4322" s="4" t="n">
        <v>33834</v>
      </c>
      <c r="B4322" s="4" t="inlineStr">
        <is>
          <t>clstdai-acu-mois-p30-sn0275</t>
        </is>
      </c>
      <c r="C4322" s="4" t="inlineStr">
        <is>
          <t>W00031886A</t>
        </is>
      </c>
      <c r="D4322" s="6">
        <f>IF(F4322&gt;=5, F4322-5, IF(F4322&lt;5, 0, F4322))</f>
        <v/>
      </c>
      <c r="E4322">
        <f>VLOOKUP(B4322,[1]Namshi!$A:$B,2,0)</f>
        <v/>
      </c>
      <c r="F4322" s="4">
        <f>SUMIFS('Dubai Stock'!I:I,'Dubai Stock'!H:H,Final_UAE!B:B)</f>
        <v/>
      </c>
      <c r="H4322" s="8" t="e">
        <v>#N/A</v>
      </c>
      <c r="I4322" s="8" t="n"/>
    </row>
    <row r="4323">
      <c r="A4323" s="4" t="n">
        <v>33834</v>
      </c>
      <c r="B4323" s="4" t="inlineStr">
        <is>
          <t>sw30107-bla-000207-0107-54</t>
        </is>
      </c>
      <c r="C4323" s="4" t="inlineStr">
        <is>
          <t>W00031886A</t>
        </is>
      </c>
      <c r="D4323" s="6">
        <f>IF(F4323&gt;=5, F4323-5, IF(F4323&lt;5, 0, F4323))</f>
        <v/>
      </c>
      <c r="E4323">
        <f>VLOOKUP(B4323,[1]Namshi!$A:$B,2,0)</f>
        <v/>
      </c>
      <c r="F4323" s="4">
        <f>SUMIFS('Dubai Stock'!I:I,'Dubai Stock'!H:H,Final_UAE!B:B)</f>
        <v/>
      </c>
      <c r="H4323" s="8" t="e">
        <v>#N/A</v>
      </c>
    </row>
    <row r="4324">
      <c r="A4324" s="4" t="n">
        <v>33834</v>
      </c>
      <c r="B4324" s="4" t="inlineStr">
        <is>
          <t>clstdai-acu-dfvi-p90-sn0700</t>
        </is>
      </c>
      <c r="C4324" s="4" t="inlineStr">
        <is>
          <t>W00031886A</t>
        </is>
      </c>
      <c r="D4324" s="6">
        <f>IF(F4324&gt;=5, F4324-5, IF(F4324&lt;5, 0, F4324))</f>
        <v/>
      </c>
      <c r="E4324">
        <f>VLOOKUP(B4324,[1]Namshi!$A:$B,2,0)</f>
        <v/>
      </c>
      <c r="F4324" s="4">
        <f>SUMIFS('Dubai Stock'!I:I,'Dubai Stock'!H:H,Final_UAE!B:B)</f>
        <v/>
      </c>
      <c r="H4324" s="8" t="e">
        <v>#N/A</v>
      </c>
      <c r="I4324" s="8" t="n"/>
    </row>
    <row r="4325">
      <c r="A4325" s="4" t="n">
        <v>33834</v>
      </c>
      <c r="B4325" s="4" t="inlineStr">
        <is>
          <t>costmon-ama-2022-p02-reemy-sp0000</t>
        </is>
      </c>
      <c r="C4325" s="4" t="inlineStr">
        <is>
          <t>W00031886A</t>
        </is>
      </c>
      <c r="D4325" s="6">
        <f>IF(F4325&gt;=5, F4325-5, IF(F4325&lt;5, 0, F4325))</f>
        <v/>
      </c>
      <c r="E4325">
        <f>VLOOKUP(B4325,[1]Namshi!$A:$B,2,0)</f>
        <v/>
      </c>
      <c r="F4325" s="4">
        <f>SUMIFS('Dubai Stock'!I:I,'Dubai Stock'!H:H,Final_UAE!B:B)</f>
        <v/>
      </c>
      <c r="H4325" s="8" t="e">
        <v>#N/A</v>
      </c>
      <c r="I4325" s="8" t="n"/>
    </row>
    <row r="4326">
      <c r="A4326" s="4" t="n">
        <v>33834</v>
      </c>
      <c r="B4326" s="4" t="inlineStr">
        <is>
          <t>clstdai-eve-pure-p30-sp0200</t>
        </is>
      </c>
      <c r="C4326" s="4" t="inlineStr">
        <is>
          <t>W00031886A</t>
        </is>
      </c>
      <c r="D4326" s="6">
        <f>IF(F4326&gt;=5, F4326-5, IF(F4326&lt;5, 0, F4326))</f>
        <v/>
      </c>
      <c r="E4326">
        <f>VLOOKUP(B4326,[1]Namshi!$A:$B,2,0)</f>
        <v/>
      </c>
      <c r="F4326" s="4">
        <f>SUMIFS('Dubai Stock'!I:I,'Dubai Stock'!H:H,Final_UAE!B:B)</f>
        <v/>
      </c>
      <c r="H4326" s="8" t="n">
        <v>186</v>
      </c>
      <c r="I4326" s="8" t="n">
        <v>104.3</v>
      </c>
    </row>
    <row r="4327">
      <c r="A4327" s="4" t="n">
        <v>33834</v>
      </c>
      <c r="B4327" s="4" t="inlineStr">
        <is>
          <t>sw51304-bla-000233-1304-54</t>
        </is>
      </c>
      <c r="C4327" s="4" t="inlineStr">
        <is>
          <t>W00031886A</t>
        </is>
      </c>
      <c r="D4327" s="6">
        <f>IF(F4327&gt;=5, F4327-5, IF(F4327&lt;5, 0, F4327))</f>
        <v/>
      </c>
      <c r="E4327">
        <f>VLOOKUP(B4327,[1]Namshi!$A:$B,2,0)</f>
        <v/>
      </c>
      <c r="F4327" s="4">
        <f>SUMIFS('Dubai Stock'!I:I,'Dubai Stock'!H:H,Final_UAE!B:B)</f>
        <v/>
      </c>
      <c r="H4327" s="8" t="e">
        <v>#N/A</v>
      </c>
    </row>
    <row r="4328">
      <c r="A4328" s="4" t="n">
        <v>33834</v>
      </c>
      <c r="B4328" s="4" t="inlineStr">
        <is>
          <t>fw22418-spc-000539-2918-52</t>
        </is>
      </c>
      <c r="C4328" s="4" t="inlineStr">
        <is>
          <t>W00031886A</t>
        </is>
      </c>
      <c r="D4328" s="6">
        <f>IF(F4328&gt;=5, F4328-5, IF(F4328&lt;5, 0, F4328))</f>
        <v/>
      </c>
      <c r="E4328">
        <f>VLOOKUP(B4328,[1]Namshi!$A:$B,2,0)</f>
        <v/>
      </c>
      <c r="F4328" s="4">
        <f>SUMIFS('Dubai Stock'!I:I,'Dubai Stock'!H:H,Final_UAE!B:B)</f>
        <v/>
      </c>
      <c r="H4328" s="8" t="e">
        <v>#N/A</v>
      </c>
      <c r="I4328" s="8" t="n"/>
    </row>
    <row r="4329">
      <c r="A4329" s="4" t="n">
        <v>33834</v>
      </c>
      <c r="B4329" s="4" t="inlineStr">
        <is>
          <t>costmon-ama-2022-p02-cocoa-sn0325</t>
        </is>
      </c>
      <c r="C4329" s="4" t="inlineStr">
        <is>
          <t>W00031886A</t>
        </is>
      </c>
      <c r="D4329" s="6">
        <f>IF(F4329&gt;=5, F4329-5, IF(F4329&lt;5, 0, F4329))</f>
        <v/>
      </c>
      <c r="E4329">
        <f>VLOOKUP(B4329,[1]Namshi!$A:$B,2,0)</f>
        <v/>
      </c>
      <c r="F4329" s="4">
        <f>SUMIFS('Dubai Stock'!I:I,'Dubai Stock'!H:H,Final_UAE!B:B)</f>
        <v/>
      </c>
      <c r="H4329" s="8" t="e">
        <v>#N/A</v>
      </c>
      <c r="I4329" s="8" t="n"/>
    </row>
    <row r="4330">
      <c r="A4330" s="4" t="n">
        <v>33834</v>
      </c>
      <c r="B4330" s="4" t="inlineStr">
        <is>
          <t>sw50504-30s-000242-2904-58</t>
        </is>
      </c>
      <c r="C4330" s="4" t="inlineStr">
        <is>
          <t>W00031886A</t>
        </is>
      </c>
      <c r="D4330" s="6">
        <f>IF(F4330&gt;=5, F4330-5, IF(F4330&lt;5, 0, F4330))</f>
        <v/>
      </c>
      <c r="E4330">
        <f>VLOOKUP(B4330,[1]Namshi!$A:$B,2,0)</f>
        <v/>
      </c>
      <c r="F4330" s="4">
        <f>SUMIFS('Dubai Stock'!I:I,'Dubai Stock'!H:H,Final_UAE!B:B)</f>
        <v/>
      </c>
      <c r="H4330" s="8" t="e">
        <v>#N/A</v>
      </c>
    </row>
    <row r="4331">
      <c r="A4331" s="4" t="n">
        <v>33834</v>
      </c>
      <c r="B4331" s="4" t="inlineStr">
        <is>
          <t>clstdai-acu-oasy-p30-sn0075</t>
        </is>
      </c>
      <c r="C4331" s="4" t="inlineStr">
        <is>
          <t>W00031886A</t>
        </is>
      </c>
      <c r="D4331" s="6">
        <f>IF(F4331&gt;=5, F4331-5, IF(F4331&lt;5, 0, F4331))</f>
        <v/>
      </c>
      <c r="E4331">
        <f>VLOOKUP(B4331,[1]Namshi!$A:$B,2,0)</f>
        <v/>
      </c>
      <c r="F4331" s="4">
        <f>SUMIFS('Dubai Stock'!I:I,'Dubai Stock'!H:H,Final_UAE!B:B)</f>
        <v/>
      </c>
      <c r="H4331" s="8" t="e">
        <v>#N/A</v>
      </c>
      <c r="I4331" s="8" t="n"/>
    </row>
    <row r="4332">
      <c r="A4332" s="4" t="n">
        <v>33834</v>
      </c>
      <c r="B4332" s="4" t="inlineStr">
        <is>
          <t>sc20107-bab-000502-0107-50</t>
        </is>
      </c>
      <c r="C4332" s="4" t="inlineStr">
        <is>
          <t>W00031886A</t>
        </is>
      </c>
      <c r="D4332" s="6">
        <f>IF(F4332&gt;=5, F4332-5, IF(F4332&lt;5, 0, F4332))</f>
        <v/>
      </c>
      <c r="E4332">
        <f>VLOOKUP(B4332,[1]Namshi!$A:$B,2,0)</f>
        <v/>
      </c>
      <c r="F4332" s="4">
        <f>SUMIFS('Dubai Stock'!I:I,'Dubai Stock'!H:H,Final_UAE!B:B)</f>
        <v/>
      </c>
      <c r="H4332" s="8" t="e">
        <v>#N/A</v>
      </c>
    </row>
    <row r="4333">
      <c r="A4333" s="4" t="n">
        <v>33834</v>
      </c>
      <c r="B4333" s="4" t="inlineStr">
        <is>
          <t>costmon-ama-2022-p02-cocoa-sn0200</t>
        </is>
      </c>
      <c r="C4333" s="4" t="inlineStr">
        <is>
          <t>W00031886A</t>
        </is>
      </c>
      <c r="D4333" s="6">
        <f>IF(F4333&gt;=5, F4333-5, IF(F4333&lt;5, 0, F4333))</f>
        <v/>
      </c>
      <c r="E4333">
        <f>VLOOKUP(B4333,[1]Namshi!$A:$B,2,0)</f>
        <v/>
      </c>
      <c r="F4333" s="4">
        <f>SUMIFS('Dubai Stock'!I:I,'Dubai Stock'!H:H,Final_UAE!B:B)</f>
        <v/>
      </c>
      <c r="H4333" s="8" t="e">
        <v>#N/A</v>
      </c>
      <c r="I4333" s="8" t="n"/>
    </row>
    <row r="4334">
      <c r="A4334" s="4" t="n">
        <v>33834</v>
      </c>
      <c r="B4334" s="4" t="inlineStr">
        <is>
          <t>su62904-bla-000282-2904-48</t>
        </is>
      </c>
      <c r="C4334" s="4" t="inlineStr">
        <is>
          <t>W00031886A</t>
        </is>
      </c>
      <c r="D4334" s="6">
        <f>IF(F4334&gt;=5, F4334-5, IF(F4334&lt;5, 0, F4334))</f>
        <v/>
      </c>
      <c r="E4334">
        <f>VLOOKUP(B4334,[1]Namshi!$A:$B,2,0)</f>
        <v/>
      </c>
      <c r="F4334" s="4">
        <f>SUMIFS('Dubai Stock'!I:I,'Dubai Stock'!H:H,Final_UAE!B:B)</f>
        <v/>
      </c>
      <c r="H4334" s="8" t="e">
        <v>#N/A</v>
      </c>
    </row>
    <row r="4335">
      <c r="A4335" s="4" t="n">
        <v>33834</v>
      </c>
      <c r="B4335" s="4" t="inlineStr">
        <is>
          <t>clstdai-acu-oasy-p30-sn0575</t>
        </is>
      </c>
      <c r="C4335" s="4" t="inlineStr">
        <is>
          <t>W00031886A</t>
        </is>
      </c>
      <c r="D4335" s="6">
        <f>IF(F4335&gt;=5, F4335-5, IF(F4335&lt;5, 0, F4335))</f>
        <v/>
      </c>
      <c r="E4335">
        <f>VLOOKUP(B4335,[1]Namshi!$A:$B,2,0)</f>
        <v/>
      </c>
      <c r="F4335" s="4">
        <f>SUMIFS('Dubai Stock'!I:I,'Dubai Stock'!H:H,Final_UAE!B:B)</f>
        <v/>
      </c>
      <c r="H4335" s="8" t="e">
        <v>#N/A</v>
      </c>
      <c r="I4335" s="8" t="n"/>
    </row>
    <row r="4336">
      <c r="A4336" s="4" t="n">
        <v>33834</v>
      </c>
      <c r="B4336" s="4" t="inlineStr">
        <is>
          <t>cost3mo-lay-2021-p02-golden-gray-sn0150</t>
        </is>
      </c>
      <c r="C4336" s="4" t="inlineStr">
        <is>
          <t>W00031886A</t>
        </is>
      </c>
      <c r="D4336" s="6">
        <f>IF(F4336&gt;=5, F4336-5, IF(F4336&lt;5, 0, F4336))</f>
        <v/>
      </c>
      <c r="E4336">
        <f>VLOOKUP(B4336,[1]Namshi!$A:$B,2,0)</f>
        <v/>
      </c>
      <c r="F4336" s="4">
        <f>SUMIFS('Dubai Stock'!I:I,'Dubai Stock'!H:H,Final_UAE!B:B)</f>
        <v/>
      </c>
      <c r="H4336" s="8" t="e">
        <v>#N/A</v>
      </c>
      <c r="I4336" s="8" t="n"/>
    </row>
    <row r="4337">
      <c r="A4337" s="4" t="n">
        <v>33834</v>
      </c>
      <c r="B4337" s="4" t="inlineStr">
        <is>
          <t>sacchan-30s-chain129-svr-vega-silver</t>
        </is>
      </c>
      <c r="C4337" s="4" t="inlineStr">
        <is>
          <t>W00031886A</t>
        </is>
      </c>
      <c r="D4337" s="6">
        <f>IF(F4337&gt;=5, F4337-5, IF(F4337&lt;5, 0, F4337))</f>
        <v/>
      </c>
      <c r="E4337">
        <f>VLOOKUP(B4337,[1]Namshi!$A:$B,2,0)</f>
        <v/>
      </c>
      <c r="F4337" s="4">
        <f>SUMIFS('Dubai Stock'!I:I,'Dubai Stock'!H:H,Final_UAE!B:B)</f>
        <v/>
      </c>
      <c r="H4337" s="8" t="e">
        <v>#N/A</v>
      </c>
      <c r="I4337" s="8" t="n"/>
    </row>
    <row r="4338">
      <c r="A4338" s="4" t="n">
        <v>33834</v>
      </c>
      <c r="B4338" s="4" t="inlineStr">
        <is>
          <t>sw72907-bla-000216-2901-55</t>
        </is>
      </c>
      <c r="C4338" s="4" t="inlineStr">
        <is>
          <t>W00031886A</t>
        </is>
      </c>
      <c r="D4338" s="6">
        <f>IF(F4338&gt;=5, F4338-5, IF(F4338&lt;5, 0, F4338))</f>
        <v/>
      </c>
      <c r="E4338">
        <f>VLOOKUP(B4338,[1]Namshi!$A:$B,2,0)</f>
        <v/>
      </c>
      <c r="F4338" s="4">
        <f>SUMIFS('Dubai Stock'!I:I,'Dubai Stock'!H:H,Final_UAE!B:B)</f>
        <v/>
      </c>
      <c r="H4338" s="8" t="e">
        <v>#N/A</v>
      </c>
    </row>
    <row r="4339">
      <c r="A4339" s="4" t="n">
        <v>33834</v>
      </c>
      <c r="B4339" s="4" t="inlineStr">
        <is>
          <t>fw30618-spc-000634-0618-53</t>
        </is>
      </c>
      <c r="C4339" s="4" t="inlineStr">
        <is>
          <t>W00031886A</t>
        </is>
      </c>
      <c r="D4339" s="6">
        <f>IF(F4339&gt;=5, F4339-5, IF(F4339&lt;5, 0, F4339))</f>
        <v/>
      </c>
      <c r="E4339">
        <f>VLOOKUP(B4339,[1]Namshi!$A:$B,2,0)</f>
        <v/>
      </c>
      <c r="F4339" s="4">
        <f>SUMIFS('Dubai Stock'!I:I,'Dubai Stock'!H:H,Final_UAE!B:B)</f>
        <v/>
      </c>
      <c r="H4339" s="8" t="e">
        <v>#N/A</v>
      </c>
      <c r="I4339" s="8" t="n"/>
    </row>
    <row r="4340">
      <c r="A4340" s="4" t="n">
        <v>33834</v>
      </c>
      <c r="B4340" s="4" t="inlineStr">
        <is>
          <t>sw20107-30s-000228-0107-50</t>
        </is>
      </c>
      <c r="C4340" s="4" t="inlineStr">
        <is>
          <t>W00031886A</t>
        </is>
      </c>
      <c r="D4340" s="6">
        <f>IF(F4340&gt;=5, F4340-5, IF(F4340&lt;5, 0, F4340))</f>
        <v/>
      </c>
      <c r="E4340">
        <f>VLOOKUP(B4340,[1]Namshi!$A:$B,2,0)</f>
        <v/>
      </c>
      <c r="F4340" s="4">
        <f>SUMIFS('Dubai Stock'!I:I,'Dubai Stock'!H:H,Final_UAE!B:B)</f>
        <v/>
      </c>
      <c r="H4340" s="8" t="e">
        <v>#N/A</v>
      </c>
    </row>
    <row r="4341">
      <c r="A4341" s="4" t="n">
        <v>33834</v>
      </c>
      <c r="B4341" s="4" t="inlineStr">
        <is>
          <t>fw30918-spc-000537-0900-53</t>
        </is>
      </c>
      <c r="C4341" s="4" t="inlineStr">
        <is>
          <t>W00031886A</t>
        </is>
      </c>
      <c r="D4341" s="6">
        <f>IF(F4341&gt;=5, F4341-5, IF(F4341&lt;5, 0, F4341))</f>
        <v/>
      </c>
      <c r="E4341">
        <f>VLOOKUP(B4341,[1]Namshi!$A:$B,2,0)</f>
        <v/>
      </c>
      <c r="F4341" s="4">
        <f>SUMIFS('Dubai Stock'!I:I,'Dubai Stock'!H:H,Final_UAE!B:B)</f>
        <v/>
      </c>
      <c r="H4341" s="8" t="e">
        <v>#N/A</v>
      </c>
      <c r="I4341" s="8" t="n"/>
    </row>
    <row r="4342">
      <c r="A4342" s="4" t="n">
        <v>33834</v>
      </c>
      <c r="B4342" s="4" t="inlineStr">
        <is>
          <t>sw100404-bla-000329-0404-55</t>
        </is>
      </c>
      <c r="C4342" s="4" t="inlineStr">
        <is>
          <t>W00031886A</t>
        </is>
      </c>
      <c r="D4342" s="6">
        <f>IF(F4342&gt;=5, F4342-5, IF(F4342&lt;5, 0, F4342))</f>
        <v/>
      </c>
      <c r="E4342">
        <f>VLOOKUP(B4342,[1]Namshi!$A:$B,2,0)</f>
        <v/>
      </c>
      <c r="F4342" s="4">
        <f>SUMIFS('Dubai Stock'!I:I,'Dubai Stock'!H:H,Final_UAE!B:B)</f>
        <v/>
      </c>
      <c r="H4342" s="8" t="e">
        <v>#N/A</v>
      </c>
    </row>
    <row r="4343">
      <c r="A4343" s="4" t="n">
        <v>33834</v>
      </c>
      <c r="B4343" s="4" t="inlineStr">
        <is>
          <t>sw30107-30s-000296-0101-54</t>
        </is>
      </c>
      <c r="C4343" s="4" t="inlineStr">
        <is>
          <t>W00031886A</t>
        </is>
      </c>
      <c r="D4343" s="6">
        <f>IF(F4343&gt;=5, F4343-5, IF(F4343&lt;5, 0, F4343))</f>
        <v/>
      </c>
      <c r="E4343">
        <f>VLOOKUP(B4343,[1]Namshi!$A:$B,2,0)</f>
        <v/>
      </c>
      <c r="F4343" s="4">
        <f>SUMIFS('Dubai Stock'!I:I,'Dubai Stock'!H:H,Final_UAE!B:B)</f>
        <v/>
      </c>
      <c r="H4343" s="8" t="e">
        <v>#N/A</v>
      </c>
    </row>
    <row r="4344">
      <c r="A4344" s="4" t="n">
        <v>33834</v>
      </c>
      <c r="B4344" s="4" t="inlineStr">
        <is>
          <t>clstdai-dai-aqua-p30-sp0750</t>
        </is>
      </c>
      <c r="C4344" s="4" t="inlineStr">
        <is>
          <t>W00031886A</t>
        </is>
      </c>
      <c r="D4344" s="6">
        <f>IF(F4344&gt;=5, F4344-5, IF(F4344&lt;5, 0, F4344))</f>
        <v/>
      </c>
      <c r="E4344">
        <f>VLOOKUP(B4344,[1]Namshi!$A:$B,2,0)</f>
        <v/>
      </c>
      <c r="F4344" s="4">
        <f>SUMIFS('Dubai Stock'!I:I,'Dubai Stock'!H:H,Final_UAE!B:B)</f>
        <v/>
      </c>
      <c r="H4344" s="8" t="e">
        <v>#N/A</v>
      </c>
      <c r="I4344" s="8" t="n"/>
    </row>
    <row r="4345">
      <c r="A4345" s="4" t="n">
        <v>33834</v>
      </c>
      <c r="B4345" s="4" t="inlineStr">
        <is>
          <t>saccase-30s-case102-nvy-brn-navy-blue</t>
        </is>
      </c>
      <c r="C4345" s="4" t="inlineStr">
        <is>
          <t>W00031886A</t>
        </is>
      </c>
      <c r="D4345" s="6">
        <f>IF(F4345&gt;=5, F4345-5, IF(F4345&lt;5, 0, F4345))</f>
        <v/>
      </c>
      <c r="E4345">
        <f>VLOOKUP(B4345,[1]Namshi!$A:$B,2,0)</f>
        <v/>
      </c>
      <c r="F4345" s="4">
        <f>SUMIFS('Dubai Stock'!I:I,'Dubai Stock'!H:H,Final_UAE!B:B)</f>
        <v/>
      </c>
      <c r="H4345" s="8" t="e">
        <v>#N/A</v>
      </c>
      <c r="I4345" s="8" t="n"/>
    </row>
    <row r="4346">
      <c r="A4346" s="4" t="n">
        <v>33834</v>
      </c>
      <c r="B4346" s="4" t="inlineStr">
        <is>
          <t>cltodai-acu-mois-p30-sn0250-cn0075-a060</t>
        </is>
      </c>
      <c r="C4346" s="4" t="inlineStr">
        <is>
          <t>W00031886A</t>
        </is>
      </c>
      <c r="D4346" s="6">
        <f>IF(F4346&gt;=5, F4346-5, IF(F4346&lt;5, 0, F4346))</f>
        <v/>
      </c>
      <c r="E4346">
        <f>VLOOKUP(B4346,[1]Namshi!$A:$B,2,0)</f>
        <v/>
      </c>
      <c r="F4346" s="4">
        <f>SUMIFS('Dubai Stock'!I:I,'Dubai Stock'!H:H,Final_UAE!B:B)</f>
        <v/>
      </c>
      <c r="H4346" s="8" t="e">
        <v>#N/A</v>
      </c>
      <c r="I4346" s="8" t="n"/>
    </row>
    <row r="4347">
      <c r="A4347" s="4" t="n">
        <v>33834</v>
      </c>
      <c r="B4347" s="4" t="inlineStr">
        <is>
          <t>clstdai-acu-omax-p90-sp0125</t>
        </is>
      </c>
      <c r="C4347" s="4" t="inlineStr">
        <is>
          <t>W00031886A</t>
        </is>
      </c>
      <c r="D4347" s="6">
        <f>IF(F4347&gt;=5, F4347-5, IF(F4347&lt;5, 0, F4347))</f>
        <v/>
      </c>
      <c r="E4347">
        <f>VLOOKUP(B4347,[1]Namshi!$A:$B,2,0)</f>
        <v/>
      </c>
      <c r="F4347" s="4">
        <f>SUMIFS('Dubai Stock'!I:I,'Dubai Stock'!H:H,Final_UAE!B:B)</f>
        <v/>
      </c>
      <c r="H4347" s="8" t="e">
        <v>#N/A</v>
      </c>
      <c r="I4347" s="8" t="n"/>
    </row>
    <row r="4348">
      <c r="A4348" s="4" t="n">
        <v>33834</v>
      </c>
      <c r="B4348" s="4" t="inlineStr">
        <is>
          <t>sw20404-30s-000107-0404-50</t>
        </is>
      </c>
      <c r="C4348" s="4" t="inlineStr">
        <is>
          <t>W00031886A</t>
        </is>
      </c>
      <c r="D4348" s="6">
        <f>IF(F4348&gt;=5, F4348-5, IF(F4348&lt;5, 0, F4348))</f>
        <v/>
      </c>
      <c r="E4348">
        <f>VLOOKUP(B4348,[1]Namshi!$A:$B,2,0)</f>
        <v/>
      </c>
      <c r="F4348" s="4">
        <f>SUMIFS('Dubai Stock'!I:I,'Dubai Stock'!H:H,Final_UAE!B:B)</f>
        <v/>
      </c>
      <c r="H4348" s="8" t="e">
        <v>#N/A</v>
      </c>
    </row>
    <row r="4349">
      <c r="A4349" s="4" t="n">
        <v>33834</v>
      </c>
      <c r="B4349" s="4" t="inlineStr">
        <is>
          <t>su10404-30s-000203-2904-58</t>
        </is>
      </c>
      <c r="C4349" s="4" t="inlineStr">
        <is>
          <t>W00031886A</t>
        </is>
      </c>
      <c r="D4349" s="6">
        <f>IF(F4349&gt;=5, F4349-5, IF(F4349&lt;5, 0, F4349))</f>
        <v/>
      </c>
      <c r="E4349">
        <f>VLOOKUP(B4349,[1]Namshi!$A:$B,2,0)</f>
        <v/>
      </c>
      <c r="F4349" s="4">
        <f>SUMIFS('Dubai Stock'!I:I,'Dubai Stock'!H:H,Final_UAE!B:B)</f>
        <v/>
      </c>
      <c r="H4349" s="8" t="e">
        <v>#N/A</v>
      </c>
    </row>
    <row r="4350">
      <c r="A4350" s="4" t="n">
        <v>33834</v>
      </c>
      <c r="B4350" s="4" t="inlineStr">
        <is>
          <t>sw32904-30s-000224-2904-59</t>
        </is>
      </c>
      <c r="C4350" s="4" t="inlineStr">
        <is>
          <t>W00031886A</t>
        </is>
      </c>
      <c r="D4350" s="6">
        <f>IF(F4350&gt;=5, F4350-5, IF(F4350&lt;5, 0, F4350))</f>
        <v/>
      </c>
      <c r="E4350">
        <f>VLOOKUP(B4350,[1]Namshi!$A:$B,2,0)</f>
        <v/>
      </c>
      <c r="F4350" s="4">
        <f>SUMIFS('Dubai Stock'!I:I,'Dubai Stock'!H:H,Final_UAE!B:B)</f>
        <v/>
      </c>
      <c r="H4350" s="8" t="e">
        <v>#N/A</v>
      </c>
    </row>
    <row r="4351">
      <c r="A4351" s="4" t="n">
        <v>33834</v>
      </c>
      <c r="B4351" s="4" t="inlineStr">
        <is>
          <t>clstdai-acu-mois-p90-sn0300</t>
        </is>
      </c>
      <c r="C4351" s="4" t="inlineStr">
        <is>
          <t>W00031886A</t>
        </is>
      </c>
      <c r="D4351" s="6">
        <f>IF(F4351&gt;=5, F4351-5, IF(F4351&lt;5, 0, F4351))</f>
        <v/>
      </c>
      <c r="E4351">
        <f>VLOOKUP(B4351,[1]Namshi!$A:$B,2,0)</f>
        <v/>
      </c>
      <c r="F4351" s="4">
        <f>SUMIFS('Dubai Stock'!I:I,'Dubai Stock'!H:H,Final_UAE!B:B)</f>
        <v/>
      </c>
      <c r="H4351" s="8" t="e">
        <v>#N/A</v>
      </c>
      <c r="I4351" s="8" t="n"/>
    </row>
    <row r="4352">
      <c r="A4352" s="4" t="n">
        <v>33834</v>
      </c>
      <c r="B4352" s="4" t="inlineStr">
        <is>
          <t>clstdai-eve-elit-p30-sp0500</t>
        </is>
      </c>
      <c r="C4352" s="4" t="inlineStr">
        <is>
          <t>W00031886A</t>
        </is>
      </c>
      <c r="D4352" s="6">
        <f>IF(F4352&gt;=5, F4352-5, IF(F4352&lt;5, 0, F4352))</f>
        <v/>
      </c>
      <c r="E4352">
        <f>VLOOKUP(B4352,[1]Namshi!$A:$B,2,0)</f>
        <v/>
      </c>
      <c r="F4352" s="4">
        <f>SUMIFS('Dubai Stock'!I:I,'Dubai Stock'!H:H,Final_UAE!B:B)</f>
        <v/>
      </c>
      <c r="H4352" s="8" t="n">
        <v>261</v>
      </c>
      <c r="I4352" s="8" t="n">
        <v>146.3</v>
      </c>
    </row>
    <row r="4353">
      <c r="A4353" s="4" t="n">
        <v>33834</v>
      </c>
      <c r="B4353" s="4" t="inlineStr">
        <is>
          <t>sm100702-30s-00250-0702p-55</t>
        </is>
      </c>
      <c r="C4353" s="4" t="inlineStr">
        <is>
          <t>W00031886A</t>
        </is>
      </c>
      <c r="D4353" s="6">
        <f>IF(F4353&gt;=5, F4353-5, IF(F4353&lt;5, 0, F4353))</f>
        <v/>
      </c>
      <c r="E4353">
        <f>VLOOKUP(B4353,[1]Namshi!$A:$B,2,0)</f>
        <v/>
      </c>
      <c r="F4353" s="4">
        <f>SUMIFS('Dubai Stock'!I:I,'Dubai Stock'!H:H,Final_UAE!B:B)</f>
        <v/>
      </c>
      <c r="H4353" s="8" t="e">
        <v>#N/A</v>
      </c>
    </row>
    <row r="4354">
      <c r="A4354" s="4" t="n">
        <v>33834</v>
      </c>
      <c r="B4354" s="4" t="inlineStr">
        <is>
          <t>cost3mo-lay-2023-p02-selene-green-sn0450</t>
        </is>
      </c>
      <c r="C4354" s="4" t="inlineStr">
        <is>
          <t>W00031886A</t>
        </is>
      </c>
      <c r="D4354" s="6">
        <f>IF(F4354&gt;=5, F4354-5, IF(F4354&lt;5, 0, F4354))</f>
        <v/>
      </c>
      <c r="E4354">
        <f>VLOOKUP(B4354,[1]Namshi!$A:$B,2,0)</f>
        <v/>
      </c>
      <c r="F4354" s="4">
        <f>SUMIFS('Dubai Stock'!I:I,'Dubai Stock'!H:H,Final_UAE!B:B)</f>
        <v/>
      </c>
      <c r="H4354" s="8" t="e">
        <v>#N/A</v>
      </c>
      <c r="I4354" s="8" t="n"/>
    </row>
    <row r="4355">
      <c r="A4355" s="4" t="n">
        <v>33834</v>
      </c>
      <c r="B4355" s="4" t="inlineStr">
        <is>
          <t>clstdai-eve-pure-p90-sp0350</t>
        </is>
      </c>
      <c r="C4355" s="4" t="inlineStr">
        <is>
          <t>W00031886A</t>
        </is>
      </c>
      <c r="D4355" s="6">
        <f>IF(F4355&gt;=5, F4355-5, IF(F4355&lt;5, 0, F4355))</f>
        <v/>
      </c>
      <c r="E4355">
        <f>VLOOKUP(B4355,[1]Namshi!$A:$B,2,0)</f>
        <v/>
      </c>
      <c r="F4355" s="4">
        <f>SUMIFS('Dubai Stock'!I:I,'Dubai Stock'!H:H,Final_UAE!B:B)</f>
        <v/>
      </c>
      <c r="H4355" s="8" t="n">
        <v>529</v>
      </c>
      <c r="I4355" s="8" t="n">
        <v>259</v>
      </c>
    </row>
    <row r="4356">
      <c r="A4356" s="4" t="n">
        <v>33834</v>
      </c>
      <c r="B4356" s="4" t="inlineStr">
        <is>
          <t>costmon-ama-2022-p02-tiger-eyes-sn0200</t>
        </is>
      </c>
      <c r="C4356" s="4" t="inlineStr">
        <is>
          <t>W00031886A</t>
        </is>
      </c>
      <c r="D4356" s="6">
        <f>IF(F4356&gt;=5, F4356-5, IF(F4356&lt;5, 0, F4356))</f>
        <v/>
      </c>
      <c r="E4356">
        <f>VLOOKUP(B4356,[1]Namshi!$A:$B,2,0)</f>
        <v/>
      </c>
      <c r="F4356" s="4">
        <f>SUMIFS('Dubai Stock'!I:I,'Dubai Stock'!H:H,Final_UAE!B:B)</f>
        <v/>
      </c>
      <c r="H4356" s="8" t="e">
        <v>#N/A</v>
      </c>
      <c r="I4356" s="8" t="n"/>
    </row>
    <row r="4357">
      <c r="A4357" s="4" t="n">
        <v>33834</v>
      </c>
      <c r="B4357" s="4" t="inlineStr">
        <is>
          <t>sm40404-bla-000363-0404-50</t>
        </is>
      </c>
      <c r="C4357" s="4" t="inlineStr">
        <is>
          <t>W00031886A</t>
        </is>
      </c>
      <c r="D4357" s="6">
        <f>IF(F4357&gt;=5, F4357-5, IF(F4357&lt;5, 0, F4357))</f>
        <v/>
      </c>
      <c r="E4357">
        <f>VLOOKUP(B4357,[1]Namshi!$A:$B,2,0)</f>
        <v/>
      </c>
      <c r="F4357" s="4">
        <f>SUMIFS('Dubai Stock'!I:I,'Dubai Stock'!H:H,Final_UAE!B:B)</f>
        <v/>
      </c>
      <c r="H4357" s="8" t="e">
        <v>#N/A</v>
      </c>
    </row>
    <row r="4358">
      <c r="A4358" s="4" t="n">
        <v>33834</v>
      </c>
      <c r="B4358" s="4" t="inlineStr">
        <is>
          <t>clstbiw-acu-0002-p06-sp0400</t>
        </is>
      </c>
      <c r="C4358" s="4" t="inlineStr">
        <is>
          <t>W00031886A</t>
        </is>
      </c>
      <c r="D4358" s="6">
        <f>IF(F4358&gt;=5, F4358-5, IF(F4358&lt;5, 0, F4358))</f>
        <v/>
      </c>
      <c r="E4358">
        <f>VLOOKUP(B4358,[1]Namshi!$A:$B,2,0)</f>
        <v/>
      </c>
      <c r="F4358" s="4">
        <f>SUMIFS('Dubai Stock'!I:I,'Dubai Stock'!H:H,Final_UAE!B:B)</f>
        <v/>
      </c>
      <c r="H4358" s="8" t="e">
        <v>#N/A</v>
      </c>
      <c r="I4358" s="8" t="n"/>
    </row>
    <row r="4359">
      <c r="A4359" s="4" t="n">
        <v>33834</v>
      </c>
      <c r="B4359" s="4" t="inlineStr">
        <is>
          <t>fw20418-spc-000725-0418-48</t>
        </is>
      </c>
      <c r="C4359" s="4" t="inlineStr">
        <is>
          <t>W00031886A</t>
        </is>
      </c>
      <c r="D4359" s="6">
        <f>IF(F4359&gt;=5, F4359-5, IF(F4359&lt;5, 0, F4359))</f>
        <v/>
      </c>
      <c r="E4359">
        <f>VLOOKUP(B4359,[1]Namshi!$A:$B,2,0)</f>
        <v/>
      </c>
      <c r="F4359" s="4">
        <f>SUMIFS('Dubai Stock'!I:I,'Dubai Stock'!H:H,Final_UAE!B:B)</f>
        <v/>
      </c>
      <c r="H4359" s="8" t="e">
        <v>#N/A</v>
      </c>
      <c r="I4359" s="8" t="n"/>
    </row>
    <row r="4360">
      <c r="A4360" s="4" t="n">
        <v>33834</v>
      </c>
      <c r="B4360" s="4" t="inlineStr">
        <is>
          <t>clstdai-acu-oasy-p30-sp0600</t>
        </is>
      </c>
      <c r="C4360" s="4" t="inlineStr">
        <is>
          <t>W00031886A</t>
        </is>
      </c>
      <c r="D4360" s="6">
        <f>IF(F4360&gt;=5, F4360-5, IF(F4360&lt;5, 0, F4360))</f>
        <v/>
      </c>
      <c r="E4360">
        <f>VLOOKUP(B4360,[1]Namshi!$A:$B,2,0)</f>
        <v/>
      </c>
      <c r="F4360" s="4">
        <f>SUMIFS('Dubai Stock'!I:I,'Dubai Stock'!H:H,Final_UAE!B:B)</f>
        <v/>
      </c>
      <c r="H4360" s="8" t="e">
        <v>#N/A</v>
      </c>
      <c r="I4360" s="8" t="n"/>
    </row>
    <row r="4361">
      <c r="A4361" s="4" t="n">
        <v>33834</v>
      </c>
      <c r="B4361" s="4" t="inlineStr">
        <is>
          <t>su11202-30s-000279-1202-55</t>
        </is>
      </c>
      <c r="C4361" s="4" t="inlineStr">
        <is>
          <t>W00031886A</t>
        </is>
      </c>
      <c r="D4361" s="6">
        <f>IF(F4361&gt;=5, F4361-5, IF(F4361&lt;5, 0, F4361))</f>
        <v/>
      </c>
      <c r="E4361">
        <f>VLOOKUP(B4361,[1]Namshi!$A:$B,2,0)</f>
        <v/>
      </c>
      <c r="F4361" s="4">
        <f>SUMIFS('Dubai Stock'!I:I,'Dubai Stock'!H:H,Final_UAE!B:B)</f>
        <v/>
      </c>
      <c r="H4361" s="8" t="e">
        <v>#N/A</v>
      </c>
    </row>
    <row r="4362">
      <c r="A4362" s="4" t="n">
        <v>33834</v>
      </c>
      <c r="B4362" s="4" t="inlineStr">
        <is>
          <t>sw30107-30s-000121-0107-49</t>
        </is>
      </c>
      <c r="C4362" s="4" t="inlineStr">
        <is>
          <t>W00031886A</t>
        </is>
      </c>
      <c r="D4362" s="6">
        <f>IF(F4362&gt;=5, F4362-5, IF(F4362&lt;5, 0, F4362))</f>
        <v/>
      </c>
      <c r="E4362">
        <f>VLOOKUP(B4362,[1]Namshi!$A:$B,2,0)</f>
        <v/>
      </c>
      <c r="F4362" s="4">
        <f>SUMIFS('Dubai Stock'!I:I,'Dubai Stock'!H:H,Final_UAE!B:B)</f>
        <v/>
      </c>
      <c r="H4362" s="8" t="e">
        <v>#N/A</v>
      </c>
    </row>
    <row r="4363">
      <c r="A4363" s="4" t="n">
        <v>33834</v>
      </c>
      <c r="B4363" s="4" t="inlineStr">
        <is>
          <t>costdai-acu-dffr-p10-honey-sn0575</t>
        </is>
      </c>
      <c r="C4363" s="4" t="inlineStr">
        <is>
          <t>W00031886A</t>
        </is>
      </c>
      <c r="D4363" s="6">
        <f>IF(F4363&gt;=5, F4363-5, IF(F4363&lt;5, 0, F4363))</f>
        <v/>
      </c>
      <c r="E4363">
        <f>VLOOKUP(B4363,[1]Namshi!$A:$B,2,0)</f>
        <v/>
      </c>
      <c r="F4363" s="4">
        <f>SUMIFS('Dubai Stock'!I:I,'Dubai Stock'!H:H,Final_UAE!B:B)</f>
        <v/>
      </c>
      <c r="H4363" s="8" t="e">
        <v>#N/A</v>
      </c>
      <c r="I4363" s="8" t="n"/>
    </row>
    <row r="4364">
      <c r="A4364" s="4" t="n">
        <v>33834</v>
      </c>
      <c r="B4364" s="4" t="inlineStr">
        <is>
          <t>clstdai-acu-oasy-p30-sp0350</t>
        </is>
      </c>
      <c r="C4364" s="4" t="inlineStr">
        <is>
          <t>W00031886A</t>
        </is>
      </c>
      <c r="D4364" s="6">
        <f>IF(F4364&gt;=5, F4364-5, IF(F4364&lt;5, 0, F4364))</f>
        <v/>
      </c>
      <c r="E4364">
        <f>VLOOKUP(B4364,[1]Namshi!$A:$B,2,0)</f>
        <v/>
      </c>
      <c r="F4364" s="4">
        <f>SUMIFS('Dubai Stock'!I:I,'Dubai Stock'!H:H,Final_UAE!B:B)</f>
        <v/>
      </c>
      <c r="H4364" s="8" t="e">
        <v>#N/A</v>
      </c>
      <c r="I4364" s="8" t="n"/>
    </row>
    <row r="4365">
      <c r="A4365" s="4" t="n">
        <v>33834</v>
      </c>
      <c r="B4365" s="4" t="inlineStr">
        <is>
          <t>clstdai-acu-dfrb-p60-sn0575</t>
        </is>
      </c>
      <c r="C4365" s="4" t="inlineStr">
        <is>
          <t>W00031886A</t>
        </is>
      </c>
      <c r="D4365" s="6">
        <f>IF(F4365&gt;=5, F4365-5, IF(F4365&lt;5, 0, F4365))</f>
        <v/>
      </c>
      <c r="E4365">
        <f>VLOOKUP(B4365,[1]Namshi!$A:$B,2,0)</f>
        <v/>
      </c>
      <c r="F4365" s="4">
        <f>SUMIFS('Dubai Stock'!I:I,'Dubai Stock'!H:H,Final_UAE!B:B)</f>
        <v/>
      </c>
      <c r="H4365" s="8" t="e">
        <v>#N/A</v>
      </c>
      <c r="I4365" s="8" t="n"/>
    </row>
    <row r="4366">
      <c r="A4366" s="4" t="n">
        <v>33834</v>
      </c>
      <c r="B4366" s="4" t="inlineStr">
        <is>
          <t>sw32311-30s-000224-2311-59</t>
        </is>
      </c>
      <c r="C4366" s="4" t="inlineStr">
        <is>
          <t>W00031886A</t>
        </is>
      </c>
      <c r="D4366" s="6">
        <f>IF(F4366&gt;=5, F4366-5, IF(F4366&lt;5, 0, F4366))</f>
        <v/>
      </c>
      <c r="E4366">
        <f>VLOOKUP(B4366,[1]Namshi!$A:$B,2,0)</f>
        <v/>
      </c>
      <c r="F4366" s="4">
        <f>SUMIFS('Dubai Stock'!I:I,'Dubai Stock'!H:H,Final_UAE!B:B)</f>
        <v/>
      </c>
      <c r="H4366" s="8" t="e">
        <v>#N/A</v>
      </c>
    </row>
    <row r="4367">
      <c r="A4367" s="4" t="n">
        <v>33834</v>
      </c>
      <c r="B4367" s="4" t="inlineStr">
        <is>
          <t>cost3mo-lay-2025-p02-emerald-glow-sp0000</t>
        </is>
      </c>
      <c r="C4367" s="4" t="inlineStr">
        <is>
          <t>W00031886A</t>
        </is>
      </c>
      <c r="D4367" s="6">
        <f>IF(F4367&gt;=5, F4367-5, IF(F4367&lt;5, 0, F4367))</f>
        <v/>
      </c>
      <c r="E4367">
        <f>VLOOKUP(B4367,[1]Namshi!$A:$B,2,0)</f>
        <v/>
      </c>
      <c r="F4367" s="4">
        <f>SUMIFS('Dubai Stock'!I:I,'Dubai Stock'!H:H,Final_UAE!B:B)</f>
        <v/>
      </c>
      <c r="H4367" s="8" t="e">
        <v>#N/A</v>
      </c>
      <c r="I4367" s="8" t="n"/>
    </row>
    <row r="4368">
      <c r="A4368" s="4" t="n">
        <v>33834</v>
      </c>
      <c r="B4368" s="4" t="inlineStr">
        <is>
          <t>clstdai-eve-elit-p30-sp0225</t>
        </is>
      </c>
      <c r="C4368" s="4" t="inlineStr">
        <is>
          <t>W00031886A</t>
        </is>
      </c>
      <c r="D4368" s="6">
        <f>IF(F4368&gt;=5, F4368-5, IF(F4368&lt;5, 0, F4368))</f>
        <v/>
      </c>
      <c r="E4368">
        <f>VLOOKUP(B4368,[1]Namshi!$A:$B,2,0)</f>
        <v/>
      </c>
      <c r="F4368" s="4">
        <f>SUMIFS('Dubai Stock'!I:I,'Dubai Stock'!H:H,Final_UAE!B:B)</f>
        <v/>
      </c>
      <c r="H4368" s="8" t="n">
        <v>261</v>
      </c>
      <c r="I4368" s="8" t="n">
        <v>146.3</v>
      </c>
    </row>
    <row r="4369">
      <c r="A4369" s="4" t="n">
        <v>33834</v>
      </c>
      <c r="B4369" s="4" t="inlineStr">
        <is>
          <t>clstdai-acu-oasy-p90-sn0375</t>
        </is>
      </c>
      <c r="C4369" s="4" t="inlineStr">
        <is>
          <t>W00031886A</t>
        </is>
      </c>
      <c r="D4369" s="6">
        <f>IF(F4369&gt;=5, F4369-5, IF(F4369&lt;5, 0, F4369))</f>
        <v/>
      </c>
      <c r="E4369">
        <f>VLOOKUP(B4369,[1]Namshi!$A:$B,2,0)</f>
        <v/>
      </c>
      <c r="F4369" s="4">
        <f>SUMIFS('Dubai Stock'!I:I,'Dubai Stock'!H:H,Final_UAE!B:B)</f>
        <v/>
      </c>
      <c r="H4369" s="8" t="e">
        <v>#N/A</v>
      </c>
      <c r="I4369" s="8" t="n"/>
    </row>
    <row r="4370">
      <c r="A4370" s="4" t="n">
        <v>33834</v>
      </c>
      <c r="B4370" s="4" t="inlineStr">
        <is>
          <t>sw30404-30s-000227-0404-52</t>
        </is>
      </c>
      <c r="C4370" s="4" t="inlineStr">
        <is>
          <t>W00031886A</t>
        </is>
      </c>
      <c r="D4370" s="6">
        <f>IF(F4370&gt;=5, F4370-5, IF(F4370&lt;5, 0, F4370))</f>
        <v/>
      </c>
      <c r="E4370">
        <f>VLOOKUP(B4370,[1]Namshi!$A:$B,2,0)</f>
        <v/>
      </c>
      <c r="F4370" s="4">
        <f>SUMIFS('Dubai Stock'!I:I,'Dubai Stock'!H:H,Final_UAE!B:B)</f>
        <v/>
      </c>
      <c r="H4370" s="8" t="e">
        <v>#N/A</v>
      </c>
    </row>
    <row r="4371">
      <c r="A4371" s="4" t="n">
        <v>33834</v>
      </c>
      <c r="B4371" s="4" t="inlineStr">
        <is>
          <t>clstdai-eve-pure-p30-sn0200</t>
        </is>
      </c>
      <c r="C4371" s="4" t="inlineStr">
        <is>
          <t>W00031886A</t>
        </is>
      </c>
      <c r="D4371" s="6">
        <f>IF(F4371&gt;=5, F4371-5, IF(F4371&lt;5, 0, F4371))</f>
        <v/>
      </c>
      <c r="E4371">
        <f>VLOOKUP(B4371,[1]Namshi!$A:$B,2,0)</f>
        <v/>
      </c>
      <c r="F4371" s="4">
        <f>SUMIFS('Dubai Stock'!I:I,'Dubai Stock'!H:H,Final_UAE!B:B)</f>
        <v/>
      </c>
      <c r="H4371" s="8" t="n">
        <v>186</v>
      </c>
      <c r="I4371" s="8" t="n">
        <v>104.3</v>
      </c>
    </row>
    <row r="4372">
      <c r="A4372" s="4" t="n">
        <v>33834</v>
      </c>
      <c r="B4372" s="4" t="inlineStr">
        <is>
          <t>clstdai-acu-oasy-p90-sn1150</t>
        </is>
      </c>
      <c r="C4372" s="4" t="inlineStr">
        <is>
          <t>W00031886A</t>
        </is>
      </c>
      <c r="D4372" s="6">
        <f>IF(F4372&gt;=5, F4372-5, IF(F4372&lt;5, 0, F4372))</f>
        <v/>
      </c>
      <c r="E4372">
        <f>VLOOKUP(B4372,[1]Namshi!$A:$B,2,0)</f>
        <v/>
      </c>
      <c r="F4372" s="4">
        <f>SUMIFS('Dubai Stock'!I:I,'Dubai Stock'!H:H,Final_UAE!B:B)</f>
        <v/>
      </c>
      <c r="H4372" s="8" t="e">
        <v>#N/A</v>
      </c>
      <c r="I4372" s="8" t="n"/>
    </row>
    <row r="4373">
      <c r="A4373" s="4" t="n">
        <v>33834</v>
      </c>
      <c r="B4373" s="4" t="inlineStr">
        <is>
          <t>costdai-ama-dail-p10-moon-stone-sn0475</t>
        </is>
      </c>
      <c r="C4373" s="4" t="inlineStr">
        <is>
          <t>W00031886A</t>
        </is>
      </c>
      <c r="D4373" s="6">
        <f>IF(F4373&gt;=5, F4373-5, IF(F4373&lt;5, 0, F4373))</f>
        <v/>
      </c>
      <c r="E4373">
        <f>VLOOKUP(B4373,[1]Namshi!$A:$B,2,0)</f>
        <v/>
      </c>
      <c r="F4373" s="4">
        <f>SUMIFS('Dubai Stock'!I:I,'Dubai Stock'!H:H,Final_UAE!B:B)</f>
        <v/>
      </c>
      <c r="H4373" s="8" t="e">
        <v>#N/A</v>
      </c>
      <c r="I4373" s="8" t="n"/>
    </row>
    <row r="4374">
      <c r="A4374" s="4" t="n">
        <v>33834</v>
      </c>
      <c r="B4374" s="4" t="inlineStr">
        <is>
          <t>clstbiw-acu-oasy-p06-sn1150</t>
        </is>
      </c>
      <c r="C4374" s="4" t="inlineStr">
        <is>
          <t>W00031886A</t>
        </is>
      </c>
      <c r="D4374" s="6">
        <f>IF(F4374&gt;=5, F4374-5, IF(F4374&lt;5, 0, F4374))</f>
        <v/>
      </c>
      <c r="E4374">
        <f>VLOOKUP(B4374,[1]Namshi!$A:$B,2,0)</f>
        <v/>
      </c>
      <c r="F4374" s="4">
        <f>SUMIFS('Dubai Stock'!I:I,'Dubai Stock'!H:H,Final_UAE!B:B)</f>
        <v/>
      </c>
      <c r="H4374" s="8" t="e">
        <v>#N/A</v>
      </c>
      <c r="I4374" s="8" t="n"/>
    </row>
    <row r="4375">
      <c r="A4375" s="4" t="n">
        <v>33834</v>
      </c>
      <c r="B4375" s="4" t="inlineStr">
        <is>
          <t>clstdai-lay-cont-p30-dazzle-black-sn0550</t>
        </is>
      </c>
      <c r="C4375" s="4" t="inlineStr">
        <is>
          <t>W00031886A</t>
        </is>
      </c>
      <c r="D4375" s="6">
        <f>IF(F4375&gt;=5, F4375-5, IF(F4375&lt;5, 0, F4375))</f>
        <v/>
      </c>
      <c r="E4375">
        <f>VLOOKUP(B4375,[1]Namshi!$A:$B,2,0)</f>
        <v/>
      </c>
      <c r="F4375" s="4">
        <f>SUMIFS('Dubai Stock'!I:I,'Dubai Stock'!H:H,Final_UAE!B:B)</f>
        <v/>
      </c>
      <c r="H4375" s="8" t="e">
        <v>#N/A</v>
      </c>
      <c r="I4375" s="8" t="n"/>
    </row>
    <row r="4376">
      <c r="A4376" s="4" t="n">
        <v>33834</v>
      </c>
      <c r="B4376" s="4" t="inlineStr">
        <is>
          <t>sw30707-bla-000215-0707-61</t>
        </is>
      </c>
      <c r="C4376" s="4" t="inlineStr">
        <is>
          <t>W00031886A</t>
        </is>
      </c>
      <c r="D4376" s="6">
        <f>IF(F4376&gt;=5, F4376-5, IF(F4376&lt;5, 0, F4376))</f>
        <v/>
      </c>
      <c r="E4376">
        <f>VLOOKUP(B4376,[1]Namshi!$A:$B,2,0)</f>
        <v/>
      </c>
      <c r="F4376" s="4">
        <f>SUMIFS('Dubai Stock'!I:I,'Dubai Stock'!H:H,Final_UAE!B:B)</f>
        <v/>
      </c>
      <c r="H4376" s="8" t="e">
        <v>#N/A</v>
      </c>
    </row>
    <row r="4377">
      <c r="A4377" s="4" t="n">
        <v>33834</v>
      </c>
      <c r="B4377" s="4" t="inlineStr">
        <is>
          <t>clstdai-acu-dfrb-p60-sn0300</t>
        </is>
      </c>
      <c r="C4377" s="4" t="inlineStr">
        <is>
          <t>W00031886A</t>
        </is>
      </c>
      <c r="D4377" s="6">
        <f>IF(F4377&gt;=5, F4377-5, IF(F4377&lt;5, 0, F4377))</f>
        <v/>
      </c>
      <c r="E4377">
        <f>VLOOKUP(B4377,[1]Namshi!$A:$B,2,0)</f>
        <v/>
      </c>
      <c r="F4377" s="4">
        <f>SUMIFS('Dubai Stock'!I:I,'Dubai Stock'!H:H,Final_UAE!B:B)</f>
        <v/>
      </c>
      <c r="H4377" s="8" t="e">
        <v>#N/A</v>
      </c>
      <c r="I4377" s="8" t="n"/>
    </row>
    <row r="4378">
      <c r="A4378" s="4" t="n">
        <v>33834</v>
      </c>
      <c r="B4378" s="4" t="inlineStr">
        <is>
          <t>sc22006-bab-000501-2006-46</t>
        </is>
      </c>
      <c r="C4378" s="4" t="inlineStr">
        <is>
          <t>W00031886A</t>
        </is>
      </c>
      <c r="D4378" s="6">
        <f>IF(F4378&gt;=5, F4378-5, IF(F4378&lt;5, 0, F4378))</f>
        <v/>
      </c>
      <c r="E4378">
        <f>VLOOKUP(B4378,[1]Namshi!$A:$B,2,0)</f>
        <v/>
      </c>
      <c r="F4378" s="4">
        <f>SUMIFS('Dubai Stock'!I:I,'Dubai Stock'!H:H,Final_UAE!B:B)</f>
        <v/>
      </c>
      <c r="H4378" s="8" t="e">
        <v>#N/A</v>
      </c>
    </row>
    <row r="4379">
      <c r="A4379" s="4" t="n">
        <v>33834</v>
      </c>
      <c r="B4379" s="4" t="inlineStr">
        <is>
          <t>clstdai-eve-elit-p30-sn0550</t>
        </is>
      </c>
      <c r="C4379" s="4" t="inlineStr">
        <is>
          <t>W00031886A</t>
        </is>
      </c>
      <c r="D4379" s="6">
        <f>IF(F4379&gt;=5, F4379-5, IF(F4379&lt;5, 0, F4379))</f>
        <v/>
      </c>
      <c r="E4379">
        <f>VLOOKUP(B4379,[1]Namshi!$A:$B,2,0)</f>
        <v/>
      </c>
      <c r="F4379" s="4">
        <f>SUMIFS('Dubai Stock'!I:I,'Dubai Stock'!H:H,Final_UAE!B:B)</f>
        <v/>
      </c>
      <c r="H4379" s="8" t="n">
        <v>261</v>
      </c>
      <c r="I4379" s="8" t="n">
        <v>146.3</v>
      </c>
    </row>
    <row r="4380">
      <c r="A4380" s="4" t="n">
        <v>33834</v>
      </c>
      <c r="B4380" s="4" t="inlineStr">
        <is>
          <t>su100702-30s-000457-0702-49</t>
        </is>
      </c>
      <c r="C4380" s="4" t="inlineStr">
        <is>
          <t>W00031886A</t>
        </is>
      </c>
      <c r="D4380" s="6">
        <f>IF(F4380&gt;=5, F4380-5, IF(F4380&lt;5, 0, F4380))</f>
        <v/>
      </c>
      <c r="E4380">
        <f>VLOOKUP(B4380,[1]Namshi!$A:$B,2,0)</f>
        <v/>
      </c>
      <c r="F4380" s="4">
        <f>SUMIFS('Dubai Stock'!I:I,'Dubai Stock'!H:H,Final_UAE!B:B)</f>
        <v/>
      </c>
      <c r="H4380" s="8" t="e">
        <v>#N/A</v>
      </c>
    </row>
    <row r="4381">
      <c r="A4381" s="4" t="n">
        <v>33834</v>
      </c>
      <c r="B4381" s="4" t="inlineStr">
        <is>
          <t>bc50918-bab-000503-0918-46</t>
        </is>
      </c>
      <c r="C4381" s="4" t="inlineStr">
        <is>
          <t>W00031886A</t>
        </is>
      </c>
      <c r="D4381" s="6">
        <f>IF(F4381&gt;=5, F4381-5, IF(F4381&lt;5, 0, F4381))</f>
        <v/>
      </c>
      <c r="E4381">
        <f>VLOOKUP(B4381,[1]Namshi!$A:$B,2,0)</f>
        <v/>
      </c>
      <c r="F4381" s="4">
        <f>SUMIFS('Dubai Stock'!I:I,'Dubai Stock'!H:H,Final_UAE!B:B)</f>
        <v/>
      </c>
      <c r="H4381" s="8" t="e">
        <v>#N/A</v>
      </c>
    </row>
    <row r="4382">
      <c r="A4382" s="4" t="n">
        <v>33834</v>
      </c>
      <c r="B4382" s="4" t="inlineStr">
        <is>
          <t>cost3mo-lay-2021-p02-sunkiss-brown-sn0325</t>
        </is>
      </c>
      <c r="C4382" s="4" t="inlineStr">
        <is>
          <t>W00031886A</t>
        </is>
      </c>
      <c r="D4382" s="6">
        <f>IF(F4382&gt;=5, F4382-5, IF(F4382&lt;5, 0, F4382))</f>
        <v/>
      </c>
      <c r="E4382">
        <f>VLOOKUP(B4382,[1]Namshi!$A:$B,2,0)</f>
        <v/>
      </c>
      <c r="F4382" s="4">
        <f>SUMIFS('Dubai Stock'!I:I,'Dubai Stock'!H:H,Final_UAE!B:B)</f>
        <v/>
      </c>
      <c r="H4382" s="8" t="e">
        <v>#N/A</v>
      </c>
      <c r="I4382" s="8" t="n"/>
    </row>
    <row r="4383">
      <c r="A4383" s="4" t="n">
        <v>33834</v>
      </c>
      <c r="B4383" s="4" t="inlineStr">
        <is>
          <t>cost3mo-lay-2022-p02-royal-green-sn0450</t>
        </is>
      </c>
      <c r="C4383" s="4" t="inlineStr">
        <is>
          <t>W00031886A</t>
        </is>
      </c>
      <c r="D4383" s="6">
        <f>IF(F4383&gt;=5, F4383-5, IF(F4383&lt;5, 0, F4383))</f>
        <v/>
      </c>
      <c r="E4383">
        <f>VLOOKUP(B4383,[1]Namshi!$A:$B,2,0)</f>
        <v/>
      </c>
      <c r="F4383" s="4">
        <f>SUMIFS('Dubai Stock'!I:I,'Dubai Stock'!H:H,Final_UAE!B:B)</f>
        <v/>
      </c>
      <c r="H4383" s="8" t="e">
        <v>#N/A</v>
      </c>
      <c r="I4383" s="8" t="n"/>
    </row>
    <row r="4384">
      <c r="A4384" s="4" t="n">
        <v>33834</v>
      </c>
      <c r="B4384" s="4" t="inlineStr">
        <is>
          <t>bc22018-bab-000501-2018-46</t>
        </is>
      </c>
      <c r="C4384" s="4" t="inlineStr">
        <is>
          <t>W00031886A</t>
        </is>
      </c>
      <c r="D4384" s="6">
        <f>IF(F4384&gt;=5, F4384-5, IF(F4384&lt;5, 0, F4384))</f>
        <v/>
      </c>
      <c r="E4384">
        <f>VLOOKUP(B4384,[1]Namshi!$A:$B,2,0)</f>
        <v/>
      </c>
      <c r="F4384" s="4">
        <f>SUMIFS('Dubai Stock'!I:I,'Dubai Stock'!H:H,Final_UAE!B:B)</f>
        <v/>
      </c>
      <c r="H4384" s="8" t="e">
        <v>#N/A</v>
      </c>
    </row>
    <row r="4385">
      <c r="A4385" s="4" t="n">
        <v>33834</v>
      </c>
      <c r="B4385" s="4" t="inlineStr">
        <is>
          <t>costmon-ama-lens-p02-mocca-sn0050</t>
        </is>
      </c>
      <c r="C4385" s="4" t="inlineStr">
        <is>
          <t>W00031886A</t>
        </is>
      </c>
      <c r="D4385" s="6">
        <f>IF(F4385&gt;=5, F4385-5, IF(F4385&lt;5, 0, F4385))</f>
        <v/>
      </c>
      <c r="E4385">
        <f>VLOOKUP(B4385,[1]Namshi!$A:$B,2,0)</f>
        <v/>
      </c>
      <c r="F4385" s="4">
        <f>SUMIFS('Dubai Stock'!I:I,'Dubai Stock'!H:H,Final_UAE!B:B)</f>
        <v/>
      </c>
      <c r="H4385" s="8" t="e">
        <v>#N/A</v>
      </c>
      <c r="I4385" s="8" t="n"/>
    </row>
    <row r="4386">
      <c r="A4386" s="4" t="n">
        <v>33834</v>
      </c>
      <c r="B4386" s="4" t="inlineStr">
        <is>
          <t>cost3mo-lay-lens-p02-golden-brown-sn0175</t>
        </is>
      </c>
      <c r="C4386" s="4" t="inlineStr">
        <is>
          <t>W00031886A</t>
        </is>
      </c>
      <c r="D4386" s="6">
        <f>IF(F4386&gt;=5, F4386-5, IF(F4386&lt;5, 0, F4386))</f>
        <v/>
      </c>
      <c r="E4386">
        <f>VLOOKUP(B4386,[1]Namshi!$A:$B,2,0)</f>
        <v/>
      </c>
      <c r="F4386" s="4">
        <f>SUMIFS('Dubai Stock'!I:I,'Dubai Stock'!H:H,Final_UAE!B:B)</f>
        <v/>
      </c>
      <c r="H4386" s="8" t="e">
        <v>#N/A</v>
      </c>
      <c r="I4386" s="8" t="n"/>
    </row>
    <row r="4387">
      <c r="A4387" s="4" t="n">
        <v>33834</v>
      </c>
      <c r="B4387" s="4" t="inlineStr">
        <is>
          <t>sw20107-bla-000217-2901-57</t>
        </is>
      </c>
      <c r="C4387" s="4" t="inlineStr">
        <is>
          <t>W00031886A</t>
        </is>
      </c>
      <c r="D4387" s="6">
        <f>IF(F4387&gt;=5, F4387-5, IF(F4387&lt;5, 0, F4387))</f>
        <v/>
      </c>
      <c r="E4387">
        <f>VLOOKUP(B4387,[1]Namshi!$A:$B,2,0)</f>
        <v/>
      </c>
      <c r="F4387" s="4">
        <f>SUMIFS('Dubai Stock'!I:I,'Dubai Stock'!H:H,Final_UAE!B:B)</f>
        <v/>
      </c>
      <c r="H4387" s="8" t="e">
        <v>#N/A</v>
      </c>
    </row>
    <row r="4388">
      <c r="A4388" s="4" t="n">
        <v>33834</v>
      </c>
      <c r="B4388" s="4" t="inlineStr">
        <is>
          <t>fc20218-bab-000535-0918-47</t>
        </is>
      </c>
      <c r="C4388" s="4" t="inlineStr">
        <is>
          <t>W00031886A</t>
        </is>
      </c>
      <c r="D4388" s="6">
        <f>IF(F4388&gt;=5, F4388-5, IF(F4388&lt;5, 0, F4388))</f>
        <v/>
      </c>
      <c r="E4388">
        <f>VLOOKUP(B4388,[1]Namshi!$A:$B,2,0)</f>
        <v/>
      </c>
      <c r="F4388" s="4">
        <f>SUMIFS('Dubai Stock'!I:I,'Dubai Stock'!H:H,Final_UAE!B:B)</f>
        <v/>
      </c>
      <c r="H4388" s="8" t="e">
        <v>#N/A</v>
      </c>
      <c r="I4388" s="8" t="n"/>
    </row>
    <row r="4389">
      <c r="A4389" s="4" t="n">
        <v>33834</v>
      </c>
      <c r="B4389" s="4" t="inlineStr">
        <is>
          <t>clstdai-acu-oasy-p120-sn0850</t>
        </is>
      </c>
      <c r="C4389" s="4" t="inlineStr">
        <is>
          <t>W00031886A</t>
        </is>
      </c>
      <c r="D4389" s="6">
        <f>IF(F4389&gt;=5, F4389-5, IF(F4389&lt;5, 0, F4389))</f>
        <v/>
      </c>
      <c r="E4389">
        <f>VLOOKUP(B4389,[1]Namshi!$A:$B,2,0)</f>
        <v/>
      </c>
      <c r="F4389" s="4">
        <f>SUMIFS('Dubai Stock'!I:I,'Dubai Stock'!H:H,Final_UAE!B:B)</f>
        <v/>
      </c>
      <c r="H4389" s="8" t="e">
        <v>#N/A</v>
      </c>
      <c r="I4389" s="8" t="n"/>
    </row>
    <row r="4390">
      <c r="A4390" s="4" t="n">
        <v>33834</v>
      </c>
      <c r="B4390" s="4" t="inlineStr">
        <is>
          <t>costmon-ama-lens-p02-mocca-sn0600</t>
        </is>
      </c>
      <c r="C4390" s="4" t="inlineStr">
        <is>
          <t>W00031886A</t>
        </is>
      </c>
      <c r="D4390" s="6">
        <f>IF(F4390&gt;=5, F4390-5, IF(F4390&lt;5, 0, F4390))</f>
        <v/>
      </c>
      <c r="E4390">
        <f>VLOOKUP(B4390,[1]Namshi!$A:$B,2,0)</f>
        <v/>
      </c>
      <c r="F4390" s="4">
        <f>SUMIFS('Dubai Stock'!I:I,'Dubai Stock'!H:H,Final_UAE!B:B)</f>
        <v/>
      </c>
      <c r="H4390" s="8" t="e">
        <v>#N/A</v>
      </c>
      <c r="I4390" s="8" t="n"/>
    </row>
    <row r="4391">
      <c r="A4391" s="4" t="n">
        <v>33834</v>
      </c>
      <c r="B4391" s="4" t="inlineStr">
        <is>
          <t>clstdai-acu-dfvi-p30-sn0350</t>
        </is>
      </c>
      <c r="C4391" s="4" t="inlineStr">
        <is>
          <t>W00031886A</t>
        </is>
      </c>
      <c r="D4391" s="6">
        <f>IF(F4391&gt;=5, F4391-5, IF(F4391&lt;5, 0, F4391))</f>
        <v/>
      </c>
      <c r="E4391">
        <f>VLOOKUP(B4391,[1]Namshi!$A:$B,2,0)</f>
        <v/>
      </c>
      <c r="F4391" s="4">
        <f>SUMIFS('Dubai Stock'!I:I,'Dubai Stock'!H:H,Final_UAE!B:B)</f>
        <v/>
      </c>
      <c r="H4391" s="8" t="e">
        <v>#N/A</v>
      </c>
      <c r="I4391" s="8" t="n"/>
    </row>
    <row r="4392">
      <c r="A4392" s="4" t="n">
        <v>33834</v>
      </c>
      <c r="B4392" s="4" t="inlineStr">
        <is>
          <t>clstdai-lay-cont-p30-dazzle-black-sn0375</t>
        </is>
      </c>
      <c r="C4392" s="4" t="inlineStr">
        <is>
          <t>W00031886A</t>
        </is>
      </c>
      <c r="D4392" s="6">
        <f>IF(F4392&gt;=5, F4392-5, IF(F4392&lt;5, 0, F4392))</f>
        <v/>
      </c>
      <c r="E4392">
        <f>VLOOKUP(B4392,[1]Namshi!$A:$B,2,0)</f>
        <v/>
      </c>
      <c r="F4392" s="4">
        <f>SUMIFS('Dubai Stock'!I:I,'Dubai Stock'!H:H,Final_UAE!B:B)</f>
        <v/>
      </c>
      <c r="H4392" s="8" t="e">
        <v>#N/A</v>
      </c>
      <c r="I4392" s="8" t="n"/>
    </row>
    <row r="4393">
      <c r="A4393" s="4" t="n">
        <v>33834</v>
      </c>
      <c r="B4393" s="4" t="inlineStr">
        <is>
          <t>clstdai-dai-tot1-p90-sn0600</t>
        </is>
      </c>
      <c r="C4393" s="4" t="inlineStr">
        <is>
          <t>W00031886A</t>
        </is>
      </c>
      <c r="D4393" s="6">
        <f>IF(F4393&gt;=5, F4393-5, IF(F4393&lt;5, 0, F4393))</f>
        <v/>
      </c>
      <c r="E4393">
        <f>VLOOKUP(B4393,[1]Namshi!$A:$B,2,0)</f>
        <v/>
      </c>
      <c r="F4393" s="4">
        <f>SUMIFS('Dubai Stock'!I:I,'Dubai Stock'!H:H,Final_UAE!B:B)</f>
        <v/>
      </c>
      <c r="H4393" s="8" t="e">
        <v>#N/A</v>
      </c>
      <c r="I4393" s="8" t="n"/>
    </row>
    <row r="4394">
      <c r="A4394" s="4" t="n">
        <v>33834</v>
      </c>
      <c r="B4394" s="4" t="inlineStr">
        <is>
          <t>clstdai-acu-dfna-p60-sn0200</t>
        </is>
      </c>
      <c r="C4394" s="4" t="inlineStr">
        <is>
          <t>W00031886A</t>
        </is>
      </c>
      <c r="D4394" s="6">
        <f>IF(F4394&gt;=5, F4394-5, IF(F4394&lt;5, 0, F4394))</f>
        <v/>
      </c>
      <c r="E4394">
        <f>VLOOKUP(B4394,[1]Namshi!$A:$B,2,0)</f>
        <v/>
      </c>
      <c r="F4394" s="4">
        <f>SUMIFS('Dubai Stock'!I:I,'Dubai Stock'!H:H,Final_UAE!B:B)</f>
        <v/>
      </c>
      <c r="H4394" s="8" t="e">
        <v>#N/A</v>
      </c>
      <c r="I4394" s="8" t="n"/>
    </row>
    <row r="4395">
      <c r="A4395" s="4" t="n">
        <v>33834</v>
      </c>
      <c r="B4395" s="4" t="inlineStr">
        <is>
          <t>fw30618-spc-000808-0618-59</t>
        </is>
      </c>
      <c r="C4395" s="4" t="inlineStr">
        <is>
          <t>W00031886A</t>
        </is>
      </c>
      <c r="D4395" s="6">
        <f>IF(F4395&gt;=5, F4395-5, IF(F4395&lt;5, 0, F4395))</f>
        <v/>
      </c>
      <c r="E4395">
        <f>VLOOKUP(B4395,[1]Namshi!$A:$B,2,0)</f>
        <v/>
      </c>
      <c r="F4395" s="4">
        <f>SUMIFS('Dubai Stock'!I:I,'Dubai Stock'!H:H,Final_UAE!B:B)</f>
        <v/>
      </c>
      <c r="H4395" s="8" t="e">
        <v>#N/A</v>
      </c>
      <c r="I4395" s="8" t="n"/>
    </row>
    <row r="4396">
      <c r="A4396" s="4" t="n">
        <v>33834</v>
      </c>
      <c r="B4396" s="4" t="inlineStr">
        <is>
          <t>su100107-30s-00277-0107p-52</t>
        </is>
      </c>
      <c r="C4396" s="4" t="inlineStr">
        <is>
          <t>W00031886A</t>
        </is>
      </c>
      <c r="D4396" s="6">
        <f>IF(F4396&gt;=5, F4396-5, IF(F4396&lt;5, 0, F4396))</f>
        <v/>
      </c>
      <c r="E4396">
        <f>VLOOKUP(B4396,[1]Namshi!$A:$B,2,0)</f>
        <v/>
      </c>
      <c r="F4396" s="4">
        <f>SUMIFS('Dubai Stock'!I:I,'Dubai Stock'!H:H,Final_UAE!B:B)</f>
        <v/>
      </c>
      <c r="H4396" s="8" t="e">
        <v>#N/A</v>
      </c>
    </row>
    <row r="4397">
      <c r="A4397" s="4" t="n">
        <v>33834</v>
      </c>
      <c r="B4397" s="4" t="inlineStr">
        <is>
          <t>sm70404-30s-000209-0404-60</t>
        </is>
      </c>
      <c r="C4397" s="4" t="inlineStr">
        <is>
          <t>W00031886A</t>
        </is>
      </c>
      <c r="D4397" s="6">
        <f>IF(F4397&gt;=5, F4397-5, IF(F4397&lt;5, 0, F4397))</f>
        <v/>
      </c>
      <c r="E4397">
        <f>VLOOKUP(B4397,[1]Namshi!$A:$B,2,0)</f>
        <v/>
      </c>
      <c r="F4397" s="4">
        <f>SUMIFS('Dubai Stock'!I:I,'Dubai Stock'!H:H,Final_UAE!B:B)</f>
        <v/>
      </c>
      <c r="H4397" s="8" t="e">
        <v>#N/A</v>
      </c>
    </row>
    <row r="4398">
      <c r="A4398" s="4" t="n">
        <v>33834</v>
      </c>
      <c r="B4398" s="4" t="inlineStr">
        <is>
          <t>costmon-ama-2020-p02-pure-hazel-sn0550</t>
        </is>
      </c>
      <c r="C4398" s="4" t="inlineStr">
        <is>
          <t>W00031886A</t>
        </is>
      </c>
      <c r="D4398" s="6">
        <f>IF(F4398&gt;=5, F4398-5, IF(F4398&lt;5, 0, F4398))</f>
        <v/>
      </c>
      <c r="E4398">
        <f>VLOOKUP(B4398,[1]Namshi!$A:$B,2,0)</f>
        <v/>
      </c>
      <c r="F4398" s="4">
        <f>SUMIFS('Dubai Stock'!I:I,'Dubai Stock'!H:H,Final_UAE!B:B)</f>
        <v/>
      </c>
      <c r="H4398" s="8" t="e">
        <v>#N/A</v>
      </c>
      <c r="I4398" s="8" t="n"/>
    </row>
    <row r="4399">
      <c r="A4399" s="4" t="n">
        <v>33834</v>
      </c>
      <c r="B4399" s="4" t="inlineStr">
        <is>
          <t>clstdai-dai-aqua-p90-sp0325</t>
        </is>
      </c>
      <c r="C4399" s="4" t="inlineStr">
        <is>
          <t>W00031886A</t>
        </is>
      </c>
      <c r="D4399" s="6">
        <f>IF(F4399&gt;=5, F4399-5, IF(F4399&lt;5, 0, F4399))</f>
        <v/>
      </c>
      <c r="E4399">
        <f>VLOOKUP(B4399,[1]Namshi!$A:$B,2,0)</f>
        <v/>
      </c>
      <c r="F4399" s="4">
        <f>SUMIFS('Dubai Stock'!I:I,'Dubai Stock'!H:H,Final_UAE!B:B)</f>
        <v/>
      </c>
      <c r="H4399" s="8" t="e">
        <v>#N/A</v>
      </c>
      <c r="I4399" s="8" t="n"/>
    </row>
    <row r="4400">
      <c r="A4400" s="4" t="n">
        <v>33834</v>
      </c>
      <c r="B4400" s="4" t="inlineStr">
        <is>
          <t>cost3mo-cel-natu-p01-light-grey-sp0250</t>
        </is>
      </c>
      <c r="C4400" s="4" t="inlineStr">
        <is>
          <t>W00031886A</t>
        </is>
      </c>
      <c r="D4400" s="6">
        <f>IF(F4400&gt;=5, F4400-5, IF(F4400&lt;5, 0, F4400))</f>
        <v/>
      </c>
      <c r="E4400">
        <f>VLOOKUP(B4400,[1]Namshi!$A:$B,2,0)</f>
        <v/>
      </c>
      <c r="F4400" s="4">
        <f>SUMIFS('Dubai Stock'!I:I,'Dubai Stock'!H:H,Final_UAE!B:B)</f>
        <v/>
      </c>
      <c r="H4400" s="8" t="e">
        <v>#N/A</v>
      </c>
      <c r="I4400" s="8" t="n"/>
    </row>
    <row r="4401">
      <c r="A4401" s="4" t="n">
        <v>33834</v>
      </c>
      <c r="B4401" s="4" t="inlineStr">
        <is>
          <t>costmon-ama-2022-p02-cocoa-sn0300</t>
        </is>
      </c>
      <c r="C4401" s="4" t="inlineStr">
        <is>
          <t>W00031886A</t>
        </is>
      </c>
      <c r="D4401" s="6">
        <f>IF(F4401&gt;=5, F4401-5, IF(F4401&lt;5, 0, F4401))</f>
        <v/>
      </c>
      <c r="E4401">
        <f>VLOOKUP(B4401,[1]Namshi!$A:$B,2,0)</f>
        <v/>
      </c>
      <c r="F4401" s="4">
        <f>SUMIFS('Dubai Stock'!I:I,'Dubai Stock'!H:H,Final_UAE!B:B)</f>
        <v/>
      </c>
      <c r="H4401" s="8" t="e">
        <v>#N/A</v>
      </c>
      <c r="I4401" s="8" t="n"/>
    </row>
    <row r="4402">
      <c r="A4402" s="4" t="n">
        <v>33834</v>
      </c>
      <c r="B4402" s="4" t="inlineStr">
        <is>
          <t>clstdai-eve-elit-p90-sn0250</t>
        </is>
      </c>
      <c r="C4402" s="4" t="inlineStr">
        <is>
          <t>W00031886A</t>
        </is>
      </c>
      <c r="D4402" s="6">
        <f>IF(F4402&gt;=5, F4402-5, IF(F4402&lt;5, 0, F4402))</f>
        <v/>
      </c>
      <c r="E4402">
        <f>VLOOKUP(B4402,[1]Namshi!$A:$B,2,0)</f>
        <v/>
      </c>
      <c r="F4402" s="4">
        <f>SUMIFS('Dubai Stock'!I:I,'Dubai Stock'!H:H,Final_UAE!B:B)</f>
        <v/>
      </c>
      <c r="H4402" s="8" t="n">
        <v>729</v>
      </c>
      <c r="I4402" s="8" t="n">
        <v>357</v>
      </c>
    </row>
    <row r="4403">
      <c r="A4403" s="4" t="n">
        <v>33834</v>
      </c>
      <c r="B4403" s="4" t="inlineStr">
        <is>
          <t>clstmon-bme-bm55-p06-sn0650</t>
        </is>
      </c>
      <c r="C4403" s="4" t="inlineStr">
        <is>
          <t>W00031886A</t>
        </is>
      </c>
      <c r="D4403" s="6">
        <f>IF(F4403&gt;=5, F4403-5, IF(F4403&lt;5, 0, F4403))</f>
        <v/>
      </c>
      <c r="E4403">
        <f>VLOOKUP(B4403,[1]Namshi!$A:$B,2,0)</f>
        <v/>
      </c>
      <c r="F4403" s="4">
        <f>SUMIFS('Dubai Stock'!I:I,'Dubai Stock'!H:H,Final_UAE!B:B)</f>
        <v/>
      </c>
      <c r="H4403" s="8" t="e">
        <v>#N/A</v>
      </c>
      <c r="I4403" s="8" t="n"/>
    </row>
    <row r="4404">
      <c r="A4404" s="4" t="n">
        <v>33834</v>
      </c>
      <c r="B4404" s="4" t="inlineStr">
        <is>
          <t>clstdai-btr-oned-p90-sn0050</t>
        </is>
      </c>
      <c r="C4404" s="4" t="inlineStr">
        <is>
          <t>W00031886A</t>
        </is>
      </c>
      <c r="D4404" s="6">
        <f>IF(F4404&gt;=5, F4404-5, IF(F4404&lt;5, 0, F4404))</f>
        <v/>
      </c>
      <c r="E4404">
        <f>VLOOKUP(B4404,[1]Namshi!$A:$B,2,0)</f>
        <v/>
      </c>
      <c r="F4404" s="4">
        <f>SUMIFS('Dubai Stock'!I:I,'Dubai Stock'!H:H,Final_UAE!B:B)</f>
        <v/>
      </c>
      <c r="H4404" s="8" t="e">
        <v>#N/A</v>
      </c>
      <c r="I4404" s="8" t="n"/>
    </row>
    <row r="4405">
      <c r="A4405" s="4" t="n">
        <v>33834</v>
      </c>
      <c r="B4405" s="4" t="inlineStr">
        <is>
          <t>fm20418-spc-000545-0400-51</t>
        </is>
      </c>
      <c r="C4405" s="4" t="inlineStr">
        <is>
          <t>W00031886A</t>
        </is>
      </c>
      <c r="D4405" s="6">
        <f>IF(F4405&gt;=5, F4405-5, IF(F4405&lt;5, 0, F4405))</f>
        <v/>
      </c>
      <c r="E4405">
        <f>VLOOKUP(B4405,[1]Namshi!$A:$B,2,0)</f>
        <v/>
      </c>
      <c r="F4405" s="4">
        <f>SUMIFS('Dubai Stock'!I:I,'Dubai Stock'!H:H,Final_UAE!B:B)</f>
        <v/>
      </c>
      <c r="H4405" s="8" t="e">
        <v>#N/A</v>
      </c>
      <c r="I4405" s="8" t="n"/>
    </row>
    <row r="4406">
      <c r="A4406" s="4" t="n">
        <v>33834</v>
      </c>
      <c r="B4406" s="4" t="inlineStr">
        <is>
          <t>costdai-acu-dffr-p10-rose-sn0100</t>
        </is>
      </c>
      <c r="C4406" s="4" t="inlineStr">
        <is>
          <t>W00031886A</t>
        </is>
      </c>
      <c r="D4406" s="6">
        <f>IF(F4406&gt;=5, F4406-5, IF(F4406&lt;5, 0, F4406))</f>
        <v/>
      </c>
      <c r="E4406">
        <f>VLOOKUP(B4406,[1]Namshi!$A:$B,2,0)</f>
        <v/>
      </c>
      <c r="F4406" s="4">
        <f>SUMIFS('Dubai Stock'!I:I,'Dubai Stock'!H:H,Final_UAE!B:B)</f>
        <v/>
      </c>
      <c r="H4406" s="8" t="e">
        <v>#N/A</v>
      </c>
      <c r="I4406" s="8" t="n"/>
    </row>
    <row r="4407">
      <c r="A4407" s="4" t="n">
        <v>33834</v>
      </c>
      <c r="B4407" s="4" t="inlineStr">
        <is>
          <t>costmon-ama-2020-p02-pure-hazel-sn0900</t>
        </is>
      </c>
      <c r="C4407" s="4" t="inlineStr">
        <is>
          <t>W00031886A</t>
        </is>
      </c>
      <c r="D4407" s="6">
        <f>IF(F4407&gt;=5, F4407-5, IF(F4407&lt;5, 0, F4407))</f>
        <v/>
      </c>
      <c r="E4407">
        <f>VLOOKUP(B4407,[1]Namshi!$A:$B,2,0)</f>
        <v/>
      </c>
      <c r="F4407" s="4">
        <f>SUMIFS('Dubai Stock'!I:I,'Dubai Stock'!H:H,Final_UAE!B:B)</f>
        <v/>
      </c>
      <c r="H4407" s="8" t="e">
        <v>#N/A</v>
      </c>
      <c r="I4407" s="8" t="n"/>
    </row>
    <row r="4408">
      <c r="A4408" s="4" t="n">
        <v>33834</v>
      </c>
      <c r="B4408" s="4" t="inlineStr">
        <is>
          <t>costdai-ama-dail-p10-moon-stone-sn0525</t>
        </is>
      </c>
      <c r="C4408" s="4" t="inlineStr">
        <is>
          <t>W00031886A</t>
        </is>
      </c>
      <c r="D4408" s="6">
        <f>IF(F4408&gt;=5, F4408-5, IF(F4408&lt;5, 0, F4408))</f>
        <v/>
      </c>
      <c r="E4408">
        <f>VLOOKUP(B4408,[1]Namshi!$A:$B,2,0)</f>
        <v/>
      </c>
      <c r="F4408" s="4">
        <f>SUMIFS('Dubai Stock'!I:I,'Dubai Stock'!H:H,Final_UAE!B:B)</f>
        <v/>
      </c>
      <c r="H4408" s="8" t="e">
        <v>#N/A</v>
      </c>
      <c r="I4408" s="8" t="n"/>
    </row>
    <row r="4409">
      <c r="A4409" s="4" t="n">
        <v>33834</v>
      </c>
      <c r="B4409" s="4" t="inlineStr">
        <is>
          <t>clstdai-btr-oned-p90-sp0400</t>
        </is>
      </c>
      <c r="C4409" s="4" t="inlineStr">
        <is>
          <t>W00031886A</t>
        </is>
      </c>
      <c r="D4409" s="6">
        <f>IF(F4409&gt;=5, F4409-5, IF(F4409&lt;5, 0, F4409))</f>
        <v/>
      </c>
      <c r="E4409">
        <f>VLOOKUP(B4409,[1]Namshi!$A:$B,2,0)</f>
        <v/>
      </c>
      <c r="F4409" s="4">
        <f>SUMIFS('Dubai Stock'!I:I,'Dubai Stock'!H:H,Final_UAE!B:B)</f>
        <v/>
      </c>
      <c r="H4409" s="8" t="e">
        <v>#N/A</v>
      </c>
      <c r="I4409" s="8" t="n"/>
    </row>
    <row r="4410">
      <c r="A4410" s="4" t="n">
        <v>33834</v>
      </c>
      <c r="B4410" s="4" t="inlineStr">
        <is>
          <t>sw72904-bla-000251-2904-62</t>
        </is>
      </c>
      <c r="C4410" s="4" t="inlineStr">
        <is>
          <t>W00031886A</t>
        </is>
      </c>
      <c r="D4410" s="6">
        <f>IF(F4410&gt;=5, F4410-5, IF(F4410&lt;5, 0, F4410))</f>
        <v/>
      </c>
      <c r="E4410">
        <f>VLOOKUP(B4410,[1]Namshi!$A:$B,2,0)</f>
        <v/>
      </c>
      <c r="F4410" s="4">
        <f>SUMIFS('Dubai Stock'!I:I,'Dubai Stock'!H:H,Final_UAE!B:B)</f>
        <v/>
      </c>
      <c r="H4410" s="8" t="e">
        <v>#N/A</v>
      </c>
    </row>
    <row r="4411">
      <c r="A4411" s="4" t="n">
        <v>33834</v>
      </c>
      <c r="B4411" s="4" t="inlineStr">
        <is>
          <t>costdai-acu-dffr-p30-rose-sn0175</t>
        </is>
      </c>
      <c r="C4411" s="4" t="inlineStr">
        <is>
          <t>W00031886A</t>
        </is>
      </c>
      <c r="D4411" s="6">
        <f>IF(F4411&gt;=5, F4411-5, IF(F4411&lt;5, 0, F4411))</f>
        <v/>
      </c>
      <c r="E4411">
        <f>VLOOKUP(B4411,[1]Namshi!$A:$B,2,0)</f>
        <v/>
      </c>
      <c r="F4411" s="4">
        <f>SUMIFS('Dubai Stock'!I:I,'Dubai Stock'!H:H,Final_UAE!B:B)</f>
        <v/>
      </c>
      <c r="H4411" s="8" t="e">
        <v>#N/A</v>
      </c>
      <c r="I4411" s="8" t="n"/>
    </row>
    <row r="4412">
      <c r="A4412" s="4" t="n">
        <v>33834</v>
      </c>
      <c r="B4412" s="4" t="inlineStr">
        <is>
          <t>clstdai-acu-oasy-p120-sn0300</t>
        </is>
      </c>
      <c r="C4412" s="4" t="inlineStr">
        <is>
          <t>W00031886A</t>
        </is>
      </c>
      <c r="D4412" s="6">
        <f>IF(F4412&gt;=5, F4412-5, IF(F4412&lt;5, 0, F4412))</f>
        <v/>
      </c>
      <c r="E4412">
        <f>VLOOKUP(B4412,[1]Namshi!$A:$B,2,0)</f>
        <v/>
      </c>
      <c r="F4412" s="4">
        <f>SUMIFS('Dubai Stock'!I:I,'Dubai Stock'!H:H,Final_UAE!B:B)</f>
        <v/>
      </c>
      <c r="H4412" s="8" t="e">
        <v>#N/A</v>
      </c>
      <c r="I4412" s="8" t="n"/>
    </row>
    <row r="4413">
      <c r="A4413" s="4" t="n">
        <v>33834</v>
      </c>
      <c r="B4413" s="4" t="inlineStr">
        <is>
          <t>su10506-30s-000279-2906-55</t>
        </is>
      </c>
      <c r="C4413" s="4" t="inlineStr">
        <is>
          <t>W00031886A</t>
        </is>
      </c>
      <c r="D4413" s="6">
        <f>IF(F4413&gt;=5, F4413-5, IF(F4413&lt;5, 0, F4413))</f>
        <v/>
      </c>
      <c r="E4413">
        <f>VLOOKUP(B4413,[1]Namshi!$A:$B,2,0)</f>
        <v/>
      </c>
      <c r="F4413" s="4">
        <f>SUMIFS('Dubai Stock'!I:I,'Dubai Stock'!H:H,Final_UAE!B:B)</f>
        <v/>
      </c>
      <c r="H4413" s="8" t="e">
        <v>#N/A</v>
      </c>
    </row>
    <row r="4414">
      <c r="A4414" s="4" t="n">
        <v>33834</v>
      </c>
      <c r="B4414" s="4" t="inlineStr">
        <is>
          <t>sw20202-30s-000112-0202-50</t>
        </is>
      </c>
      <c r="C4414" s="4" t="inlineStr">
        <is>
          <t>W00031886A</t>
        </is>
      </c>
      <c r="D4414" s="6">
        <f>IF(F4414&gt;=5, F4414-5, IF(F4414&lt;5, 0, F4414))</f>
        <v/>
      </c>
      <c r="E4414">
        <f>VLOOKUP(B4414,[1]Namshi!$A:$B,2,0)</f>
        <v/>
      </c>
      <c r="F4414" s="4">
        <f>SUMIFS('Dubai Stock'!I:I,'Dubai Stock'!H:H,Final_UAE!B:B)</f>
        <v/>
      </c>
      <c r="H4414" s="8" t="e">
        <v>#N/A</v>
      </c>
    </row>
    <row r="4415">
      <c r="A4415" s="4" t="n">
        <v>33834</v>
      </c>
      <c r="B4415" s="4" t="inlineStr">
        <is>
          <t>sacchan-30s-gigi-silver</t>
        </is>
      </c>
      <c r="C4415" s="4" t="inlineStr">
        <is>
          <t>W00031886A</t>
        </is>
      </c>
      <c r="D4415" s="6">
        <f>IF(F4415&gt;=5, F4415-5, IF(F4415&lt;5, 0, F4415))</f>
        <v/>
      </c>
      <c r="E4415">
        <f>VLOOKUP(B4415,[1]Namshi!$A:$B,2,0)</f>
        <v/>
      </c>
      <c r="F4415" s="4">
        <f>SUMIFS('Dubai Stock'!I:I,'Dubai Stock'!H:H,Final_UAE!B:B)</f>
        <v/>
      </c>
      <c r="H4415" s="8" t="e">
        <v>#N/A</v>
      </c>
      <c r="I4415" s="8" t="n"/>
    </row>
    <row r="4416">
      <c r="A4416" s="4" t="n">
        <v>33834</v>
      </c>
      <c r="B4416" s="4" t="inlineStr">
        <is>
          <t>cost3mo-lay-lens-p02-ocean-blue-sn0075</t>
        </is>
      </c>
      <c r="C4416" s="4" t="inlineStr">
        <is>
          <t>W00031886A</t>
        </is>
      </c>
      <c r="D4416" s="6">
        <f>IF(F4416&gt;=5, F4416-5, IF(F4416&lt;5, 0, F4416))</f>
        <v/>
      </c>
      <c r="E4416">
        <f>VLOOKUP(B4416,[1]Namshi!$A:$B,2,0)</f>
        <v/>
      </c>
      <c r="F4416" s="4">
        <f>SUMIFS('Dubai Stock'!I:I,'Dubai Stock'!H:H,Final_UAE!B:B)</f>
        <v/>
      </c>
      <c r="H4416" s="8" t="e">
        <v>#N/A</v>
      </c>
      <c r="I4416" s="8" t="n"/>
    </row>
    <row r="4417">
      <c r="A4417" s="4" t="n">
        <v>33834</v>
      </c>
      <c r="B4417" s="4" t="inlineStr">
        <is>
          <t>clstdai-lay-cont-p60-dazzle-brown-sn0600</t>
        </is>
      </c>
      <c r="C4417" s="4" t="inlineStr">
        <is>
          <t>W00031886A</t>
        </is>
      </c>
      <c r="D4417" s="6">
        <f>IF(F4417&gt;=5, F4417-5, IF(F4417&lt;5, 0, F4417))</f>
        <v/>
      </c>
      <c r="E4417">
        <f>VLOOKUP(B4417,[1]Namshi!$A:$B,2,0)</f>
        <v/>
      </c>
      <c r="F4417" s="4">
        <f>SUMIFS('Dubai Stock'!I:I,'Dubai Stock'!H:H,Final_UAE!B:B)</f>
        <v/>
      </c>
      <c r="H4417" s="8" t="e">
        <v>#N/A</v>
      </c>
      <c r="I4417" s="8" t="n"/>
    </row>
    <row r="4418">
      <c r="A4418" s="4" t="n">
        <v>33834</v>
      </c>
      <c r="B4418" s="4" t="inlineStr">
        <is>
          <t>costmon-ama-2022-p02-tan-sn0175</t>
        </is>
      </c>
      <c r="C4418" s="4" t="inlineStr">
        <is>
          <t>W00031886A</t>
        </is>
      </c>
      <c r="D4418" s="6">
        <f>IF(F4418&gt;=5, F4418-5, IF(F4418&lt;5, 0, F4418))</f>
        <v/>
      </c>
      <c r="E4418">
        <f>VLOOKUP(B4418,[1]Namshi!$A:$B,2,0)</f>
        <v/>
      </c>
      <c r="F4418" s="4">
        <f>SUMIFS('Dubai Stock'!I:I,'Dubai Stock'!H:H,Final_UAE!B:B)</f>
        <v/>
      </c>
      <c r="H4418" s="8" t="e">
        <v>#N/A</v>
      </c>
      <c r="I4418" s="8" t="n"/>
    </row>
    <row r="4419">
      <c r="A4419" s="4" t="n">
        <v>33834</v>
      </c>
      <c r="B4419" s="4" t="inlineStr">
        <is>
          <t>clstdai-acu-oasy-p30-sn0250</t>
        </is>
      </c>
      <c r="C4419" s="4" t="inlineStr">
        <is>
          <t>W00031886A</t>
        </is>
      </c>
      <c r="D4419" s="6">
        <f>IF(F4419&gt;=5, F4419-5, IF(F4419&lt;5, 0, F4419))</f>
        <v/>
      </c>
      <c r="E4419">
        <f>VLOOKUP(B4419,[1]Namshi!$A:$B,2,0)</f>
        <v/>
      </c>
      <c r="F4419" s="4">
        <f>SUMIFS('Dubai Stock'!I:I,'Dubai Stock'!H:H,Final_UAE!B:B)</f>
        <v/>
      </c>
      <c r="H4419" s="8" t="e">
        <v>#N/A</v>
      </c>
      <c r="I4419" s="8" t="n"/>
    </row>
    <row r="4420">
      <c r="A4420" s="4" t="n">
        <v>33834</v>
      </c>
      <c r="B4420" s="4" t="inlineStr">
        <is>
          <t>sc20607-bab-000501-0607-46</t>
        </is>
      </c>
      <c r="C4420" s="4" t="inlineStr">
        <is>
          <t>W00031886A</t>
        </is>
      </c>
      <c r="D4420" s="6">
        <f>IF(F4420&gt;=5, F4420-5, IF(F4420&lt;5, 0, F4420))</f>
        <v/>
      </c>
      <c r="E4420">
        <f>VLOOKUP(B4420,[1]Namshi!$A:$B,2,0)</f>
        <v/>
      </c>
      <c r="F4420" s="4">
        <f>SUMIFS('Dubai Stock'!I:I,'Dubai Stock'!H:H,Final_UAE!B:B)</f>
        <v/>
      </c>
      <c r="H4420" s="8" t="e">
        <v>#N/A</v>
      </c>
    </row>
    <row r="4421">
      <c r="A4421" s="4" t="n">
        <v>33834</v>
      </c>
      <c r="B4421" s="4" t="inlineStr">
        <is>
          <t>sw100404-bla-000277-0404-58</t>
        </is>
      </c>
      <c r="C4421" s="4" t="inlineStr">
        <is>
          <t>W00031886A</t>
        </is>
      </c>
      <c r="D4421" s="6">
        <f>IF(F4421&gt;=5, F4421-5, IF(F4421&lt;5, 0, F4421))</f>
        <v/>
      </c>
      <c r="E4421">
        <f>VLOOKUP(B4421,[1]Namshi!$A:$B,2,0)</f>
        <v/>
      </c>
      <c r="F4421" s="4">
        <f>SUMIFS('Dubai Stock'!I:I,'Dubai Stock'!H:H,Final_UAE!B:B)</f>
        <v/>
      </c>
      <c r="H4421" s="8" t="e">
        <v>#N/A</v>
      </c>
    </row>
    <row r="4422">
      <c r="A4422" s="4" t="n">
        <v>33834</v>
      </c>
      <c r="B4422" s="4" t="inlineStr">
        <is>
          <t>sacchan-30s-chain138-blu-starla-dark-blue</t>
        </is>
      </c>
      <c r="C4422" s="4" t="inlineStr">
        <is>
          <t>W00031886A</t>
        </is>
      </c>
      <c r="D4422" s="6">
        <f>IF(F4422&gt;=5, F4422-5, IF(F4422&lt;5, 0, F4422))</f>
        <v/>
      </c>
      <c r="E4422">
        <f>VLOOKUP(B4422,[1]Namshi!$A:$B,2,0)</f>
        <v/>
      </c>
      <c r="F4422" s="4">
        <f>SUMIFS('Dubai Stock'!I:I,'Dubai Stock'!H:H,Final_UAE!B:B)</f>
        <v/>
      </c>
      <c r="H4422" s="8" t="e">
        <v>#N/A</v>
      </c>
      <c r="I4422" s="8" t="n"/>
    </row>
    <row r="4423">
      <c r="A4423" s="4" t="n">
        <v>33834</v>
      </c>
      <c r="B4423" s="4" t="inlineStr">
        <is>
          <t>sm53202-30s-000495-3202-52</t>
        </is>
      </c>
      <c r="C4423" s="4" t="inlineStr">
        <is>
          <t>W00031886A</t>
        </is>
      </c>
      <c r="D4423" s="6">
        <f>IF(F4423&gt;=5, F4423-5, IF(F4423&lt;5, 0, F4423))</f>
        <v/>
      </c>
      <c r="E4423">
        <f>VLOOKUP(B4423,[1]Namshi!$A:$B,2,0)</f>
        <v/>
      </c>
      <c r="F4423" s="4">
        <f>SUMIFS('Dubai Stock'!I:I,'Dubai Stock'!H:H,Final_UAE!B:B)</f>
        <v/>
      </c>
      <c r="H4423" s="8" t="e">
        <v>#N/A</v>
      </c>
      <c r="I4423" s="8" t="n"/>
    </row>
    <row r="4424">
      <c r="A4424" s="4" t="n">
        <v>33834</v>
      </c>
      <c r="B4424" s="4" t="inlineStr">
        <is>
          <t>clstbiw-acu-cle-p06-sn0325</t>
        </is>
      </c>
      <c r="C4424" s="4" t="inlineStr">
        <is>
          <t>W00031886A</t>
        </is>
      </c>
      <c r="D4424" s="6">
        <f>IF(F4424&gt;=5, F4424-5, IF(F4424&lt;5, 0, F4424))</f>
        <v/>
      </c>
      <c r="E4424">
        <f>VLOOKUP(B4424,[1]Namshi!$A:$B,2,0)</f>
        <v/>
      </c>
      <c r="F4424" s="4">
        <f>SUMIFS('Dubai Stock'!I:I,'Dubai Stock'!H:H,Final_UAE!B:B)</f>
        <v/>
      </c>
      <c r="H4424" s="8" t="e">
        <v>#N/A</v>
      </c>
      <c r="I4424" s="8" t="n"/>
    </row>
    <row r="4425">
      <c r="A4425" s="4" t="n">
        <v>33834</v>
      </c>
      <c r="B4425" s="4" t="inlineStr">
        <is>
          <t>costdai-ama-dail-p10-shadow-sn0075</t>
        </is>
      </c>
      <c r="C4425" s="4" t="inlineStr">
        <is>
          <t>W00031886A</t>
        </is>
      </c>
      <c r="D4425" s="6">
        <f>IF(F4425&gt;=5, F4425-5, IF(F4425&lt;5, 0, F4425))</f>
        <v/>
      </c>
      <c r="E4425">
        <f>VLOOKUP(B4425,[1]Namshi!$A:$B,2,0)</f>
        <v/>
      </c>
      <c r="F4425" s="4">
        <f>SUMIFS('Dubai Stock'!I:I,'Dubai Stock'!H:H,Final_UAE!B:B)</f>
        <v/>
      </c>
      <c r="H4425" s="8" t="e">
        <v>#N/A</v>
      </c>
      <c r="I4425" s="8" t="n"/>
    </row>
    <row r="4426">
      <c r="A4426" s="4" t="n">
        <v>33834</v>
      </c>
      <c r="B4426" s="4" t="inlineStr">
        <is>
          <t>clstdai-acu-dfrb-p60-sn0475</t>
        </is>
      </c>
      <c r="C4426" s="4" t="inlineStr">
        <is>
          <t>W00031886A</t>
        </is>
      </c>
      <c r="D4426" s="6">
        <f>IF(F4426&gt;=5, F4426-5, IF(F4426&lt;5, 0, F4426))</f>
        <v/>
      </c>
      <c r="E4426">
        <f>VLOOKUP(B4426,[1]Namshi!$A:$B,2,0)</f>
        <v/>
      </c>
      <c r="F4426" s="4">
        <f>SUMIFS('Dubai Stock'!I:I,'Dubai Stock'!H:H,Final_UAE!B:B)</f>
        <v/>
      </c>
      <c r="H4426" s="8" t="e">
        <v>#N/A</v>
      </c>
      <c r="I4426" s="8" t="n"/>
    </row>
    <row r="4427">
      <c r="A4427" s="4" t="n">
        <v>33834</v>
      </c>
      <c r="B4427" s="4" t="inlineStr">
        <is>
          <t>clstdai-dai-aqua-p30-sn0450</t>
        </is>
      </c>
      <c r="C4427" s="4" t="inlineStr">
        <is>
          <t>W00031886A</t>
        </is>
      </c>
      <c r="D4427" s="6">
        <f>IF(F4427&gt;=5, F4427-5, IF(F4427&lt;5, 0, F4427))</f>
        <v/>
      </c>
      <c r="E4427">
        <f>VLOOKUP(B4427,[1]Namshi!$A:$B,2,0)</f>
        <v/>
      </c>
      <c r="F4427" s="4">
        <f>SUMIFS('Dubai Stock'!I:I,'Dubai Stock'!H:H,Final_UAE!B:B)</f>
        <v/>
      </c>
      <c r="H4427" s="8" t="e">
        <v>#N/A</v>
      </c>
      <c r="I4427" s="8" t="n"/>
    </row>
    <row r="4428">
      <c r="A4428" s="4" t="n">
        <v>33834</v>
      </c>
      <c r="B4428" s="4" t="inlineStr">
        <is>
          <t>clstmon-eve-prom-p06-sn0475</t>
        </is>
      </c>
      <c r="C4428" s="4" t="inlineStr">
        <is>
          <t>W00031886A</t>
        </is>
      </c>
      <c r="D4428" s="6">
        <f>IF(F4428&gt;=5, F4428-5, IF(F4428&lt;5, 0, F4428))</f>
        <v/>
      </c>
      <c r="E4428">
        <f>VLOOKUP(B4428,[1]Namshi!$A:$B,2,0)</f>
        <v/>
      </c>
      <c r="F4428" s="4">
        <f>SUMIFS('Dubai Stock'!I:I,'Dubai Stock'!H:H,Final_UAE!B:B)</f>
        <v/>
      </c>
      <c r="H4428" s="8" t="n">
        <v>212</v>
      </c>
      <c r="I4428" s="8" t="n">
        <v>111.3</v>
      </c>
    </row>
    <row r="4429">
      <c r="A4429" s="4" t="n">
        <v>33834</v>
      </c>
      <c r="B4429" s="4" t="inlineStr">
        <is>
          <t>bc21018-bab-000512-1018d-50</t>
        </is>
      </c>
      <c r="C4429" s="4" t="inlineStr">
        <is>
          <t>W00031886A</t>
        </is>
      </c>
      <c r="D4429" s="6">
        <f>IF(F4429&gt;=5, F4429-5, IF(F4429&lt;5, 0, F4429))</f>
        <v/>
      </c>
      <c r="E4429">
        <f>VLOOKUP(B4429,[1]Namshi!$A:$B,2,0)</f>
        <v/>
      </c>
      <c r="F4429" s="4">
        <f>SUMIFS('Dubai Stock'!I:I,'Dubai Stock'!H:H,Final_UAE!B:B)</f>
        <v/>
      </c>
      <c r="H4429" s="8" t="e">
        <v>#N/A</v>
      </c>
    </row>
    <row r="4430">
      <c r="A4430" s="4" t="n">
        <v>33834</v>
      </c>
      <c r="B4430" s="4" t="inlineStr">
        <is>
          <t>clstdai-eve-pure-p30-sn0800</t>
        </is>
      </c>
      <c r="C4430" s="4" t="inlineStr">
        <is>
          <t>W00031886A</t>
        </is>
      </c>
      <c r="D4430" s="6">
        <f>IF(F4430&gt;=5, F4430-5, IF(F4430&lt;5, 0, F4430))</f>
        <v/>
      </c>
      <c r="E4430">
        <f>VLOOKUP(B4430,[1]Namshi!$A:$B,2,0)</f>
        <v/>
      </c>
      <c r="F4430" s="4">
        <f>SUMIFS('Dubai Stock'!I:I,'Dubai Stock'!H:H,Final_UAE!B:B)</f>
        <v/>
      </c>
      <c r="H4430" s="8" t="n">
        <v>186</v>
      </c>
      <c r="I4430" s="8" t="n">
        <v>104.3</v>
      </c>
    </row>
    <row r="4431">
      <c r="A4431" s="4" t="n">
        <v>33834</v>
      </c>
      <c r="B4431" s="4" t="inlineStr">
        <is>
          <t>clstdai-sof-sdai-p90-sn0050</t>
        </is>
      </c>
      <c r="C4431" s="4" t="inlineStr">
        <is>
          <t>W00031886A</t>
        </is>
      </c>
      <c r="D4431" s="6">
        <f>IF(F4431&gt;=5, F4431-5, IF(F4431&lt;5, 0, F4431))</f>
        <v/>
      </c>
      <c r="E4431">
        <f>VLOOKUP(B4431,[1]Namshi!$A:$B,2,0)</f>
        <v/>
      </c>
      <c r="F4431" s="4">
        <f>SUMIFS('Dubai Stock'!I:I,'Dubai Stock'!H:H,Final_UAE!B:B)</f>
        <v/>
      </c>
      <c r="H4431" s="8" t="e">
        <v>#N/A</v>
      </c>
      <c r="I4431" s="8" t="n"/>
    </row>
    <row r="4432">
      <c r="A4432" s="4" t="n">
        <v>33834</v>
      </c>
      <c r="B4432" s="4" t="inlineStr">
        <is>
          <t>cost3mo-cel-natu-p01-forest-green-sp0150</t>
        </is>
      </c>
      <c r="C4432" s="4" t="inlineStr">
        <is>
          <t>W00031886A</t>
        </is>
      </c>
      <c r="D4432" s="6">
        <f>IF(F4432&gt;=5, F4432-5, IF(F4432&lt;5, 0, F4432))</f>
        <v/>
      </c>
      <c r="E4432">
        <f>VLOOKUP(B4432,[1]Namshi!$A:$B,2,0)</f>
        <v/>
      </c>
      <c r="F4432" s="4">
        <f>SUMIFS('Dubai Stock'!I:I,'Dubai Stock'!H:H,Final_UAE!B:B)</f>
        <v/>
      </c>
      <c r="H4432" s="8" t="e">
        <v>#N/A</v>
      </c>
      <c r="I4432" s="8" t="n"/>
    </row>
    <row r="4433">
      <c r="A4433" s="4" t="n">
        <v>33834</v>
      </c>
      <c r="B4433" s="4" t="inlineStr">
        <is>
          <t>sw20707-30s-000112-0707-50</t>
        </is>
      </c>
      <c r="C4433" s="4" t="inlineStr">
        <is>
          <t>W00031886A</t>
        </is>
      </c>
      <c r="D4433" s="6">
        <f>IF(F4433&gt;=5, F4433-5, IF(F4433&lt;5, 0, F4433))</f>
        <v/>
      </c>
      <c r="E4433">
        <f>VLOOKUP(B4433,[1]Namshi!$A:$B,2,0)</f>
        <v/>
      </c>
      <c r="F4433" s="4">
        <f>SUMIFS('Dubai Stock'!I:I,'Dubai Stock'!H:H,Final_UAE!B:B)</f>
        <v/>
      </c>
      <c r="H4433" s="8" t="e">
        <v>#N/A</v>
      </c>
    </row>
    <row r="4434">
      <c r="A4434" s="4" t="n">
        <v>33834</v>
      </c>
      <c r="B4434" s="4" t="inlineStr">
        <is>
          <t>cltodai-acu-mois-p30-sn0400-cn0075-a010</t>
        </is>
      </c>
      <c r="C4434" s="4" t="inlineStr">
        <is>
          <t>W00031886A</t>
        </is>
      </c>
      <c r="D4434" s="6">
        <f>IF(F4434&gt;=5, F4434-5, IF(F4434&lt;5, 0, F4434))</f>
        <v/>
      </c>
      <c r="E4434">
        <f>VLOOKUP(B4434,[1]Namshi!$A:$B,2,0)</f>
        <v/>
      </c>
      <c r="F4434" s="4">
        <f>SUMIFS('Dubai Stock'!I:I,'Dubai Stock'!H:H,Final_UAE!B:B)</f>
        <v/>
      </c>
      <c r="H4434" s="8" t="e">
        <v>#N/A</v>
      </c>
      <c r="I4434" s="8" t="n"/>
    </row>
    <row r="4435">
      <c r="A4435" s="4" t="n">
        <v>33834</v>
      </c>
      <c r="B4435" s="4" t="inlineStr">
        <is>
          <t>clstdai-acu-oasy-p90-sp0100</t>
        </is>
      </c>
      <c r="C4435" s="4" t="inlineStr">
        <is>
          <t>W00031886A</t>
        </is>
      </c>
      <c r="D4435" s="6">
        <f>IF(F4435&gt;=5, F4435-5, IF(F4435&lt;5, 0, F4435))</f>
        <v/>
      </c>
      <c r="E4435">
        <f>VLOOKUP(B4435,[1]Namshi!$A:$B,2,0)</f>
        <v/>
      </c>
      <c r="F4435" s="4">
        <f>SUMIFS('Dubai Stock'!I:I,'Dubai Stock'!H:H,Final_UAE!B:B)</f>
        <v/>
      </c>
      <c r="H4435" s="8" t="e">
        <v>#N/A</v>
      </c>
      <c r="I4435" s="8" t="n"/>
    </row>
    <row r="4436">
      <c r="A4436" s="4" t="n">
        <v>33834</v>
      </c>
      <c r="B4436" s="4" t="inlineStr">
        <is>
          <t>clstdai-acu-mois-p90-sn0550</t>
        </is>
      </c>
      <c r="C4436" s="4" t="inlineStr">
        <is>
          <t>W00031886A</t>
        </is>
      </c>
      <c r="D4436" s="6">
        <f>IF(F4436&gt;=5, F4436-5, IF(F4436&lt;5, 0, F4436))</f>
        <v/>
      </c>
      <c r="E4436">
        <f>VLOOKUP(B4436,[1]Namshi!$A:$B,2,0)</f>
        <v/>
      </c>
      <c r="F4436" s="4">
        <f>SUMIFS('Dubai Stock'!I:I,'Dubai Stock'!H:H,Final_UAE!B:B)</f>
        <v/>
      </c>
      <c r="H4436" s="8" t="e">
        <v>#N/A</v>
      </c>
      <c r="I4436" s="8" t="n"/>
    </row>
    <row r="4437">
      <c r="A4437" s="4" t="n">
        <v>33834</v>
      </c>
      <c r="B4437" s="4" t="inlineStr">
        <is>
          <t>cost3mo-lay-lens-p02-crystal-brown-sn0125</t>
        </is>
      </c>
      <c r="C4437" s="4" t="inlineStr">
        <is>
          <t>W00031886A</t>
        </is>
      </c>
      <c r="D4437" s="6">
        <f>IF(F4437&gt;=5, F4437-5, IF(F4437&lt;5, 0, F4437))</f>
        <v/>
      </c>
      <c r="E4437">
        <f>VLOOKUP(B4437,[1]Namshi!$A:$B,2,0)</f>
        <v/>
      </c>
      <c r="F4437" s="4">
        <f>SUMIFS('Dubai Stock'!I:I,'Dubai Stock'!H:H,Final_UAE!B:B)</f>
        <v/>
      </c>
      <c r="H4437" s="8" t="e">
        <v>#N/A</v>
      </c>
      <c r="I4437" s="8" t="n"/>
    </row>
    <row r="4438">
      <c r="A4438" s="4" t="n">
        <v>33834</v>
      </c>
      <c r="B4438" s="4" t="inlineStr">
        <is>
          <t>su101010-bla-000381-1010-54</t>
        </is>
      </c>
      <c r="C4438" s="4" t="inlineStr">
        <is>
          <t>W00031886A</t>
        </is>
      </c>
      <c r="D4438" s="6">
        <f>IF(F4438&gt;=5, F4438-5, IF(F4438&lt;5, 0, F4438))</f>
        <v/>
      </c>
      <c r="E4438">
        <f>VLOOKUP(B4438,[1]Namshi!$A:$B,2,0)</f>
        <v/>
      </c>
      <c r="F4438" s="4">
        <f>SUMIFS('Dubai Stock'!I:I,'Dubai Stock'!H:H,Final_UAE!B:B)</f>
        <v/>
      </c>
      <c r="H4438" s="8" t="e">
        <v>#N/A</v>
      </c>
    </row>
    <row r="4439">
      <c r="A4439" s="4" t="n">
        <v>33834</v>
      </c>
      <c r="B4439" s="4" t="inlineStr">
        <is>
          <t>clstdai-acu-dfvi-p30-sn0800</t>
        </is>
      </c>
      <c r="C4439" s="4" t="inlineStr">
        <is>
          <t>W00031886A</t>
        </is>
      </c>
      <c r="D4439" s="6">
        <f>IF(F4439&gt;=5, F4439-5, IF(F4439&lt;5, 0, F4439))</f>
        <v/>
      </c>
      <c r="E4439">
        <f>VLOOKUP(B4439,[1]Namshi!$A:$B,2,0)</f>
        <v/>
      </c>
      <c r="F4439" s="4">
        <f>SUMIFS('Dubai Stock'!I:I,'Dubai Stock'!H:H,Final_UAE!B:B)</f>
        <v/>
      </c>
      <c r="H4439" s="8" t="e">
        <v>#N/A</v>
      </c>
      <c r="I4439" s="8" t="n"/>
    </row>
    <row r="4440">
      <c r="A4440" s="4" t="n">
        <v>33834</v>
      </c>
      <c r="B4440" s="4" t="inlineStr">
        <is>
          <t>cost3mo-lay-lens-p02-chocolate-brown-sn0100</t>
        </is>
      </c>
      <c r="C4440" s="4" t="inlineStr">
        <is>
          <t>W00031886A</t>
        </is>
      </c>
      <c r="D4440" s="6">
        <f>IF(F4440&gt;=5, F4440-5, IF(F4440&lt;5, 0, F4440))</f>
        <v/>
      </c>
      <c r="E4440">
        <f>VLOOKUP(B4440,[1]Namshi!$A:$B,2,0)</f>
        <v/>
      </c>
      <c r="F4440" s="4">
        <f>SUMIFS('Dubai Stock'!I:I,'Dubai Stock'!H:H,Final_UAE!B:B)</f>
        <v/>
      </c>
      <c r="H4440" s="8" t="e">
        <v>#N/A</v>
      </c>
      <c r="I4440" s="8" t="n"/>
    </row>
    <row r="4441">
      <c r="A4441" s="4" t="n">
        <v>33834</v>
      </c>
      <c r="B4441" s="4" t="inlineStr">
        <is>
          <t>clstdai-dai-aqua-p90-sp0600</t>
        </is>
      </c>
      <c r="C4441" s="4" t="inlineStr">
        <is>
          <t>W00031886A</t>
        </is>
      </c>
      <c r="D4441" s="6">
        <f>IF(F4441&gt;=5, F4441-5, IF(F4441&lt;5, 0, F4441))</f>
        <v/>
      </c>
      <c r="E4441">
        <f>VLOOKUP(B4441,[1]Namshi!$A:$B,2,0)</f>
        <v/>
      </c>
      <c r="F4441" s="4">
        <f>SUMIFS('Dubai Stock'!I:I,'Dubai Stock'!H:H,Final_UAE!B:B)</f>
        <v/>
      </c>
      <c r="H4441" s="8" t="e">
        <v>#N/A</v>
      </c>
      <c r="I4441" s="8" t="n"/>
    </row>
    <row r="4442">
      <c r="A4442" s="4" t="n">
        <v>33834</v>
      </c>
      <c r="B4442" s="4" t="inlineStr">
        <is>
          <t>clstdai-dai-tot1-p30-sp0050</t>
        </is>
      </c>
      <c r="C4442" s="4" t="inlineStr">
        <is>
          <t>W00031886A</t>
        </is>
      </c>
      <c r="D4442" s="6">
        <f>IF(F4442&gt;=5, F4442-5, IF(F4442&lt;5, 0, F4442))</f>
        <v/>
      </c>
      <c r="E4442">
        <f>VLOOKUP(B4442,[1]Namshi!$A:$B,2,0)</f>
        <v/>
      </c>
      <c r="F4442" s="4">
        <f>SUMIFS('Dubai Stock'!I:I,'Dubai Stock'!H:H,Final_UAE!B:B)</f>
        <v/>
      </c>
      <c r="H4442" s="8" t="e">
        <v>#N/A</v>
      </c>
      <c r="I4442" s="8" t="n"/>
    </row>
    <row r="4443">
      <c r="A4443" s="4" t="n">
        <v>33834</v>
      </c>
      <c r="B4443" s="4" t="inlineStr">
        <is>
          <t>cost3mo-lay-2021-p02-golden-gray-sn0200</t>
        </is>
      </c>
      <c r="C4443" s="4" t="inlineStr">
        <is>
          <t>W00031886A</t>
        </is>
      </c>
      <c r="D4443" s="6">
        <f>IF(F4443&gt;=5, F4443-5, IF(F4443&lt;5, 0, F4443))</f>
        <v/>
      </c>
      <c r="E4443">
        <f>VLOOKUP(B4443,[1]Namshi!$A:$B,2,0)</f>
        <v/>
      </c>
      <c r="F4443" s="4">
        <f>SUMIFS('Dubai Stock'!I:I,'Dubai Stock'!H:H,Final_UAE!B:B)</f>
        <v/>
      </c>
      <c r="H4443" s="8" t="e">
        <v>#N/A</v>
      </c>
      <c r="I4443" s="8" t="n"/>
    </row>
    <row r="4444">
      <c r="A4444" s="4" t="n">
        <v>33834</v>
      </c>
      <c r="B4444" s="4" t="inlineStr">
        <is>
          <t>clstdai-acu-dfna-p30-sn0575</t>
        </is>
      </c>
      <c r="C4444" s="4" t="inlineStr">
        <is>
          <t>W00031886A</t>
        </is>
      </c>
      <c r="D4444" s="6">
        <f>IF(F4444&gt;=5, F4444-5, IF(F4444&lt;5, 0, F4444))</f>
        <v/>
      </c>
      <c r="E4444">
        <f>VLOOKUP(B4444,[1]Namshi!$A:$B,2,0)</f>
        <v/>
      </c>
      <c r="F4444" s="4">
        <f>SUMIFS('Dubai Stock'!I:I,'Dubai Stock'!H:H,Final_UAE!B:B)</f>
        <v/>
      </c>
      <c r="H4444" s="8" t="e">
        <v>#N/A</v>
      </c>
      <c r="I4444" s="8" t="n"/>
    </row>
    <row r="4445">
      <c r="A4445" s="4" t="n">
        <v>33834</v>
      </c>
      <c r="B4445" s="4" t="inlineStr">
        <is>
          <t>clstbiw-acu-cle-p06-sn0950</t>
        </is>
      </c>
      <c r="C4445" s="4" t="inlineStr">
        <is>
          <t>W00031886A</t>
        </is>
      </c>
      <c r="D4445" s="6">
        <f>IF(F4445&gt;=5, F4445-5, IF(F4445&lt;5, 0, F4445))</f>
        <v/>
      </c>
      <c r="E4445">
        <f>VLOOKUP(B4445,[1]Namshi!$A:$B,2,0)</f>
        <v/>
      </c>
      <c r="F4445" s="4">
        <f>SUMIFS('Dubai Stock'!I:I,'Dubai Stock'!H:H,Final_UAE!B:B)</f>
        <v/>
      </c>
      <c r="H4445" s="8" t="e">
        <v>#N/A</v>
      </c>
      <c r="I4445" s="8" t="n"/>
    </row>
    <row r="4446">
      <c r="A4446" s="4" t="n">
        <v>33834</v>
      </c>
      <c r="B4446" s="4" t="inlineStr">
        <is>
          <t>clstdai-dai-tot1-p30-sn0500</t>
        </is>
      </c>
      <c r="C4446" s="4" t="inlineStr">
        <is>
          <t>W00031886A</t>
        </is>
      </c>
      <c r="D4446" s="6">
        <f>IF(F4446&gt;=5, F4446-5, IF(F4446&lt;5, 0, F4446))</f>
        <v/>
      </c>
      <c r="E4446">
        <f>VLOOKUP(B4446,[1]Namshi!$A:$B,2,0)</f>
        <v/>
      </c>
      <c r="F4446" s="4">
        <f>SUMIFS('Dubai Stock'!I:I,'Dubai Stock'!H:H,Final_UAE!B:B)</f>
        <v/>
      </c>
      <c r="H4446" s="8" t="e">
        <v>#N/A</v>
      </c>
      <c r="I4446" s="8" t="n"/>
    </row>
    <row r="4447">
      <c r="A4447" s="4" t="n">
        <v>33834</v>
      </c>
      <c r="B4447" s="4" t="inlineStr">
        <is>
          <t>ru100618-spc-000882-0618-46-sp0150</t>
        </is>
      </c>
      <c r="C4447" s="4" t="inlineStr">
        <is>
          <t>W00031886A</t>
        </is>
      </c>
      <c r="D4447" s="6">
        <f>IF(F4447&gt;=5, F4447-5, IF(F4447&lt;5, 0, F4447))</f>
        <v/>
      </c>
      <c r="E4447">
        <f>VLOOKUP(B4447,[1]Namshi!$A:$B,2,0)</f>
        <v/>
      </c>
      <c r="F4447" s="4">
        <f>SUMIFS('Dubai Stock'!I:I,'Dubai Stock'!H:H,Final_UAE!B:B)</f>
        <v/>
      </c>
      <c r="H4447" s="8" t="e">
        <v>#N/A</v>
      </c>
      <c r="I4447" s="8" t="n"/>
    </row>
    <row r="4448">
      <c r="A4448" s="4" t="n">
        <v>33834</v>
      </c>
      <c r="B4448" s="4" t="inlineStr">
        <is>
          <t>costmon-ama-2022-p02-tan-sn0125</t>
        </is>
      </c>
      <c r="C4448" s="4" t="inlineStr">
        <is>
          <t>W00031886A</t>
        </is>
      </c>
      <c r="D4448" s="6">
        <f>IF(F4448&gt;=5, F4448-5, IF(F4448&lt;5, 0, F4448))</f>
        <v/>
      </c>
      <c r="E4448">
        <f>VLOOKUP(B4448,[1]Namshi!$A:$B,2,0)</f>
        <v/>
      </c>
      <c r="F4448" s="4">
        <f>SUMIFS('Dubai Stock'!I:I,'Dubai Stock'!H:H,Final_UAE!B:B)</f>
        <v/>
      </c>
      <c r="H4448" s="8" t="e">
        <v>#N/A</v>
      </c>
      <c r="I4448" s="8" t="n"/>
    </row>
    <row r="4449">
      <c r="A4449" s="4" t="n">
        <v>33834</v>
      </c>
      <c r="B4449" s="4" t="inlineStr">
        <is>
          <t>sw100101-bla-000268-0101-56</t>
        </is>
      </c>
      <c r="C4449" s="4" t="inlineStr">
        <is>
          <t>W00031886A</t>
        </is>
      </c>
      <c r="D4449" s="6">
        <f>IF(F4449&gt;=5, F4449-5, IF(F4449&lt;5, 0, F4449))</f>
        <v/>
      </c>
      <c r="E4449">
        <f>VLOOKUP(B4449,[1]Namshi!$A:$B,2,0)</f>
        <v/>
      </c>
      <c r="F4449" s="4">
        <f>SUMIFS('Dubai Stock'!I:I,'Dubai Stock'!H:H,Final_UAE!B:B)</f>
        <v/>
      </c>
      <c r="H4449" s="8" t="e">
        <v>#N/A</v>
      </c>
    </row>
    <row r="4450">
      <c r="A4450" s="4" t="n">
        <v>33834</v>
      </c>
      <c r="B4450" s="4" t="inlineStr">
        <is>
          <t>sw31302-bla-000208-1302-54</t>
        </is>
      </c>
      <c r="C4450" s="4" t="inlineStr">
        <is>
          <t>W00031886A</t>
        </is>
      </c>
      <c r="D4450" s="6">
        <f>IF(F4450&gt;=5, F4450-5, IF(F4450&lt;5, 0, F4450))</f>
        <v/>
      </c>
      <c r="E4450">
        <f>VLOOKUP(B4450,[1]Namshi!$A:$B,2,0)</f>
        <v/>
      </c>
      <c r="F4450" s="4">
        <f>SUMIFS('Dubai Stock'!I:I,'Dubai Stock'!H:H,Final_UAE!B:B)</f>
        <v/>
      </c>
      <c r="H4450" s="8" t="e">
        <v>#N/A</v>
      </c>
    </row>
    <row r="4451">
      <c r="A4451" s="4" t="n">
        <v>33834</v>
      </c>
      <c r="B4451" s="4" t="inlineStr">
        <is>
          <t>clstdai-eve-elit-p90-sp0650</t>
        </is>
      </c>
      <c r="C4451" s="4" t="inlineStr">
        <is>
          <t>W00031886A</t>
        </is>
      </c>
      <c r="D4451" s="6">
        <f>IF(F4451&gt;=5, F4451-5, IF(F4451&lt;5, 0, F4451))</f>
        <v/>
      </c>
      <c r="E4451">
        <f>VLOOKUP(B4451,[1]Namshi!$A:$B,2,0)</f>
        <v/>
      </c>
      <c r="F4451" s="4">
        <f>SUMIFS('Dubai Stock'!I:I,'Dubai Stock'!H:H,Final_UAE!B:B)</f>
        <v/>
      </c>
      <c r="H4451" s="8" t="n">
        <v>729</v>
      </c>
      <c r="I4451" s="8" t="n">
        <v>357</v>
      </c>
    </row>
    <row r="4452">
      <c r="A4452" s="4" t="n">
        <v>33834</v>
      </c>
      <c r="B4452" s="4" t="inlineStr">
        <is>
          <t>sc51402-bab-000505-1402-43</t>
        </is>
      </c>
      <c r="C4452" s="4" t="inlineStr">
        <is>
          <t>W00031886A</t>
        </is>
      </c>
      <c r="D4452" s="6">
        <f>IF(F4452&gt;=5, F4452-5, IF(F4452&lt;5, 0, F4452))</f>
        <v/>
      </c>
      <c r="E4452">
        <f>VLOOKUP(B4452,[1]Namshi!$A:$B,2,0)</f>
        <v/>
      </c>
      <c r="F4452" s="4">
        <f>SUMIFS('Dubai Stock'!I:I,'Dubai Stock'!H:H,Final_UAE!B:B)</f>
        <v/>
      </c>
      <c r="H4452" s="8" t="e">
        <v>#N/A</v>
      </c>
    </row>
    <row r="4453">
      <c r="A4453" s="4" t="n">
        <v>33834</v>
      </c>
      <c r="B4453" s="4" t="inlineStr">
        <is>
          <t>clstdai-acu-dfrb-p30-sn0300</t>
        </is>
      </c>
      <c r="C4453" s="4" t="inlineStr">
        <is>
          <t>W00031886A</t>
        </is>
      </c>
      <c r="D4453" s="6">
        <f>IF(F4453&gt;=5, F4453-5, IF(F4453&lt;5, 0, F4453))</f>
        <v/>
      </c>
      <c r="E4453">
        <f>VLOOKUP(B4453,[1]Namshi!$A:$B,2,0)</f>
        <v/>
      </c>
      <c r="F4453" s="4">
        <f>SUMIFS('Dubai Stock'!I:I,'Dubai Stock'!H:H,Final_UAE!B:B)</f>
        <v/>
      </c>
      <c r="H4453" s="8" t="e">
        <v>#N/A</v>
      </c>
      <c r="I4453" s="8" t="n"/>
    </row>
    <row r="4454">
      <c r="A4454" s="4" t="n">
        <v>33834</v>
      </c>
      <c r="B4454" s="4" t="inlineStr">
        <is>
          <t>clstmon-sof-sl59-p06-sn0750</t>
        </is>
      </c>
      <c r="C4454" s="4" t="inlineStr">
        <is>
          <t>W00031886A</t>
        </is>
      </c>
      <c r="D4454" s="6">
        <f>IF(F4454&gt;=5, F4454-5, IF(F4454&lt;5, 0, F4454))</f>
        <v/>
      </c>
      <c r="E4454">
        <f>VLOOKUP(B4454,[1]Namshi!$A:$B,2,0)</f>
        <v/>
      </c>
      <c r="F4454" s="4">
        <f>SUMIFS('Dubai Stock'!I:I,'Dubai Stock'!H:H,Final_UAE!B:B)</f>
        <v/>
      </c>
      <c r="H4454" s="8" t="e">
        <v>#N/A</v>
      </c>
      <c r="I4454" s="8" t="n"/>
    </row>
    <row r="4455">
      <c r="A4455" s="4" t="n">
        <v>33834</v>
      </c>
      <c r="B4455" s="4" t="inlineStr">
        <is>
          <t>clstdai-lay-cont-p90-dazzle-black-sn0050</t>
        </is>
      </c>
      <c r="C4455" s="4" t="inlineStr">
        <is>
          <t>W00031886A</t>
        </is>
      </c>
      <c r="D4455" s="6">
        <f>IF(F4455&gt;=5, F4455-5, IF(F4455&lt;5, 0, F4455))</f>
        <v/>
      </c>
      <c r="E4455">
        <f>VLOOKUP(B4455,[1]Namshi!$A:$B,2,0)</f>
        <v/>
      </c>
      <c r="F4455" s="4">
        <f>SUMIFS('Dubai Stock'!I:I,'Dubai Stock'!H:H,Final_UAE!B:B)</f>
        <v/>
      </c>
      <c r="H4455" s="8" t="e">
        <v>#N/A</v>
      </c>
      <c r="I4455" s="8" t="n"/>
    </row>
    <row r="4456">
      <c r="A4456" s="4" t="n">
        <v>33834</v>
      </c>
      <c r="B4456" s="4" t="inlineStr">
        <is>
          <t>su100706-30s-000305-0706-50</t>
        </is>
      </c>
      <c r="C4456" s="4" t="inlineStr">
        <is>
          <t>W00031886A</t>
        </is>
      </c>
      <c r="D4456" s="6">
        <f>IF(F4456&gt;=5, F4456-5, IF(F4456&lt;5, 0, F4456))</f>
        <v/>
      </c>
      <c r="E4456">
        <f>VLOOKUP(B4456,[1]Namshi!$A:$B,2,0)</f>
        <v/>
      </c>
      <c r="F4456" s="4">
        <f>SUMIFS('Dubai Stock'!I:I,'Dubai Stock'!H:H,Final_UAE!B:B)</f>
        <v/>
      </c>
      <c r="H4456" s="8" t="e">
        <v>#N/A</v>
      </c>
    </row>
    <row r="4457">
      <c r="A4457" s="4" t="n">
        <v>33834</v>
      </c>
      <c r="B4457" s="4" t="inlineStr">
        <is>
          <t>sw52302-bla-000226-2302-57</t>
        </is>
      </c>
      <c r="C4457" s="4" t="inlineStr">
        <is>
          <t>W00031886A</t>
        </is>
      </c>
      <c r="D4457" s="6">
        <f>IF(F4457&gt;=5, F4457-5, IF(F4457&lt;5, 0, F4457))</f>
        <v/>
      </c>
      <c r="E4457">
        <f>VLOOKUP(B4457,[1]Namshi!$A:$B,2,0)</f>
        <v/>
      </c>
      <c r="F4457" s="4">
        <f>SUMIFS('Dubai Stock'!I:I,'Dubai Stock'!H:H,Final_UAE!B:B)</f>
        <v/>
      </c>
      <c r="H4457" s="8" t="e">
        <v>#N/A</v>
      </c>
    </row>
    <row r="4458">
      <c r="A4458" s="4" t="n">
        <v>33834</v>
      </c>
      <c r="B4458" s="4" t="inlineStr">
        <is>
          <t>cost3mo-lay-2020-p02-ash-gray-sn0225</t>
        </is>
      </c>
      <c r="C4458" s="4" t="inlineStr">
        <is>
          <t>W00031886A</t>
        </is>
      </c>
      <c r="D4458" s="6">
        <f>IF(F4458&gt;=5, F4458-5, IF(F4458&lt;5, 0, F4458))</f>
        <v/>
      </c>
      <c r="E4458">
        <f>VLOOKUP(B4458,[1]Namshi!$A:$B,2,0)</f>
        <v/>
      </c>
      <c r="F4458" s="4">
        <f>SUMIFS('Dubai Stock'!I:I,'Dubai Stock'!H:H,Final_UAE!B:B)</f>
        <v/>
      </c>
      <c r="H4458" s="8" t="e">
        <v>#N/A</v>
      </c>
      <c r="I4458" s="8" t="n"/>
    </row>
    <row r="4459">
      <c r="A4459" s="4" t="n">
        <v>33834</v>
      </c>
      <c r="B4459" s="4" t="inlineStr">
        <is>
          <t>cost3mo-lay-2020-p02-ash-gray-sn0300</t>
        </is>
      </c>
      <c r="C4459" s="4" t="inlineStr">
        <is>
          <t>W00031886A</t>
        </is>
      </c>
      <c r="D4459" s="6">
        <f>IF(F4459&gt;=5, F4459-5, IF(F4459&lt;5, 0, F4459))</f>
        <v/>
      </c>
      <c r="E4459">
        <f>VLOOKUP(B4459,[1]Namshi!$A:$B,2,0)</f>
        <v/>
      </c>
      <c r="F4459" s="4">
        <f>SUMIFS('Dubai Stock'!I:I,'Dubai Stock'!H:H,Final_UAE!B:B)</f>
        <v/>
      </c>
      <c r="H4459" s="8" t="e">
        <v>#N/A</v>
      </c>
      <c r="I4459" s="8" t="n"/>
    </row>
    <row r="4460">
      <c r="A4460" s="4" t="n">
        <v>33834</v>
      </c>
      <c r="B4460" s="4" t="inlineStr">
        <is>
          <t>sm52106-30s-000216-2106-51</t>
        </is>
      </c>
      <c r="C4460" s="4" t="inlineStr">
        <is>
          <t>W00031886A</t>
        </is>
      </c>
      <c r="D4460" s="6">
        <f>IF(F4460&gt;=5, F4460-5, IF(F4460&lt;5, 0, F4460))</f>
        <v/>
      </c>
      <c r="E4460">
        <f>VLOOKUP(B4460,[1]Namshi!$A:$B,2,0)</f>
        <v/>
      </c>
      <c r="F4460" s="4">
        <f>SUMIFS('Dubai Stock'!I:I,'Dubai Stock'!H:H,Final_UAE!B:B)</f>
        <v/>
      </c>
      <c r="H4460" s="8" t="e">
        <v>#N/A</v>
      </c>
    </row>
    <row r="4461">
      <c r="A4461" s="4" t="n">
        <v>33834</v>
      </c>
      <c r="B4461" s="4" t="inlineStr">
        <is>
          <t>sw90502-bla-000211-2702-138</t>
        </is>
      </c>
      <c r="C4461" s="4" t="inlineStr">
        <is>
          <t>W00031886A</t>
        </is>
      </c>
      <c r="D4461" s="6">
        <f>IF(F4461&gt;=5, F4461-5, IF(F4461&lt;5, 0, F4461))</f>
        <v/>
      </c>
      <c r="E4461">
        <f>VLOOKUP(B4461,[1]Namshi!$A:$B,2,0)</f>
        <v/>
      </c>
      <c r="F4461" s="4">
        <f>SUMIFS('Dubai Stock'!I:I,'Dubai Stock'!H:H,Final_UAE!B:B)</f>
        <v/>
      </c>
      <c r="H4461" s="8" t="e">
        <v>#N/A</v>
      </c>
    </row>
    <row r="4462">
      <c r="A4462" s="4" t="n">
        <v>33834</v>
      </c>
      <c r="B4462" s="4" t="inlineStr">
        <is>
          <t>clstdai-bme-1day-p30-sn0250</t>
        </is>
      </c>
      <c r="C4462" s="4" t="inlineStr">
        <is>
          <t>W00031886A</t>
        </is>
      </c>
      <c r="D4462" s="6">
        <f>IF(F4462&gt;=5, F4462-5, IF(F4462&lt;5, 0, F4462))</f>
        <v/>
      </c>
      <c r="E4462">
        <f>VLOOKUP(B4462,[1]Namshi!$A:$B,2,0)</f>
        <v/>
      </c>
      <c r="F4462" s="4">
        <f>SUMIFS('Dubai Stock'!I:I,'Dubai Stock'!H:H,Final_UAE!B:B)</f>
        <v/>
      </c>
      <c r="H4462" s="8" t="e">
        <v>#N/A</v>
      </c>
      <c r="I4462" s="8" t="n"/>
    </row>
    <row r="4463">
      <c r="A4463" s="4" t="n">
        <v>33834</v>
      </c>
      <c r="B4463" s="4" t="inlineStr">
        <is>
          <t>clstdai-dai-aqua-p90-sn1150</t>
        </is>
      </c>
      <c r="C4463" s="4" t="inlineStr">
        <is>
          <t>W00031886A</t>
        </is>
      </c>
      <c r="D4463" s="6">
        <f>IF(F4463&gt;=5, F4463-5, IF(F4463&lt;5, 0, F4463))</f>
        <v/>
      </c>
      <c r="E4463">
        <f>VLOOKUP(B4463,[1]Namshi!$A:$B,2,0)</f>
        <v/>
      </c>
      <c r="F4463" s="4">
        <f>SUMIFS('Dubai Stock'!I:I,'Dubai Stock'!H:H,Final_UAE!B:B)</f>
        <v/>
      </c>
      <c r="H4463" s="8" t="e">
        <v>#N/A</v>
      </c>
      <c r="I4463" s="8" t="n"/>
    </row>
    <row r="4464">
      <c r="A4464" s="4" t="n">
        <v>33834</v>
      </c>
      <c r="B4464" s="4" t="inlineStr">
        <is>
          <t>sw50710-30s-000276-1010-53</t>
        </is>
      </c>
      <c r="C4464" s="4" t="inlineStr">
        <is>
          <t>W00031886A</t>
        </is>
      </c>
      <c r="D4464" s="6">
        <f>IF(F4464&gt;=5, F4464-5, IF(F4464&lt;5, 0, F4464))</f>
        <v/>
      </c>
      <c r="E4464">
        <f>VLOOKUP(B4464,[1]Namshi!$A:$B,2,0)</f>
        <v/>
      </c>
      <c r="F4464" s="4">
        <f>SUMIFS('Dubai Stock'!I:I,'Dubai Stock'!H:H,Final_UAE!B:B)</f>
        <v/>
      </c>
      <c r="H4464" s="8" t="e">
        <v>#N/A</v>
      </c>
    </row>
    <row r="4465">
      <c r="A4465" s="4" t="n">
        <v>33834</v>
      </c>
      <c r="B4465" s="4" t="inlineStr">
        <is>
          <t>costmon-ama-2020-p02-pure-hazel-sn0250</t>
        </is>
      </c>
      <c r="C4465" s="4" t="inlineStr">
        <is>
          <t>W00031886A</t>
        </is>
      </c>
      <c r="D4465" s="6">
        <f>IF(F4465&gt;=5, F4465-5, IF(F4465&lt;5, 0, F4465))</f>
        <v/>
      </c>
      <c r="E4465">
        <f>VLOOKUP(B4465,[1]Namshi!$A:$B,2,0)</f>
        <v/>
      </c>
      <c r="F4465" s="4">
        <f>SUMIFS('Dubai Stock'!I:I,'Dubai Stock'!H:H,Final_UAE!B:B)</f>
        <v/>
      </c>
      <c r="H4465" s="8" t="e">
        <v>#N/A</v>
      </c>
      <c r="I4465" s="8" t="n"/>
    </row>
    <row r="4466">
      <c r="A4466" s="4" t="n">
        <v>33834</v>
      </c>
      <c r="B4466" s="4" t="inlineStr">
        <is>
          <t>sm70107-30s-000247-0107-57</t>
        </is>
      </c>
      <c r="C4466" s="4" t="inlineStr">
        <is>
          <t>W00031886A</t>
        </is>
      </c>
      <c r="D4466" s="6">
        <f>IF(F4466&gt;=5, F4466-5, IF(F4466&lt;5, 0, F4466))</f>
        <v/>
      </c>
      <c r="E4466">
        <f>VLOOKUP(B4466,[1]Namshi!$A:$B,2,0)</f>
        <v/>
      </c>
      <c r="F4466" s="4">
        <f>SUMIFS('Dubai Stock'!I:I,'Dubai Stock'!H:H,Final_UAE!B:B)</f>
        <v/>
      </c>
      <c r="H4466" s="8" t="e">
        <v>#N/A</v>
      </c>
    </row>
    <row r="4467">
      <c r="A4467" s="4" t="n">
        <v>33834</v>
      </c>
      <c r="B4467" s="4" t="inlineStr">
        <is>
          <t>sc50207-bab-000527-0207-48</t>
        </is>
      </c>
      <c r="C4467" s="4" t="inlineStr">
        <is>
          <t>W00031886A</t>
        </is>
      </c>
      <c r="D4467" s="6">
        <f>IF(F4467&gt;=5, F4467-5, IF(F4467&lt;5, 0, F4467))</f>
        <v/>
      </c>
      <c r="E4467">
        <f>VLOOKUP(B4467,[1]Namshi!$A:$B,2,0)</f>
        <v/>
      </c>
      <c r="F4467" s="4">
        <f>SUMIFS('Dubai Stock'!I:I,'Dubai Stock'!H:H,Final_UAE!B:B)</f>
        <v/>
      </c>
      <c r="H4467" s="8" t="e">
        <v>#N/A</v>
      </c>
    </row>
    <row r="4468">
      <c r="A4468" s="4" t="n">
        <v>33834</v>
      </c>
      <c r="B4468" s="4" t="inlineStr">
        <is>
          <t>sw22904-bla-000206-2704-57</t>
        </is>
      </c>
      <c r="C4468" s="4" t="inlineStr">
        <is>
          <t>W00031886A</t>
        </is>
      </c>
      <c r="D4468" s="6">
        <f>IF(F4468&gt;=5, F4468-5, IF(F4468&lt;5, 0, F4468))</f>
        <v/>
      </c>
      <c r="E4468">
        <f>VLOOKUP(B4468,[1]Namshi!$A:$B,2,0)</f>
        <v/>
      </c>
      <c r="F4468" s="4">
        <f>SUMIFS('Dubai Stock'!I:I,'Dubai Stock'!H:H,Final_UAE!B:B)</f>
        <v/>
      </c>
      <c r="H4468" s="8" t="e">
        <v>#N/A</v>
      </c>
    </row>
    <row r="4469">
      <c r="A4469" s="4" t="n">
        <v>33834</v>
      </c>
      <c r="B4469" s="4" t="inlineStr">
        <is>
          <t>cost3mo-lay-lens-p02-forest-green-sn0125</t>
        </is>
      </c>
      <c r="C4469" s="4" t="inlineStr">
        <is>
          <t>W00031886A</t>
        </is>
      </c>
      <c r="D4469" s="6">
        <f>IF(F4469&gt;=5, F4469-5, IF(F4469&lt;5, 0, F4469))</f>
        <v/>
      </c>
      <c r="E4469">
        <f>VLOOKUP(B4469,[1]Namshi!$A:$B,2,0)</f>
        <v/>
      </c>
      <c r="F4469" s="4">
        <f>SUMIFS('Dubai Stock'!I:I,'Dubai Stock'!H:H,Final_UAE!B:B)</f>
        <v/>
      </c>
      <c r="H4469" s="8" t="e">
        <v>#N/A</v>
      </c>
      <c r="I4469" s="8" t="n"/>
    </row>
    <row r="4470">
      <c r="A4470" s="4" t="n">
        <v>33834</v>
      </c>
      <c r="B4470" s="4" t="inlineStr">
        <is>
          <t>fm21218-spc-000871-0618-53</t>
        </is>
      </c>
      <c r="C4470" s="4" t="inlineStr">
        <is>
          <t>W00031886A</t>
        </is>
      </c>
      <c r="D4470" s="6">
        <f>IF(F4470&gt;=5, F4470-5, IF(F4470&lt;5, 0, F4470))</f>
        <v/>
      </c>
      <c r="E4470">
        <f>VLOOKUP(B4470,[1]Namshi!$A:$B,2,0)</f>
        <v/>
      </c>
      <c r="F4470" s="4">
        <f>SUMIFS('Dubai Stock'!I:I,'Dubai Stock'!H:H,Final_UAE!B:B)</f>
        <v/>
      </c>
      <c r="H4470" s="8" t="e">
        <v>#N/A</v>
      </c>
      <c r="I4470" s="8" t="n"/>
    </row>
    <row r="4471">
      <c r="A4471" s="4" t="n">
        <v>33834</v>
      </c>
      <c r="B4471" s="4" t="inlineStr">
        <is>
          <t>clstdai-acu-oasy-p30-sp0300</t>
        </is>
      </c>
      <c r="C4471" s="4" t="inlineStr">
        <is>
          <t>W00031886A</t>
        </is>
      </c>
      <c r="D4471" s="6">
        <f>IF(F4471&gt;=5, F4471-5, IF(F4471&lt;5, 0, F4471))</f>
        <v/>
      </c>
      <c r="E4471">
        <f>VLOOKUP(B4471,[1]Namshi!$A:$B,2,0)</f>
        <v/>
      </c>
      <c r="F4471" s="4">
        <f>SUMIFS('Dubai Stock'!I:I,'Dubai Stock'!H:H,Final_UAE!B:B)</f>
        <v/>
      </c>
      <c r="H4471" s="8" t="e">
        <v>#N/A</v>
      </c>
      <c r="I4471" s="8" t="n"/>
    </row>
    <row r="4472">
      <c r="A4472" s="4" t="n">
        <v>33834</v>
      </c>
      <c r="B4472" s="4" t="inlineStr">
        <is>
          <t>sacchan-30s-chain130-red-clover-red</t>
        </is>
      </c>
      <c r="C4472" s="4" t="inlineStr">
        <is>
          <t>W00031886A</t>
        </is>
      </c>
      <c r="D4472" s="6">
        <f>IF(F4472&gt;=5, F4472-5, IF(F4472&lt;5, 0, F4472))</f>
        <v/>
      </c>
      <c r="E4472">
        <f>VLOOKUP(B4472,[1]Namshi!$A:$B,2,0)</f>
        <v/>
      </c>
      <c r="F4472" s="4">
        <f>SUMIFS('Dubai Stock'!I:I,'Dubai Stock'!H:H,Final_UAE!B:B)</f>
        <v/>
      </c>
      <c r="H4472" s="8" t="e">
        <v>#N/A</v>
      </c>
      <c r="I4472" s="8" t="n"/>
    </row>
    <row r="4473">
      <c r="A4473" s="4" t="n">
        <v>33834</v>
      </c>
      <c r="B4473" s="4" t="inlineStr">
        <is>
          <t>sw30107-30s-000114-0107-53</t>
        </is>
      </c>
      <c r="C4473" s="4" t="inlineStr">
        <is>
          <t>W00031886A</t>
        </is>
      </c>
      <c r="D4473" s="6">
        <f>IF(F4473&gt;=5, F4473-5, IF(F4473&lt;5, 0, F4473))</f>
        <v/>
      </c>
      <c r="E4473">
        <f>VLOOKUP(B4473,[1]Namshi!$A:$B,2,0)</f>
        <v/>
      </c>
      <c r="F4473" s="4">
        <f>SUMIFS('Dubai Stock'!I:I,'Dubai Stock'!H:H,Final_UAE!B:B)</f>
        <v/>
      </c>
      <c r="H4473" s="8" t="e">
        <v>#N/A</v>
      </c>
    </row>
    <row r="4474">
      <c r="A4474" s="4" t="n">
        <v>33834</v>
      </c>
      <c r="B4474" s="4" t="inlineStr">
        <is>
          <t>clstdai-dai-tot1-p30-sn1150</t>
        </is>
      </c>
      <c r="C4474" s="4" t="inlineStr">
        <is>
          <t>W00031886A</t>
        </is>
      </c>
      <c r="D4474" s="6">
        <f>IF(F4474&gt;=5, F4474-5, IF(F4474&lt;5, 0, F4474))</f>
        <v/>
      </c>
      <c r="E4474">
        <f>VLOOKUP(B4474,[1]Namshi!$A:$B,2,0)</f>
        <v/>
      </c>
      <c r="F4474" s="4">
        <f>SUMIFS('Dubai Stock'!I:I,'Dubai Stock'!H:H,Final_UAE!B:B)</f>
        <v/>
      </c>
      <c r="H4474" s="8" t="e">
        <v>#N/A</v>
      </c>
      <c r="I4474" s="8" t="n"/>
    </row>
    <row r="4475">
      <c r="A4475" s="4" t="n">
        <v>33834</v>
      </c>
      <c r="B4475" s="4" t="inlineStr">
        <is>
          <t>su20107-30s-000206-0107p-52</t>
        </is>
      </c>
      <c r="C4475" s="4" t="inlineStr">
        <is>
          <t>W00031886A</t>
        </is>
      </c>
      <c r="D4475" s="6">
        <f>IF(F4475&gt;=5, F4475-5, IF(F4475&lt;5, 0, F4475))</f>
        <v/>
      </c>
      <c r="E4475">
        <f>VLOOKUP(B4475,[1]Namshi!$A:$B,2,0)</f>
        <v/>
      </c>
      <c r="F4475" s="4">
        <f>SUMIFS('Dubai Stock'!I:I,'Dubai Stock'!H:H,Final_UAE!B:B)</f>
        <v/>
      </c>
      <c r="H4475" s="8" t="e">
        <v>#N/A</v>
      </c>
    </row>
    <row r="4476">
      <c r="A4476" s="4" t="n">
        <v>33834</v>
      </c>
      <c r="B4476" s="4" t="inlineStr">
        <is>
          <t>clstdai-acu-omax-p30-sn0700</t>
        </is>
      </c>
      <c r="C4476" s="4" t="inlineStr">
        <is>
          <t>W00031886A</t>
        </is>
      </c>
      <c r="D4476" s="6">
        <f>IF(F4476&gt;=5, F4476-5, IF(F4476&lt;5, 0, F4476))</f>
        <v/>
      </c>
      <c r="E4476">
        <f>VLOOKUP(B4476,[1]Namshi!$A:$B,2,0)</f>
        <v/>
      </c>
      <c r="F4476" s="4">
        <f>SUMIFS('Dubai Stock'!I:I,'Dubai Stock'!H:H,Final_UAE!B:B)</f>
        <v/>
      </c>
      <c r="H4476" s="8" t="e">
        <v>#N/A</v>
      </c>
      <c r="I4476" s="8" t="n"/>
    </row>
    <row r="4477">
      <c r="A4477" s="4" t="n">
        <v>33834</v>
      </c>
      <c r="B4477" s="4" t="inlineStr">
        <is>
          <t>costdai-acu-dffr-p10-rose-sn0450</t>
        </is>
      </c>
      <c r="C4477" s="4" t="inlineStr">
        <is>
          <t>W00031886A</t>
        </is>
      </c>
      <c r="D4477" s="6">
        <f>IF(F4477&gt;=5, F4477-5, IF(F4477&lt;5, 0, F4477))</f>
        <v/>
      </c>
      <c r="E4477">
        <f>VLOOKUP(B4477,[1]Namshi!$A:$B,2,0)</f>
        <v/>
      </c>
      <c r="F4477" s="4">
        <f>SUMIFS('Dubai Stock'!I:I,'Dubai Stock'!H:H,Final_UAE!B:B)</f>
        <v/>
      </c>
      <c r="H4477" s="8" t="e">
        <v>#N/A</v>
      </c>
      <c r="I4477" s="8" t="n"/>
    </row>
    <row r="4478">
      <c r="A4478" s="4" t="n">
        <v>33834</v>
      </c>
      <c r="B4478" s="4" t="inlineStr">
        <is>
          <t>clstdai-acu-dfrb-p60-sn0200</t>
        </is>
      </c>
      <c r="C4478" s="4" t="inlineStr">
        <is>
          <t>W00031886A</t>
        </is>
      </c>
      <c r="D4478" s="6">
        <f>IF(F4478&gt;=5, F4478-5, IF(F4478&lt;5, 0, F4478))</f>
        <v/>
      </c>
      <c r="E4478">
        <f>VLOOKUP(B4478,[1]Namshi!$A:$B,2,0)</f>
        <v/>
      </c>
      <c r="F4478" s="4">
        <f>SUMIFS('Dubai Stock'!I:I,'Dubai Stock'!H:H,Final_UAE!B:B)</f>
        <v/>
      </c>
      <c r="H4478" s="8" t="e">
        <v>#N/A</v>
      </c>
      <c r="I4478" s="8" t="n"/>
    </row>
    <row r="4479">
      <c r="A4479" s="4" t="n">
        <v>33834</v>
      </c>
      <c r="B4479" s="4" t="inlineStr">
        <is>
          <t>fw32318-spc-000754-2318-51</t>
        </is>
      </c>
      <c r="C4479" s="4" t="inlineStr">
        <is>
          <t>W00031886A</t>
        </is>
      </c>
      <c r="D4479" s="6">
        <f>IF(F4479&gt;=5, F4479-5, IF(F4479&lt;5, 0, F4479))</f>
        <v/>
      </c>
      <c r="E4479">
        <f>VLOOKUP(B4479,[1]Namshi!$A:$B,2,0)</f>
        <v/>
      </c>
      <c r="F4479" s="4">
        <f>SUMIFS('Dubai Stock'!I:I,'Dubai Stock'!H:H,Final_UAE!B:B)</f>
        <v/>
      </c>
      <c r="H4479" s="8" t="e">
        <v>#N/A</v>
      </c>
      <c r="I4479" s="8" t="n"/>
    </row>
    <row r="4480">
      <c r="A4480" s="4" t="n">
        <v>33834</v>
      </c>
      <c r="B4480" s="4" t="inlineStr">
        <is>
          <t>costmon-ama-2024-p02-chocolate-sn0350</t>
        </is>
      </c>
      <c r="C4480" s="4" t="inlineStr">
        <is>
          <t>W00031886A</t>
        </is>
      </c>
      <c r="D4480" s="6">
        <f>IF(F4480&gt;=5, F4480-5, IF(F4480&lt;5, 0, F4480))</f>
        <v/>
      </c>
      <c r="E4480">
        <f>VLOOKUP(B4480,[1]Namshi!$A:$B,2,0)</f>
        <v/>
      </c>
      <c r="F4480" s="4">
        <f>SUMIFS('Dubai Stock'!I:I,'Dubai Stock'!H:H,Final_UAE!B:B)</f>
        <v/>
      </c>
      <c r="H4480" s="8" t="e">
        <v>#N/A</v>
      </c>
      <c r="I4480" s="8" t="n"/>
    </row>
    <row r="4481">
      <c r="A4481" s="4" t="n">
        <v>33834</v>
      </c>
      <c r="B4481" s="4" t="inlineStr">
        <is>
          <t>fu70718-spc-000638-0718-50</t>
        </is>
      </c>
      <c r="C4481" s="4" t="inlineStr">
        <is>
          <t>W00031886A</t>
        </is>
      </c>
      <c r="D4481" s="6">
        <f>IF(F4481&gt;=5, F4481-5, IF(F4481&lt;5, 0, F4481))</f>
        <v/>
      </c>
      <c r="E4481">
        <f>VLOOKUP(B4481,[1]Namshi!$A:$B,2,0)</f>
        <v/>
      </c>
      <c r="F4481" s="4">
        <f>SUMIFS('Dubai Stock'!I:I,'Dubai Stock'!H:H,Final_UAE!B:B)</f>
        <v/>
      </c>
      <c r="H4481" s="8" t="e">
        <v>#N/A</v>
      </c>
      <c r="I4481" s="8" t="n"/>
    </row>
    <row r="4482">
      <c r="A4482" s="4" t="n">
        <v>33834</v>
      </c>
      <c r="B4482" s="4" t="inlineStr">
        <is>
          <t>su50107-30s-000237-0101-51</t>
        </is>
      </c>
      <c r="C4482" s="4" t="inlineStr">
        <is>
          <t>W00031886A</t>
        </is>
      </c>
      <c r="D4482" s="6">
        <f>IF(F4482&gt;=5, F4482-5, IF(F4482&lt;5, 0, F4482))</f>
        <v/>
      </c>
      <c r="E4482">
        <f>VLOOKUP(B4482,[1]Namshi!$A:$B,2,0)</f>
        <v/>
      </c>
      <c r="F4482" s="4">
        <f>SUMIFS('Dubai Stock'!I:I,'Dubai Stock'!H:H,Final_UAE!B:B)</f>
        <v/>
      </c>
      <c r="H4482" s="8" t="e">
        <v>#N/A</v>
      </c>
    </row>
    <row r="4483">
      <c r="A4483" s="4" t="n">
        <v>33834</v>
      </c>
      <c r="B4483" s="4" t="inlineStr">
        <is>
          <t>sw101207-30s-000498-1207-54</t>
        </is>
      </c>
      <c r="C4483" s="4" t="inlineStr">
        <is>
          <t>W00031886A</t>
        </is>
      </c>
      <c r="D4483" s="6">
        <f>IF(F4483&gt;=5, F4483-5, IF(F4483&lt;5, 0, F4483))</f>
        <v/>
      </c>
      <c r="E4483">
        <f>VLOOKUP(B4483,[1]Namshi!$A:$B,2,0)</f>
        <v/>
      </c>
      <c r="F4483" s="4">
        <f>SUMIFS('Dubai Stock'!I:I,'Dubai Stock'!H:H,Final_UAE!B:B)</f>
        <v/>
      </c>
      <c r="H4483" s="8" t="e">
        <v>#N/A</v>
      </c>
      <c r="I4483" s="8" t="n"/>
    </row>
    <row r="4484">
      <c r="A4484" s="4" t="n">
        <v>33834</v>
      </c>
      <c r="B4484" s="4" t="inlineStr">
        <is>
          <t>sw40404-bla-000302-0404-54</t>
        </is>
      </c>
      <c r="C4484" s="4" t="inlineStr">
        <is>
          <t>W00031886A</t>
        </is>
      </c>
      <c r="D4484" s="6">
        <f>IF(F4484&gt;=5, F4484-5, IF(F4484&lt;5, 0, F4484))</f>
        <v/>
      </c>
      <c r="E4484">
        <f>VLOOKUP(B4484,[1]Namshi!$A:$B,2,0)</f>
        <v/>
      </c>
      <c r="F4484" s="4">
        <f>SUMIFS('Dubai Stock'!I:I,'Dubai Stock'!H:H,Final_UAE!B:B)</f>
        <v/>
      </c>
      <c r="H4484" s="8" t="e">
        <v>#N/A</v>
      </c>
    </row>
    <row r="4485">
      <c r="A4485" s="4" t="n">
        <v>33834</v>
      </c>
      <c r="B4485" s="4" t="inlineStr">
        <is>
          <t>cost3mo-lay-2022-p02-crescent-gray-sn0550</t>
        </is>
      </c>
      <c r="C4485" s="4" t="inlineStr">
        <is>
          <t>W00031886A</t>
        </is>
      </c>
      <c r="D4485" s="6">
        <f>IF(F4485&gt;=5, F4485-5, IF(F4485&lt;5, 0, F4485))</f>
        <v/>
      </c>
      <c r="E4485">
        <f>VLOOKUP(B4485,[1]Namshi!$A:$B,2,0)</f>
        <v/>
      </c>
      <c r="F4485" s="4">
        <f>SUMIFS('Dubai Stock'!I:I,'Dubai Stock'!H:H,Final_UAE!B:B)</f>
        <v/>
      </c>
      <c r="H4485" s="8" t="e">
        <v>#N/A</v>
      </c>
      <c r="I4485" s="8" t="n"/>
    </row>
    <row r="4486">
      <c r="A4486" s="4" t="n">
        <v>33834</v>
      </c>
      <c r="B4486" s="4" t="inlineStr">
        <is>
          <t>clstdai-eve-pure-p05-sn0200</t>
        </is>
      </c>
      <c r="C4486" s="4" t="inlineStr">
        <is>
          <t>W00031886A</t>
        </is>
      </c>
      <c r="D4486" s="6">
        <f>IF(F4486&gt;=5, F4486-5, IF(F4486&lt;5, 0, F4486))</f>
        <v/>
      </c>
      <c r="E4486">
        <f>VLOOKUP(B4486,[1]Namshi!$A:$B,2,0)</f>
        <v/>
      </c>
      <c r="F4486" s="4">
        <f>SUMIFS('Dubai Stock'!I:I,'Dubai Stock'!H:H,Final_UAE!B:B)</f>
        <v/>
      </c>
      <c r="H4486" s="8" t="e">
        <v>#N/A</v>
      </c>
      <c r="I4486" s="8" t="n"/>
    </row>
    <row r="4487">
      <c r="A4487" s="4" t="n">
        <v>33834</v>
      </c>
      <c r="B4487" s="4" t="inlineStr">
        <is>
          <t>sm50101-30s-000248-0101p-53</t>
        </is>
      </c>
      <c r="C4487" s="4" t="inlineStr">
        <is>
          <t>W00031886A</t>
        </is>
      </c>
      <c r="D4487" s="6">
        <f>IF(F4487&gt;=5, F4487-5, IF(F4487&lt;5, 0, F4487))</f>
        <v/>
      </c>
      <c r="E4487">
        <f>VLOOKUP(B4487,[1]Namshi!$A:$B,2,0)</f>
        <v/>
      </c>
      <c r="F4487" s="4">
        <f>SUMIFS('Dubai Stock'!I:I,'Dubai Stock'!H:H,Final_UAE!B:B)</f>
        <v/>
      </c>
      <c r="H4487" s="8" t="e">
        <v>#N/A</v>
      </c>
    </row>
    <row r="4488">
      <c r="A4488" s="4" t="n">
        <v>33834</v>
      </c>
      <c r="B4488" s="4" t="inlineStr">
        <is>
          <t>su40107-bla-000275-0107-54</t>
        </is>
      </c>
      <c r="C4488" s="4" t="inlineStr">
        <is>
          <t>W00031886A</t>
        </is>
      </c>
      <c r="D4488" s="6">
        <f>IF(F4488&gt;=5, F4488-5, IF(F4488&lt;5, 0, F4488))</f>
        <v/>
      </c>
      <c r="E4488">
        <f>VLOOKUP(B4488,[1]Namshi!$A:$B,2,0)</f>
        <v/>
      </c>
      <c r="F4488" s="4">
        <f>SUMIFS('Dubai Stock'!I:I,'Dubai Stock'!H:H,Final_UAE!B:B)</f>
        <v/>
      </c>
      <c r="H4488" s="8" t="e">
        <v>#N/A</v>
      </c>
    </row>
    <row r="4489">
      <c r="A4489" s="4" t="n">
        <v>33834</v>
      </c>
      <c r="B4489" s="4" t="inlineStr">
        <is>
          <t>costmon-ama-2020-p02-charcoal-gray-sn0125</t>
        </is>
      </c>
      <c r="C4489" s="4" t="inlineStr">
        <is>
          <t>W00031886A</t>
        </is>
      </c>
      <c r="D4489" s="6">
        <f>IF(F4489&gt;=5, F4489-5, IF(F4489&lt;5, 0, F4489))</f>
        <v/>
      </c>
      <c r="E4489">
        <f>VLOOKUP(B4489,[1]Namshi!$A:$B,2,0)</f>
        <v/>
      </c>
      <c r="F4489" s="4">
        <f>SUMIFS('Dubai Stock'!I:I,'Dubai Stock'!H:H,Final_UAE!B:B)</f>
        <v/>
      </c>
      <c r="H4489" s="8" t="e">
        <v>#N/A</v>
      </c>
      <c r="I4489" s="8" t="n"/>
    </row>
    <row r="4490">
      <c r="A4490" s="4" t="n">
        <v>33834</v>
      </c>
      <c r="B4490" s="4" t="inlineStr">
        <is>
          <t>sw100107-30s-000414-0100-47</t>
        </is>
      </c>
      <c r="C4490" s="4" t="inlineStr">
        <is>
          <t>W00031886A</t>
        </is>
      </c>
      <c r="D4490" s="6">
        <f>IF(F4490&gt;=5, F4490-5, IF(F4490&lt;5, 0, F4490))</f>
        <v/>
      </c>
      <c r="E4490">
        <f>VLOOKUP(B4490,[1]Namshi!$A:$B,2,0)</f>
        <v/>
      </c>
      <c r="F4490" s="4">
        <f>SUMIFS('Dubai Stock'!I:I,'Dubai Stock'!H:H,Final_UAE!B:B)</f>
        <v/>
      </c>
      <c r="H4490" s="8" t="e">
        <v>#N/A</v>
      </c>
    </row>
    <row r="4491">
      <c r="A4491" s="4" t="n">
        <v>33834</v>
      </c>
      <c r="B4491" s="4" t="inlineStr">
        <is>
          <t>cost3mo-lay-2022-p02-royal-green-sn0600</t>
        </is>
      </c>
      <c r="C4491" s="4" t="inlineStr">
        <is>
          <t>W00031886A</t>
        </is>
      </c>
      <c r="D4491" s="6">
        <f>IF(F4491&gt;=5, F4491-5, IF(F4491&lt;5, 0, F4491))</f>
        <v/>
      </c>
      <c r="E4491">
        <f>VLOOKUP(B4491,[1]Namshi!$A:$B,2,0)</f>
        <v/>
      </c>
      <c r="F4491" s="4">
        <f>SUMIFS('Dubai Stock'!I:I,'Dubai Stock'!H:H,Final_UAE!B:B)</f>
        <v/>
      </c>
      <c r="H4491" s="8" t="e">
        <v>#N/A</v>
      </c>
      <c r="I4491" s="8" t="n"/>
    </row>
    <row r="4492">
      <c r="A4492" s="4" t="n">
        <v>33834</v>
      </c>
      <c r="B4492" s="4" t="inlineStr">
        <is>
          <t>sacchan-30s-chain101-gry-fleek-gunmetal</t>
        </is>
      </c>
      <c r="C4492" s="4" t="inlineStr">
        <is>
          <t>W00031886A</t>
        </is>
      </c>
      <c r="D4492" s="6">
        <f>IF(F4492&gt;=5, F4492-5, IF(F4492&lt;5, 0, F4492))</f>
        <v/>
      </c>
      <c r="E4492">
        <f>VLOOKUP(B4492,[1]Namshi!$A:$B,2,0)</f>
        <v/>
      </c>
      <c r="F4492" s="4">
        <f>SUMIFS('Dubai Stock'!I:I,'Dubai Stock'!H:H,Final_UAE!B:B)</f>
        <v/>
      </c>
      <c r="H4492" s="8" t="e">
        <v>#N/A</v>
      </c>
      <c r="I4492" s="8" t="n"/>
    </row>
    <row r="4493">
      <c r="A4493" s="4" t="n">
        <v>33834</v>
      </c>
      <c r="B4493" s="4" t="inlineStr">
        <is>
          <t>clstdai-dai-tot1-p30-sn0075</t>
        </is>
      </c>
      <c r="C4493" s="4" t="inlineStr">
        <is>
          <t>W00031886A</t>
        </is>
      </c>
      <c r="D4493" s="6">
        <f>IF(F4493&gt;=5, F4493-5, IF(F4493&lt;5, 0, F4493))</f>
        <v/>
      </c>
      <c r="E4493">
        <f>VLOOKUP(B4493,[1]Namshi!$A:$B,2,0)</f>
        <v/>
      </c>
      <c r="F4493" s="4">
        <f>SUMIFS('Dubai Stock'!I:I,'Dubai Stock'!H:H,Final_UAE!B:B)</f>
        <v/>
      </c>
      <c r="H4493" s="8" t="e">
        <v>#N/A</v>
      </c>
      <c r="I4493" s="8" t="n"/>
    </row>
    <row r="4494">
      <c r="A4494" s="4" t="n">
        <v>33834</v>
      </c>
      <c r="B4494" s="4" t="inlineStr">
        <is>
          <t>fw32418-spc-000669-2418-54</t>
        </is>
      </c>
      <c r="C4494" s="4" t="inlineStr">
        <is>
          <t>W00031886A</t>
        </is>
      </c>
      <c r="D4494" s="6">
        <f>IF(F4494&gt;=5, F4494-5, IF(F4494&lt;5, 0, F4494))</f>
        <v/>
      </c>
      <c r="E4494">
        <f>VLOOKUP(B4494,[1]Namshi!$A:$B,2,0)</f>
        <v/>
      </c>
      <c r="F4494" s="4">
        <f>SUMIFS('Dubai Stock'!I:I,'Dubai Stock'!H:H,Final_UAE!B:B)</f>
        <v/>
      </c>
      <c r="H4494" s="8" t="e">
        <v>#N/A</v>
      </c>
      <c r="I4494" s="8" t="n"/>
    </row>
    <row r="4495">
      <c r="A4495" s="4" t="n">
        <v>33834</v>
      </c>
      <c r="B4495" s="4" t="inlineStr">
        <is>
          <t>sm10404-30s-000505-0404-58</t>
        </is>
      </c>
      <c r="C4495" s="4" t="inlineStr">
        <is>
          <t>W00031886A</t>
        </is>
      </c>
      <c r="D4495" s="6">
        <f>IF(F4495&gt;=5, F4495-5, IF(F4495&lt;5, 0, F4495))</f>
        <v/>
      </c>
      <c r="E4495">
        <f>VLOOKUP(B4495,[1]Namshi!$A:$B,2,0)</f>
        <v/>
      </c>
      <c r="F4495" s="4">
        <f>SUMIFS('Dubai Stock'!I:I,'Dubai Stock'!H:H,Final_UAE!B:B)</f>
        <v/>
      </c>
      <c r="H4495" s="8" t="e">
        <v>#N/A</v>
      </c>
      <c r="I4495" s="8" t="n"/>
    </row>
    <row r="4496">
      <c r="A4496" s="4" t="n">
        <v>33834</v>
      </c>
      <c r="B4496" s="4" t="inlineStr">
        <is>
          <t>cost3mo-lay-2021-p02-stardust-gray-sn0500</t>
        </is>
      </c>
      <c r="C4496" s="4" t="inlineStr">
        <is>
          <t>W00031886A</t>
        </is>
      </c>
      <c r="D4496" s="6">
        <f>IF(F4496&gt;=5, F4496-5, IF(F4496&lt;5, 0, F4496))</f>
        <v/>
      </c>
      <c r="E4496">
        <f>VLOOKUP(B4496,[1]Namshi!$A:$B,2,0)</f>
        <v/>
      </c>
      <c r="F4496" s="4">
        <f>SUMIFS('Dubai Stock'!I:I,'Dubai Stock'!H:H,Final_UAE!B:B)</f>
        <v/>
      </c>
      <c r="H4496" s="8" t="e">
        <v>#N/A</v>
      </c>
      <c r="I4496" s="8" t="n"/>
    </row>
    <row r="4497">
      <c r="A4497" s="4" t="n">
        <v>33834</v>
      </c>
      <c r="B4497" s="4" t="inlineStr">
        <is>
          <t>cost3mo-lay-lens-p02-crystal-brown-sn0050</t>
        </is>
      </c>
      <c r="C4497" s="4" t="inlineStr">
        <is>
          <t>W00031886A</t>
        </is>
      </c>
      <c r="D4497" s="6">
        <f>IF(F4497&gt;=5, F4497-5, IF(F4497&lt;5, 0, F4497))</f>
        <v/>
      </c>
      <c r="E4497">
        <f>VLOOKUP(B4497,[1]Namshi!$A:$B,2,0)</f>
        <v/>
      </c>
      <c r="F4497" s="4">
        <f>SUMIFS('Dubai Stock'!I:I,'Dubai Stock'!H:H,Final_UAE!B:B)</f>
        <v/>
      </c>
      <c r="H4497" s="8" t="e">
        <v>#N/A</v>
      </c>
      <c r="I4497" s="8" t="n"/>
    </row>
    <row r="4498">
      <c r="A4498" s="4" t="n">
        <v>33834</v>
      </c>
      <c r="B4498" s="4" t="inlineStr">
        <is>
          <t>sw30101-bla-000263-0101-50</t>
        </is>
      </c>
      <c r="C4498" s="4" t="inlineStr">
        <is>
          <t>W00031886A</t>
        </is>
      </c>
      <c r="D4498" s="6">
        <f>IF(F4498&gt;=5, F4498-5, IF(F4498&lt;5, 0, F4498))</f>
        <v/>
      </c>
      <c r="E4498">
        <f>VLOOKUP(B4498,[1]Namshi!$A:$B,2,0)</f>
        <v/>
      </c>
      <c r="F4498" s="4">
        <f>SUMIFS('Dubai Stock'!I:I,'Dubai Stock'!H:H,Final_UAE!B:B)</f>
        <v/>
      </c>
      <c r="H4498" s="8" t="e">
        <v>#N/A</v>
      </c>
    </row>
    <row r="4499">
      <c r="A4499" s="4" t="n">
        <v>33834</v>
      </c>
      <c r="B4499" s="4" t="inlineStr">
        <is>
          <t>sm40107-bla-000335-0107-58</t>
        </is>
      </c>
      <c r="C4499" s="4" t="inlineStr">
        <is>
          <t>W00031886A</t>
        </is>
      </c>
      <c r="D4499" s="6">
        <f>IF(F4499&gt;=5, F4499-5, IF(F4499&lt;5, 0, F4499))</f>
        <v/>
      </c>
      <c r="E4499">
        <f>VLOOKUP(B4499,[1]Namshi!$A:$B,2,0)</f>
        <v/>
      </c>
      <c r="F4499" s="4">
        <f>SUMIFS('Dubai Stock'!I:I,'Dubai Stock'!H:H,Final_UAE!B:B)</f>
        <v/>
      </c>
      <c r="H4499" s="8" t="e">
        <v>#N/A</v>
      </c>
    </row>
    <row r="4500">
      <c r="A4500" s="4" t="n">
        <v>33834</v>
      </c>
      <c r="B4500" s="4" t="inlineStr">
        <is>
          <t>costmon-ama-lens-p02-crocodile-green-sn0400</t>
        </is>
      </c>
      <c r="C4500" s="4" t="inlineStr">
        <is>
          <t>W00031886A</t>
        </is>
      </c>
      <c r="D4500" s="6">
        <f>IF(F4500&gt;=5, F4500-5, IF(F4500&lt;5, 0, F4500))</f>
        <v/>
      </c>
      <c r="E4500">
        <f>VLOOKUP(B4500,[1]Namshi!$A:$B,2,0)</f>
        <v/>
      </c>
      <c r="F4500" s="4">
        <f>SUMIFS('Dubai Stock'!I:I,'Dubai Stock'!H:H,Final_UAE!B:B)</f>
        <v/>
      </c>
      <c r="H4500" s="8" t="e">
        <v>#N/A</v>
      </c>
      <c r="I4500" s="8" t="n"/>
    </row>
    <row r="4501">
      <c r="A4501" s="4" t="n">
        <v>33834</v>
      </c>
      <c r="B4501" s="4" t="inlineStr">
        <is>
          <t>clstdai-acu-mois-p30-sp0375</t>
        </is>
      </c>
      <c r="C4501" s="4" t="inlineStr">
        <is>
          <t>W00031886A</t>
        </is>
      </c>
      <c r="D4501" s="6">
        <f>IF(F4501&gt;=5, F4501-5, IF(F4501&lt;5, 0, F4501))</f>
        <v/>
      </c>
      <c r="E4501">
        <f>VLOOKUP(B4501,[1]Namshi!$A:$B,2,0)</f>
        <v/>
      </c>
      <c r="F4501" s="4">
        <f>SUMIFS('Dubai Stock'!I:I,'Dubai Stock'!H:H,Final_UAE!B:B)</f>
        <v/>
      </c>
      <c r="H4501" s="8" t="e">
        <v>#N/A</v>
      </c>
      <c r="I4501" s="8" t="n"/>
    </row>
    <row r="4502">
      <c r="A4502" s="4" t="n">
        <v>33834</v>
      </c>
      <c r="B4502" s="4" t="inlineStr">
        <is>
          <t>clstdai-dai-aqua-p30-sn0700</t>
        </is>
      </c>
      <c r="C4502" s="4" t="inlineStr">
        <is>
          <t>W00031886A</t>
        </is>
      </c>
      <c r="D4502" s="6">
        <f>IF(F4502&gt;=5, F4502-5, IF(F4502&lt;5, 0, F4502))</f>
        <v/>
      </c>
      <c r="E4502">
        <f>VLOOKUP(B4502,[1]Namshi!$A:$B,2,0)</f>
        <v/>
      </c>
      <c r="F4502" s="4">
        <f>SUMIFS('Dubai Stock'!I:I,'Dubai Stock'!H:H,Final_UAE!B:B)</f>
        <v/>
      </c>
      <c r="H4502" s="8" t="e">
        <v>#N/A</v>
      </c>
      <c r="I4502" s="8" t="n"/>
    </row>
    <row r="4503">
      <c r="A4503" s="4" t="n">
        <v>33834</v>
      </c>
      <c r="B4503" s="4" t="inlineStr">
        <is>
          <t>sacchan-30s-kona-beige</t>
        </is>
      </c>
      <c r="C4503" s="4" t="inlineStr">
        <is>
          <t>W00031886A</t>
        </is>
      </c>
      <c r="D4503" s="6">
        <f>IF(F4503&gt;=5, F4503-5, IF(F4503&lt;5, 0, F4503))</f>
        <v/>
      </c>
      <c r="E4503">
        <f>VLOOKUP(B4503,[1]Namshi!$A:$B,2,0)</f>
        <v/>
      </c>
      <c r="F4503" s="4">
        <f>SUMIFS('Dubai Stock'!I:I,'Dubai Stock'!H:H,Final_UAE!B:B)</f>
        <v/>
      </c>
      <c r="H4503" s="8" t="e">
        <v>#N/A</v>
      </c>
      <c r="I4503" s="8" t="n"/>
    </row>
    <row r="4504">
      <c r="A4504" s="4" t="n">
        <v>33834</v>
      </c>
      <c r="B4504" s="4" t="inlineStr">
        <is>
          <t>clstmon-eve-prom-p06-sp0150</t>
        </is>
      </c>
      <c r="C4504" s="4" t="inlineStr">
        <is>
          <t>W00031886A</t>
        </is>
      </c>
      <c r="D4504" s="6">
        <f>IF(F4504&gt;=5, F4504-5, IF(F4504&lt;5, 0, F4504))</f>
        <v/>
      </c>
      <c r="E4504">
        <f>VLOOKUP(B4504,[1]Namshi!$A:$B,2,0)</f>
        <v/>
      </c>
      <c r="F4504" s="4">
        <f>SUMIFS('Dubai Stock'!I:I,'Dubai Stock'!H:H,Final_UAE!B:B)</f>
        <v/>
      </c>
      <c r="H4504" s="8" t="n">
        <v>212</v>
      </c>
      <c r="I4504" s="8" t="n">
        <v>111.3</v>
      </c>
    </row>
    <row r="4505">
      <c r="A4505" s="4" t="n">
        <v>33834</v>
      </c>
      <c r="B4505" s="4" t="inlineStr">
        <is>
          <t>clstdai-lay-cont-p10-dazzle-brown-sn0225</t>
        </is>
      </c>
      <c r="C4505" s="4" t="inlineStr">
        <is>
          <t>W00031886A</t>
        </is>
      </c>
      <c r="D4505" s="6">
        <f>IF(F4505&gt;=5, F4505-5, IF(F4505&lt;5, 0, F4505))</f>
        <v/>
      </c>
      <c r="E4505">
        <f>VLOOKUP(B4505,[1]Namshi!$A:$B,2,0)</f>
        <v/>
      </c>
      <c r="F4505" s="4">
        <f>SUMIFS('Dubai Stock'!I:I,'Dubai Stock'!H:H,Final_UAE!B:B)</f>
        <v/>
      </c>
      <c r="H4505" s="8" t="e">
        <v>#N/A</v>
      </c>
      <c r="I4505" s="8" t="n"/>
    </row>
    <row r="4506">
      <c r="A4506" s="4" t="n">
        <v>33834</v>
      </c>
      <c r="B4506" s="4" t="inlineStr">
        <is>
          <t>fc20218-bab-000251-0200-45</t>
        </is>
      </c>
      <c r="C4506" s="4" t="inlineStr">
        <is>
          <t>W00031886A</t>
        </is>
      </c>
      <c r="D4506" s="6">
        <f>IF(F4506&gt;=5, F4506-5, IF(F4506&lt;5, 0, F4506))</f>
        <v/>
      </c>
      <c r="E4506">
        <f>VLOOKUP(B4506,[1]Namshi!$A:$B,2,0)</f>
        <v/>
      </c>
      <c r="F4506" s="4">
        <f>SUMIFS('Dubai Stock'!I:I,'Dubai Stock'!H:H,Final_UAE!B:B)</f>
        <v/>
      </c>
      <c r="H4506" s="8" t="e">
        <v>#N/A</v>
      </c>
      <c r="I4506" s="8" t="n"/>
    </row>
    <row r="4507">
      <c r="A4507" s="4" t="n">
        <v>33834</v>
      </c>
      <c r="B4507" s="4" t="inlineStr">
        <is>
          <t>cost3mo-lay-2023-p02-sable-brown-sn0400</t>
        </is>
      </c>
      <c r="C4507" s="4" t="inlineStr">
        <is>
          <t>W00031886A</t>
        </is>
      </c>
      <c r="D4507" s="6">
        <f>IF(F4507&gt;=5, F4507-5, IF(F4507&lt;5, 0, F4507))</f>
        <v/>
      </c>
      <c r="E4507">
        <f>VLOOKUP(B4507,[1]Namshi!$A:$B,2,0)</f>
        <v/>
      </c>
      <c r="F4507" s="4">
        <f>SUMIFS('Dubai Stock'!I:I,'Dubai Stock'!H:H,Final_UAE!B:B)</f>
        <v/>
      </c>
      <c r="H4507" s="8" t="e">
        <v>#N/A</v>
      </c>
      <c r="I4507" s="8" t="n"/>
    </row>
    <row r="4508">
      <c r="A4508" s="4" t="n">
        <v>33834</v>
      </c>
      <c r="B4508" s="4" t="inlineStr">
        <is>
          <t>fw32618-spc-000502-2600-54</t>
        </is>
      </c>
      <c r="C4508" s="4" t="inlineStr">
        <is>
          <t>W00031886A</t>
        </is>
      </c>
      <c r="D4508" s="6">
        <f>IF(F4508&gt;=5, F4508-5, IF(F4508&lt;5, 0, F4508))</f>
        <v/>
      </c>
      <c r="E4508">
        <f>VLOOKUP(B4508,[1]Namshi!$A:$B,2,0)</f>
        <v/>
      </c>
      <c r="F4508" s="4">
        <f>SUMIFS('Dubai Stock'!I:I,'Dubai Stock'!H:H,Final_UAE!B:B)</f>
        <v/>
      </c>
      <c r="H4508" s="8" t="e">
        <v>#N/A</v>
      </c>
      <c r="I4508" s="8" t="n"/>
    </row>
    <row r="4509">
      <c r="A4509" s="4" t="n">
        <v>33834</v>
      </c>
      <c r="B4509" s="4" t="inlineStr">
        <is>
          <t>sw30407-bla-000349-0407-52</t>
        </is>
      </c>
      <c r="C4509" s="4" t="inlineStr">
        <is>
          <t>W00031886A</t>
        </is>
      </c>
      <c r="D4509" s="6">
        <f>IF(F4509&gt;=5, F4509-5, IF(F4509&lt;5, 0, F4509))</f>
        <v/>
      </c>
      <c r="E4509">
        <f>VLOOKUP(B4509,[1]Namshi!$A:$B,2,0)</f>
        <v/>
      </c>
      <c r="F4509" s="4">
        <f>SUMIFS('Dubai Stock'!I:I,'Dubai Stock'!H:H,Final_UAE!B:B)</f>
        <v/>
      </c>
      <c r="H4509" s="8" t="e">
        <v>#N/A</v>
      </c>
    </row>
    <row r="4510">
      <c r="A4510" s="4" t="n">
        <v>33834</v>
      </c>
      <c r="B4510" s="4" t="inlineStr">
        <is>
          <t>clstdai-cla-iris-p30-jazz-black-sn0125</t>
        </is>
      </c>
      <c r="C4510" s="4" t="inlineStr">
        <is>
          <t>W00031886A</t>
        </is>
      </c>
      <c r="D4510" s="6">
        <f>IF(F4510&gt;=5, F4510-5, IF(F4510&lt;5, 0, F4510))</f>
        <v/>
      </c>
      <c r="E4510">
        <f>VLOOKUP(B4510,[1]Namshi!$A:$B,2,0)</f>
        <v/>
      </c>
      <c r="F4510" s="4">
        <f>SUMIFS('Dubai Stock'!I:I,'Dubai Stock'!H:H,Final_UAE!B:B)</f>
        <v/>
      </c>
      <c r="H4510" s="8" t="e">
        <v>#N/A</v>
      </c>
      <c r="I4510" s="8" t="n"/>
    </row>
    <row r="4511">
      <c r="A4511" s="4" t="n">
        <v>33834</v>
      </c>
      <c r="B4511" s="4" t="inlineStr">
        <is>
          <t>clstdai-dai-aqua-p90-sn0300</t>
        </is>
      </c>
      <c r="C4511" s="4" t="inlineStr">
        <is>
          <t>W00031886A</t>
        </is>
      </c>
      <c r="D4511" s="6">
        <f>IF(F4511&gt;=5, F4511-5, IF(F4511&lt;5, 0, F4511))</f>
        <v/>
      </c>
      <c r="E4511">
        <f>VLOOKUP(B4511,[1]Namshi!$A:$B,2,0)</f>
        <v/>
      </c>
      <c r="F4511" s="4">
        <f>SUMIFS('Dubai Stock'!I:I,'Dubai Stock'!H:H,Final_UAE!B:B)</f>
        <v/>
      </c>
      <c r="H4511" s="8" t="e">
        <v>#N/A</v>
      </c>
      <c r="I4511" s="8" t="n"/>
    </row>
    <row r="4512">
      <c r="A4512" s="4" t="n">
        <v>33834</v>
      </c>
      <c r="B4512" s="4" t="inlineStr">
        <is>
          <t>su100701-bla-000278-0701-58</t>
        </is>
      </c>
      <c r="C4512" s="4" t="inlineStr">
        <is>
          <t>W00031886A</t>
        </is>
      </c>
      <c r="D4512" s="6">
        <f>IF(F4512&gt;=5, F4512-5, IF(F4512&lt;5, 0, F4512))</f>
        <v/>
      </c>
      <c r="E4512">
        <f>VLOOKUP(B4512,[1]Namshi!$A:$B,2,0)</f>
        <v/>
      </c>
      <c r="F4512" s="4">
        <f>SUMIFS('Dubai Stock'!I:I,'Dubai Stock'!H:H,Final_UAE!B:B)</f>
        <v/>
      </c>
      <c r="H4512" s="8" t="e">
        <v>#N/A</v>
      </c>
    </row>
    <row r="4513">
      <c r="A4513" s="4" t="n">
        <v>33834</v>
      </c>
      <c r="B4513" s="4" t="inlineStr">
        <is>
          <t>costdai-ama-dail-p10-honey-sn0950</t>
        </is>
      </c>
      <c r="C4513" s="4" t="inlineStr">
        <is>
          <t>W00031886A</t>
        </is>
      </c>
      <c r="D4513" s="6">
        <f>IF(F4513&gt;=5, F4513-5, IF(F4513&lt;5, 0, F4513))</f>
        <v/>
      </c>
      <c r="E4513">
        <f>VLOOKUP(B4513,[1]Namshi!$A:$B,2,0)</f>
        <v/>
      </c>
      <c r="F4513" s="4">
        <f>SUMIFS('Dubai Stock'!I:I,'Dubai Stock'!H:H,Final_UAE!B:B)</f>
        <v/>
      </c>
      <c r="H4513" s="8" t="e">
        <v>#N/A</v>
      </c>
      <c r="I4513" s="8" t="n"/>
    </row>
    <row r="4514">
      <c r="A4514" s="4" t="n">
        <v>33834</v>
      </c>
      <c r="B4514" s="4" t="inlineStr">
        <is>
          <t>cost3mo-lay-2021-p02-skye-blue-sn0500</t>
        </is>
      </c>
      <c r="C4514" s="4" t="inlineStr">
        <is>
          <t>W00031886A</t>
        </is>
      </c>
      <c r="D4514" s="6">
        <f>IF(F4514&gt;=5, F4514-5, IF(F4514&lt;5, 0, F4514))</f>
        <v/>
      </c>
      <c r="E4514">
        <f>VLOOKUP(B4514,[1]Namshi!$A:$B,2,0)</f>
        <v/>
      </c>
      <c r="F4514" s="4">
        <f>SUMIFS('Dubai Stock'!I:I,'Dubai Stock'!H:H,Final_UAE!B:B)</f>
        <v/>
      </c>
      <c r="H4514" s="8" t="e">
        <v>#N/A</v>
      </c>
      <c r="I4514" s="8" t="n"/>
    </row>
    <row r="4515">
      <c r="A4515" s="4" t="n">
        <v>33834</v>
      </c>
      <c r="B4515" s="4" t="inlineStr">
        <is>
          <t>clstdai-acu-dfna-p30-sn0125</t>
        </is>
      </c>
      <c r="C4515" s="4" t="inlineStr">
        <is>
          <t>W00031886A</t>
        </is>
      </c>
      <c r="D4515" s="6">
        <f>IF(F4515&gt;=5, F4515-5, IF(F4515&lt;5, 0, F4515))</f>
        <v/>
      </c>
      <c r="E4515">
        <f>VLOOKUP(B4515,[1]Namshi!$A:$B,2,0)</f>
        <v/>
      </c>
      <c r="F4515" s="4">
        <f>SUMIFS('Dubai Stock'!I:I,'Dubai Stock'!H:H,Final_UAE!B:B)</f>
        <v/>
      </c>
      <c r="H4515" s="8" t="e">
        <v>#N/A</v>
      </c>
      <c r="I4515" s="8" t="n"/>
    </row>
    <row r="4516">
      <c r="A4516" s="4" t="n">
        <v>33834</v>
      </c>
      <c r="B4516" s="4" t="inlineStr">
        <is>
          <t>clstdai-acu-dfna-p30-sn0275</t>
        </is>
      </c>
      <c r="C4516" s="4" t="inlineStr">
        <is>
          <t>W00031886A</t>
        </is>
      </c>
      <c r="D4516" s="6">
        <f>IF(F4516&gt;=5, F4516-5, IF(F4516&lt;5, 0, F4516))</f>
        <v/>
      </c>
      <c r="E4516">
        <f>VLOOKUP(B4516,[1]Namshi!$A:$B,2,0)</f>
        <v/>
      </c>
      <c r="F4516" s="4">
        <f>SUMIFS('Dubai Stock'!I:I,'Dubai Stock'!H:H,Final_UAE!B:B)</f>
        <v/>
      </c>
      <c r="H4516" s="8" t="e">
        <v>#N/A</v>
      </c>
      <c r="I4516" s="8" t="n"/>
    </row>
    <row r="4517">
      <c r="A4517" s="4" t="n">
        <v>33834</v>
      </c>
      <c r="B4517" s="4" t="inlineStr">
        <is>
          <t>clstdai-acu-oasy-p30-sp0400</t>
        </is>
      </c>
      <c r="C4517" s="4" t="inlineStr">
        <is>
          <t>W00031886A</t>
        </is>
      </c>
      <c r="D4517" s="6">
        <f>IF(F4517&gt;=5, F4517-5, IF(F4517&lt;5, 0, F4517))</f>
        <v/>
      </c>
      <c r="E4517">
        <f>VLOOKUP(B4517,[1]Namshi!$A:$B,2,0)</f>
        <v/>
      </c>
      <c r="F4517" s="4">
        <f>SUMIFS('Dubai Stock'!I:I,'Dubai Stock'!H:H,Final_UAE!B:B)</f>
        <v/>
      </c>
      <c r="H4517" s="8" t="e">
        <v>#N/A</v>
      </c>
      <c r="I4517" s="8" t="n"/>
    </row>
    <row r="4518">
      <c r="A4518" s="4" t="n">
        <v>33834</v>
      </c>
      <c r="B4518" s="4" t="inlineStr">
        <is>
          <t>clstdai-lay-cont-p90-dazzle-brown-sn0400</t>
        </is>
      </c>
      <c r="C4518" s="4" t="inlineStr">
        <is>
          <t>W00031886A</t>
        </is>
      </c>
      <c r="D4518" s="6">
        <f>IF(F4518&gt;=5, F4518-5, IF(F4518&lt;5, 0, F4518))</f>
        <v/>
      </c>
      <c r="E4518">
        <f>VLOOKUP(B4518,[1]Namshi!$A:$B,2,0)</f>
        <v/>
      </c>
      <c r="F4518" s="4">
        <f>SUMIFS('Dubai Stock'!I:I,'Dubai Stock'!H:H,Final_UAE!B:B)</f>
        <v/>
      </c>
      <c r="H4518" s="8" t="e">
        <v>#N/A</v>
      </c>
      <c r="I4518" s="8" t="n"/>
    </row>
    <row r="4519">
      <c r="A4519" s="4" t="n">
        <v>33834</v>
      </c>
      <c r="B4519" s="4" t="inlineStr">
        <is>
          <t>fw30418-spc-000809-0418-61</t>
        </is>
      </c>
      <c r="C4519" s="4" t="inlineStr">
        <is>
          <t>W00031886A</t>
        </is>
      </c>
      <c r="D4519" s="6">
        <f>IF(F4519&gt;=5, F4519-5, IF(F4519&lt;5, 0, F4519))</f>
        <v/>
      </c>
      <c r="E4519">
        <f>VLOOKUP(B4519,[1]Namshi!$A:$B,2,0)</f>
        <v/>
      </c>
      <c r="F4519" s="4">
        <f>SUMIFS('Dubai Stock'!I:I,'Dubai Stock'!H:H,Final_UAE!B:B)</f>
        <v/>
      </c>
      <c r="H4519" s="8" t="e">
        <v>#N/A</v>
      </c>
      <c r="I4519" s="8" t="n"/>
    </row>
    <row r="4520">
      <c r="A4520" s="4" t="n">
        <v>33834</v>
      </c>
      <c r="B4520" s="4" t="inlineStr">
        <is>
          <t>clstdai-btr-oned-p90-sp0325</t>
        </is>
      </c>
      <c r="C4520" s="4" t="inlineStr">
        <is>
          <t>W00031886A</t>
        </is>
      </c>
      <c r="D4520" s="6">
        <f>IF(F4520&gt;=5, F4520-5, IF(F4520&lt;5, 0, F4520))</f>
        <v/>
      </c>
      <c r="E4520">
        <f>VLOOKUP(B4520,[1]Namshi!$A:$B,2,0)</f>
        <v/>
      </c>
      <c r="F4520" s="4">
        <f>SUMIFS('Dubai Stock'!I:I,'Dubai Stock'!H:H,Final_UAE!B:B)</f>
        <v/>
      </c>
      <c r="H4520" s="8" t="e">
        <v>#N/A</v>
      </c>
      <c r="I4520" s="8" t="n"/>
    </row>
    <row r="4521">
      <c r="A4521" s="4" t="n">
        <v>33834</v>
      </c>
      <c r="B4521" s="4" t="inlineStr">
        <is>
          <t>sm10107-30s-000254-0107-54</t>
        </is>
      </c>
      <c r="C4521" s="4" t="inlineStr">
        <is>
          <t>W00031886A</t>
        </is>
      </c>
      <c r="D4521" s="6">
        <f>IF(F4521&gt;=5, F4521-5, IF(F4521&lt;5, 0, F4521))</f>
        <v/>
      </c>
      <c r="E4521">
        <f>VLOOKUP(B4521,[1]Namshi!$A:$B,2,0)</f>
        <v/>
      </c>
      <c r="F4521" s="4">
        <f>SUMIFS('Dubai Stock'!I:I,'Dubai Stock'!H:H,Final_UAE!B:B)</f>
        <v/>
      </c>
      <c r="H4521" s="8" t="e">
        <v>#N/A</v>
      </c>
    </row>
    <row r="4522">
      <c r="A4522" s="4" t="n">
        <v>33834</v>
      </c>
      <c r="B4522" s="4" t="inlineStr">
        <is>
          <t>clstmon-bio-biof-p06-sn0650</t>
        </is>
      </c>
      <c r="C4522" s="4" t="inlineStr">
        <is>
          <t>W00031886A</t>
        </is>
      </c>
      <c r="D4522" s="6">
        <f>IF(F4522&gt;=5, F4522-5, IF(F4522&lt;5, 0, F4522))</f>
        <v/>
      </c>
      <c r="E4522">
        <f>VLOOKUP(B4522,[1]Namshi!$A:$B,2,0)</f>
        <v/>
      </c>
      <c r="F4522" s="4">
        <f>SUMIFS('Dubai Stock'!I:I,'Dubai Stock'!H:H,Final_UAE!B:B)</f>
        <v/>
      </c>
      <c r="H4522" s="8" t="e">
        <v>#N/A</v>
      </c>
      <c r="I4522" s="8" t="n"/>
    </row>
    <row r="4523">
      <c r="A4523" s="4" t="n">
        <v>33834</v>
      </c>
      <c r="B4523" s="4" t="inlineStr">
        <is>
          <t>sunglasses-30Sundays-30s-00448-2907p</t>
        </is>
      </c>
      <c r="C4523" s="4" t="inlineStr">
        <is>
          <t>W00031886A</t>
        </is>
      </c>
      <c r="D4523" s="6">
        <f>IF(F4523&gt;=5, F4523-5, IF(F4523&lt;5, 0, F4523))</f>
        <v/>
      </c>
      <c r="E4523">
        <f>VLOOKUP(B4523,[1]Namshi!$A:$B,2,0)</f>
        <v/>
      </c>
      <c r="F4523" s="4">
        <f>SUMIFS('Dubai Stock'!I:I,'Dubai Stock'!H:H,Final_UAE!B:B)</f>
        <v/>
      </c>
      <c r="H4523" s="8" t="e">
        <v>#N/A</v>
      </c>
      <c r="I4523" s="8" t="n"/>
    </row>
    <row r="4524">
      <c r="A4524" s="4" t="n">
        <v>33834</v>
      </c>
      <c r="B4524" s="4" t="inlineStr">
        <is>
          <t>clstbiw-acu-oasy-p06-sp0525</t>
        </is>
      </c>
      <c r="C4524" s="4" t="inlineStr">
        <is>
          <t>W00031886A</t>
        </is>
      </c>
      <c r="D4524" s="6">
        <f>IF(F4524&gt;=5, F4524-5, IF(F4524&lt;5, 0, F4524))</f>
        <v/>
      </c>
      <c r="E4524">
        <f>VLOOKUP(B4524,[1]Namshi!$A:$B,2,0)</f>
        <v/>
      </c>
      <c r="F4524" s="4">
        <f>SUMIFS('Dubai Stock'!I:I,'Dubai Stock'!H:H,Final_UAE!B:B)</f>
        <v/>
      </c>
      <c r="H4524" s="8" t="e">
        <v>#N/A</v>
      </c>
      <c r="I4524" s="8" t="n"/>
    </row>
    <row r="4525">
      <c r="A4525" s="4" t="n">
        <v>33834</v>
      </c>
      <c r="B4525" s="4" t="inlineStr">
        <is>
          <t>clstdai-cti-cla1-p30-sn0325</t>
        </is>
      </c>
      <c r="C4525" s="4" t="inlineStr">
        <is>
          <t>W00031886A</t>
        </is>
      </c>
      <c r="D4525" s="6">
        <f>IF(F4525&gt;=5, F4525-5, IF(F4525&lt;5, 0, F4525))</f>
        <v/>
      </c>
      <c r="E4525">
        <f>VLOOKUP(B4525,[1]Namshi!$A:$B,2,0)</f>
        <v/>
      </c>
      <c r="F4525" s="4">
        <f>SUMIFS('Dubai Stock'!I:I,'Dubai Stock'!H:H,Final_UAE!B:B)</f>
        <v/>
      </c>
      <c r="H4525" s="8" t="e">
        <v>#N/A</v>
      </c>
      <c r="I4525" s="8" t="n"/>
    </row>
    <row r="4526">
      <c r="A4526" s="4" t="n">
        <v>33834</v>
      </c>
      <c r="B4526" s="4" t="inlineStr">
        <is>
          <t>clstmon-ava-avai-p06-sn0325</t>
        </is>
      </c>
      <c r="C4526" s="4" t="inlineStr">
        <is>
          <t>W00031886A</t>
        </is>
      </c>
      <c r="D4526" s="6">
        <f>IF(F4526&gt;=5, F4526-5, IF(F4526&lt;5, 0, F4526))</f>
        <v/>
      </c>
      <c r="E4526">
        <f>VLOOKUP(B4526,[1]Namshi!$A:$B,2,0)</f>
        <v/>
      </c>
      <c r="F4526" s="4">
        <f>SUMIFS('Dubai Stock'!I:I,'Dubai Stock'!H:H,Final_UAE!B:B)</f>
        <v/>
      </c>
      <c r="H4526" s="8" t="e">
        <v>#N/A</v>
      </c>
      <c r="I4526" s="8" t="n"/>
    </row>
    <row r="4527">
      <c r="A4527" s="4" t="n">
        <v>33834</v>
      </c>
      <c r="B4527" s="4" t="inlineStr">
        <is>
          <t>clstmon-sof-sl59-p06-sn0200</t>
        </is>
      </c>
      <c r="C4527" s="4" t="inlineStr">
        <is>
          <t>W00031886A</t>
        </is>
      </c>
      <c r="D4527" s="6">
        <f>IF(F4527&gt;=5, F4527-5, IF(F4527&lt;5, 0, F4527))</f>
        <v/>
      </c>
      <c r="E4527">
        <f>VLOOKUP(B4527,[1]Namshi!$A:$B,2,0)</f>
        <v/>
      </c>
      <c r="F4527" s="4">
        <f>SUMIFS('Dubai Stock'!I:I,'Dubai Stock'!H:H,Final_UAE!B:B)</f>
        <v/>
      </c>
      <c r="H4527" s="8" t="e">
        <v>#N/A</v>
      </c>
      <c r="I4527" s="8" t="n"/>
    </row>
    <row r="4528">
      <c r="A4528" s="4" t="n">
        <v>33834</v>
      </c>
      <c r="B4528" s="4" t="inlineStr">
        <is>
          <t>sm40107-30s-000299-0107p-53</t>
        </is>
      </c>
      <c r="C4528" s="4" t="inlineStr">
        <is>
          <t>W00031886A</t>
        </is>
      </c>
      <c r="D4528" s="6">
        <f>IF(F4528&gt;=5, F4528-5, IF(F4528&lt;5, 0, F4528))</f>
        <v/>
      </c>
      <c r="E4528">
        <f>VLOOKUP(B4528,[1]Namshi!$A:$B,2,0)</f>
        <v/>
      </c>
      <c r="F4528" s="4">
        <f>SUMIFS('Dubai Stock'!I:I,'Dubai Stock'!H:H,Final_UAE!B:B)</f>
        <v/>
      </c>
      <c r="H4528" s="8" t="e">
        <v>#N/A</v>
      </c>
    </row>
    <row r="4529">
      <c r="A4529" s="4" t="n">
        <v>33834</v>
      </c>
      <c r="B4529" s="4" t="inlineStr">
        <is>
          <t>clstdai-lay-cont-p30-dazzle-brown-sn0525</t>
        </is>
      </c>
      <c r="C4529" s="4" t="inlineStr">
        <is>
          <t>W00031886A</t>
        </is>
      </c>
      <c r="D4529" s="6">
        <f>IF(F4529&gt;=5, F4529-5, IF(F4529&lt;5, 0, F4529))</f>
        <v/>
      </c>
      <c r="E4529">
        <f>VLOOKUP(B4529,[1]Namshi!$A:$B,2,0)</f>
        <v/>
      </c>
      <c r="F4529" s="4">
        <f>SUMIFS('Dubai Stock'!I:I,'Dubai Stock'!H:H,Final_UAE!B:B)</f>
        <v/>
      </c>
      <c r="H4529" s="8" t="e">
        <v>#N/A</v>
      </c>
      <c r="I4529" s="8" t="n"/>
    </row>
    <row r="4530">
      <c r="A4530" s="4" t="n">
        <v>33834</v>
      </c>
      <c r="B4530" s="4" t="inlineStr">
        <is>
          <t>cltobiw-acu-oasy-p06-sn0475-cn0175-a170</t>
        </is>
      </c>
      <c r="C4530" s="4" t="inlineStr">
        <is>
          <t>W00031886A</t>
        </is>
      </c>
      <c r="D4530" s="6">
        <f>IF(F4530&gt;=5, F4530-5, IF(F4530&lt;5, 0, F4530))</f>
        <v/>
      </c>
      <c r="E4530">
        <f>VLOOKUP(B4530,[1]Namshi!$A:$B,2,0)</f>
        <v/>
      </c>
      <c r="F4530" s="4">
        <f>SUMIFS('Dubai Stock'!I:I,'Dubai Stock'!H:H,Final_UAE!B:B)</f>
        <v/>
      </c>
      <c r="H4530" s="8" t="e">
        <v>#N/A</v>
      </c>
      <c r="I4530" s="8" t="n"/>
    </row>
    <row r="4531">
      <c r="A4531" s="4" t="n">
        <v>33834</v>
      </c>
      <c r="B4531" s="4" t="inlineStr">
        <is>
          <t>costmon-ama-2024-p02-chocolate-sn0125</t>
        </is>
      </c>
      <c r="C4531" s="4" t="inlineStr">
        <is>
          <t>W00031886A</t>
        </is>
      </c>
      <c r="D4531" s="6">
        <f>IF(F4531&gt;=5, F4531-5, IF(F4531&lt;5, 0, F4531))</f>
        <v/>
      </c>
      <c r="E4531">
        <f>VLOOKUP(B4531,[1]Namshi!$A:$B,2,0)</f>
        <v/>
      </c>
      <c r="F4531" s="4">
        <f>SUMIFS('Dubai Stock'!I:I,'Dubai Stock'!H:H,Final_UAE!B:B)</f>
        <v/>
      </c>
      <c r="H4531" s="8" t="e">
        <v>#N/A</v>
      </c>
      <c r="I4531" s="8" t="n"/>
    </row>
    <row r="4532">
      <c r="A4532" s="4" t="n">
        <v>33834</v>
      </c>
      <c r="B4532" s="4" t="inlineStr">
        <is>
          <t>clstdai-dai-tot1-p90-sn0125</t>
        </is>
      </c>
      <c r="C4532" s="4" t="inlineStr">
        <is>
          <t>W00031886A</t>
        </is>
      </c>
      <c r="D4532" s="6">
        <f>IF(F4532&gt;=5, F4532-5, IF(F4532&lt;5, 0, F4532))</f>
        <v/>
      </c>
      <c r="E4532">
        <f>VLOOKUP(B4532,[1]Namshi!$A:$B,2,0)</f>
        <v/>
      </c>
      <c r="F4532" s="4">
        <f>SUMIFS('Dubai Stock'!I:I,'Dubai Stock'!H:H,Final_UAE!B:B)</f>
        <v/>
      </c>
      <c r="H4532" s="8" t="e">
        <v>#N/A</v>
      </c>
      <c r="I4532" s="8" t="n"/>
    </row>
    <row r="4533">
      <c r="A4533" s="4" t="n">
        <v>33834</v>
      </c>
      <c r="B4533" s="4" t="inlineStr">
        <is>
          <t>clstmon-ava-avai-p06-sn0400</t>
        </is>
      </c>
      <c r="C4533" s="4" t="inlineStr">
        <is>
          <t>W00031886A</t>
        </is>
      </c>
      <c r="D4533" s="6">
        <f>IF(F4533&gt;=5, F4533-5, IF(F4533&lt;5, 0, F4533))</f>
        <v/>
      </c>
      <c r="E4533">
        <f>VLOOKUP(B4533,[1]Namshi!$A:$B,2,0)</f>
        <v/>
      </c>
      <c r="F4533" s="4">
        <f>SUMIFS('Dubai Stock'!I:I,'Dubai Stock'!H:H,Final_UAE!B:B)</f>
        <v/>
      </c>
      <c r="H4533" s="8" t="e">
        <v>#N/A</v>
      </c>
      <c r="I4533" s="8" t="n"/>
    </row>
    <row r="4534">
      <c r="A4534" s="4" t="n">
        <v>33834</v>
      </c>
      <c r="B4534" s="4" t="inlineStr">
        <is>
          <t>costdai-acu-dffr-p10-blue-sn0100</t>
        </is>
      </c>
      <c r="C4534" s="4" t="inlineStr">
        <is>
          <t>W00031886A</t>
        </is>
      </c>
      <c r="D4534" s="6">
        <f>IF(F4534&gt;=5, F4534-5, IF(F4534&lt;5, 0, F4534))</f>
        <v/>
      </c>
      <c r="E4534">
        <f>VLOOKUP(B4534,[1]Namshi!$A:$B,2,0)</f>
        <v/>
      </c>
      <c r="F4534" s="4">
        <f>SUMIFS('Dubai Stock'!I:I,'Dubai Stock'!H:H,Final_UAE!B:B)</f>
        <v/>
      </c>
      <c r="H4534" s="8" t="e">
        <v>#N/A</v>
      </c>
      <c r="I4534" s="8" t="n"/>
    </row>
    <row r="4535">
      <c r="A4535" s="4" t="n">
        <v>33834</v>
      </c>
      <c r="B4535" s="4" t="inlineStr">
        <is>
          <t>clstdai-acu-mois-p30-sn0425</t>
        </is>
      </c>
      <c r="C4535" s="4" t="inlineStr">
        <is>
          <t>W00031886A</t>
        </is>
      </c>
      <c r="D4535" s="6">
        <f>IF(F4535&gt;=5, F4535-5, IF(F4535&lt;5, 0, F4535))</f>
        <v/>
      </c>
      <c r="E4535">
        <f>VLOOKUP(B4535,[1]Namshi!$A:$B,2,0)</f>
        <v/>
      </c>
      <c r="F4535" s="4">
        <f>SUMIFS('Dubai Stock'!I:I,'Dubai Stock'!H:H,Final_UAE!B:B)</f>
        <v/>
      </c>
      <c r="H4535" s="8" t="e">
        <v>#N/A</v>
      </c>
      <c r="I4535" s="8" t="n"/>
    </row>
    <row r="4536">
      <c r="A4536" s="4" t="n">
        <v>33834</v>
      </c>
      <c r="B4536" s="4" t="inlineStr">
        <is>
          <t>costdai-acu-dffr-p10-hazel-sn0050</t>
        </is>
      </c>
      <c r="C4536" s="4" t="inlineStr">
        <is>
          <t>W00031886A</t>
        </is>
      </c>
      <c r="D4536" s="6">
        <f>IF(F4536&gt;=5, F4536-5, IF(F4536&lt;5, 0, F4536))</f>
        <v/>
      </c>
      <c r="E4536">
        <f>VLOOKUP(B4536,[1]Namshi!$A:$B,2,0)</f>
        <v/>
      </c>
      <c r="F4536" s="4">
        <f>SUMIFS('Dubai Stock'!I:I,'Dubai Stock'!H:H,Final_UAE!B:B)</f>
        <v/>
      </c>
      <c r="H4536" s="8" t="e">
        <v>#N/A</v>
      </c>
      <c r="I4536" s="8" t="n"/>
    </row>
    <row r="4537">
      <c r="A4537" s="4" t="n">
        <v>33834</v>
      </c>
      <c r="B4537" s="4" t="inlineStr">
        <is>
          <t>cost3mo-lay-2021-p02-sunkiss-brown-sn0600</t>
        </is>
      </c>
      <c r="C4537" s="4" t="inlineStr">
        <is>
          <t>W00031886A</t>
        </is>
      </c>
      <c r="D4537" s="6">
        <f>IF(F4537&gt;=5, F4537-5, IF(F4537&lt;5, 0, F4537))</f>
        <v/>
      </c>
      <c r="E4537">
        <f>VLOOKUP(B4537,[1]Namshi!$A:$B,2,0)</f>
        <v/>
      </c>
      <c r="F4537" s="4">
        <f>SUMIFS('Dubai Stock'!I:I,'Dubai Stock'!H:H,Final_UAE!B:B)</f>
        <v/>
      </c>
      <c r="H4537" s="8" t="e">
        <v>#N/A</v>
      </c>
      <c r="I4537" s="8" t="n"/>
    </row>
    <row r="4538">
      <c r="A4538" s="4" t="n">
        <v>33834</v>
      </c>
      <c r="B4538" s="4" t="inlineStr">
        <is>
          <t>cost3mo-lay-2021-p02-polar-gray-sn0250</t>
        </is>
      </c>
      <c r="C4538" s="4" t="inlineStr">
        <is>
          <t>W00031886A</t>
        </is>
      </c>
      <c r="D4538" s="6">
        <f>IF(F4538&gt;=5, F4538-5, IF(F4538&lt;5, 0, F4538))</f>
        <v/>
      </c>
      <c r="E4538">
        <f>VLOOKUP(B4538,[1]Namshi!$A:$B,2,0)</f>
        <v/>
      </c>
      <c r="F4538" s="4">
        <f>SUMIFS('Dubai Stock'!I:I,'Dubai Stock'!H:H,Final_UAE!B:B)</f>
        <v/>
      </c>
      <c r="H4538" s="8" t="e">
        <v>#N/A</v>
      </c>
      <c r="I4538" s="8" t="n"/>
    </row>
    <row r="4539">
      <c r="A4539" s="4" t="n">
        <v>33834</v>
      </c>
      <c r="B4539" s="4" t="inlineStr">
        <is>
          <t>cost3mo-lay-2022-p02-crescent-gray-sn0500</t>
        </is>
      </c>
      <c r="C4539" s="4" t="inlineStr">
        <is>
          <t>W00031886A</t>
        </is>
      </c>
      <c r="D4539" s="6">
        <f>IF(F4539&gt;=5, F4539-5, IF(F4539&lt;5, 0, F4539))</f>
        <v/>
      </c>
      <c r="E4539">
        <f>VLOOKUP(B4539,[1]Namshi!$A:$B,2,0)</f>
        <v/>
      </c>
      <c r="F4539" s="4">
        <f>SUMIFS('Dubai Stock'!I:I,'Dubai Stock'!H:H,Final_UAE!B:B)</f>
        <v/>
      </c>
      <c r="H4539" s="8" t="e">
        <v>#N/A</v>
      </c>
      <c r="I4539" s="8" t="n"/>
    </row>
    <row r="4540">
      <c r="A4540" s="4" t="n">
        <v>33834</v>
      </c>
      <c r="B4540" s="4" t="inlineStr">
        <is>
          <t>clstdai-acu-mois-p30-sp0075</t>
        </is>
      </c>
      <c r="C4540" s="4" t="inlineStr">
        <is>
          <t>W00031886A</t>
        </is>
      </c>
      <c r="D4540" s="6">
        <f>IF(F4540&gt;=5, F4540-5, IF(F4540&lt;5, 0, F4540))</f>
        <v/>
      </c>
      <c r="E4540">
        <f>VLOOKUP(B4540,[1]Namshi!$A:$B,2,0)</f>
        <v/>
      </c>
      <c r="F4540" s="4">
        <f>SUMIFS('Dubai Stock'!I:I,'Dubai Stock'!H:H,Final_UAE!B:B)</f>
        <v/>
      </c>
      <c r="H4540" s="8" t="e">
        <v>#N/A</v>
      </c>
      <c r="I4540" s="8" t="n"/>
    </row>
    <row r="4541">
      <c r="A4541" s="4" t="n">
        <v>33834</v>
      </c>
      <c r="B4541" s="4" t="inlineStr">
        <is>
          <t>bc51318-bab-000505-1318-43</t>
        </is>
      </c>
      <c r="C4541" s="4" t="inlineStr">
        <is>
          <t>W00031886A</t>
        </is>
      </c>
      <c r="D4541" s="6">
        <f>IF(F4541&gt;=5, F4541-5, IF(F4541&lt;5, 0, F4541))</f>
        <v/>
      </c>
      <c r="E4541">
        <f>VLOOKUP(B4541,[1]Namshi!$A:$B,2,0)</f>
        <v/>
      </c>
      <c r="F4541" s="4">
        <f>SUMIFS('Dubai Stock'!I:I,'Dubai Stock'!H:H,Final_UAE!B:B)</f>
        <v/>
      </c>
      <c r="H4541" s="8" t="e">
        <v>#N/A</v>
      </c>
      <c r="I4541" s="8" t="n"/>
    </row>
    <row r="4542">
      <c r="A4542" s="4" t="n">
        <v>33834</v>
      </c>
      <c r="B4542" s="4" t="inlineStr">
        <is>
          <t>cost3mo-lay-lens-p02-platinum-gray-sn0400</t>
        </is>
      </c>
      <c r="C4542" s="4" t="inlineStr">
        <is>
          <t>W00031886A</t>
        </is>
      </c>
      <c r="D4542" s="6">
        <f>IF(F4542&gt;=5, F4542-5, IF(F4542&lt;5, 0, F4542))</f>
        <v/>
      </c>
      <c r="E4542">
        <f>VLOOKUP(B4542,[1]Namshi!$A:$B,2,0)</f>
        <v/>
      </c>
      <c r="F4542" s="4">
        <f>SUMIFS('Dubai Stock'!I:I,'Dubai Stock'!H:H,Final_UAE!B:B)</f>
        <v/>
      </c>
      <c r="H4542" s="8" t="e">
        <v>#N/A</v>
      </c>
      <c r="I4542" s="8" t="n"/>
    </row>
    <row r="4543">
      <c r="A4543" s="4" t="n">
        <v>33834</v>
      </c>
      <c r="B4543" s="4" t="inlineStr">
        <is>
          <t>clstdai-lay-cont-p10-dazzle-black-sn0425</t>
        </is>
      </c>
      <c r="C4543" s="4" t="inlineStr">
        <is>
          <t>W00031886A</t>
        </is>
      </c>
      <c r="D4543" s="6">
        <f>IF(F4543&gt;=5, F4543-5, IF(F4543&lt;5, 0, F4543))</f>
        <v/>
      </c>
      <c r="E4543">
        <f>VLOOKUP(B4543,[1]Namshi!$A:$B,2,0)</f>
        <v/>
      </c>
      <c r="F4543" s="4">
        <f>SUMIFS('Dubai Stock'!I:I,'Dubai Stock'!H:H,Final_UAE!B:B)</f>
        <v/>
      </c>
      <c r="H4543" s="8" t="e">
        <v>#N/A</v>
      </c>
      <c r="I4543" s="8" t="n"/>
    </row>
    <row r="4544">
      <c r="A4544" s="4" t="n">
        <v>33834</v>
      </c>
      <c r="B4544" s="4" t="inlineStr">
        <is>
          <t>clstdai-eve-elit-p90-sn0325</t>
        </is>
      </c>
      <c r="C4544" s="4" t="inlineStr">
        <is>
          <t>W00031886A</t>
        </is>
      </c>
      <c r="D4544" s="6">
        <f>IF(F4544&gt;=5, F4544-5, IF(F4544&lt;5, 0, F4544))</f>
        <v/>
      </c>
      <c r="E4544">
        <f>VLOOKUP(B4544,[1]Namshi!$A:$B,2,0)</f>
        <v/>
      </c>
      <c r="F4544" s="4">
        <f>SUMIFS('Dubai Stock'!I:I,'Dubai Stock'!H:H,Final_UAE!B:B)</f>
        <v/>
      </c>
      <c r="H4544" s="8" t="n">
        <v>729</v>
      </c>
      <c r="I4544" s="8" t="n">
        <v>357</v>
      </c>
    </row>
    <row r="4545">
      <c r="A4545" s="4" t="n">
        <v>33834</v>
      </c>
      <c r="B4545" s="4" t="inlineStr">
        <is>
          <t>cost3mo-lay-lens-p02-forest-green-sn0100</t>
        </is>
      </c>
      <c r="C4545" s="4" t="inlineStr">
        <is>
          <t>W00031886A</t>
        </is>
      </c>
      <c r="D4545" s="6">
        <f>IF(F4545&gt;=5, F4545-5, IF(F4545&lt;5, 0, F4545))</f>
        <v/>
      </c>
      <c r="E4545">
        <f>VLOOKUP(B4545,[1]Namshi!$A:$B,2,0)</f>
        <v/>
      </c>
      <c r="F4545" s="4">
        <f>SUMIFS('Dubai Stock'!I:I,'Dubai Stock'!H:H,Final_UAE!B:B)</f>
        <v/>
      </c>
      <c r="H4545" s="8" t="e">
        <v>#N/A</v>
      </c>
      <c r="I4545" s="8" t="n"/>
    </row>
    <row r="4546">
      <c r="A4546" s="4" t="n">
        <v>33834</v>
      </c>
      <c r="B4546" s="4" t="inlineStr">
        <is>
          <t>clstdai-btr-oned-p90-sn0250</t>
        </is>
      </c>
      <c r="C4546" s="4" t="inlineStr">
        <is>
          <t>W00031886A</t>
        </is>
      </c>
      <c r="D4546" s="6">
        <f>IF(F4546&gt;=5, F4546-5, IF(F4546&lt;5, 0, F4546))</f>
        <v/>
      </c>
      <c r="E4546">
        <f>VLOOKUP(B4546,[1]Namshi!$A:$B,2,0)</f>
        <v/>
      </c>
      <c r="F4546" s="4">
        <f>SUMIFS('Dubai Stock'!I:I,'Dubai Stock'!H:H,Final_UAE!B:B)</f>
        <v/>
      </c>
      <c r="H4546" s="8" t="e">
        <v>#N/A</v>
      </c>
      <c r="I4546" s="8" t="n"/>
    </row>
    <row r="4547">
      <c r="A4547" s="4" t="n">
        <v>33834</v>
      </c>
      <c r="B4547" s="4" t="inlineStr">
        <is>
          <t>cost3mo-lay-2022-p02-avena-brown-sn0350</t>
        </is>
      </c>
      <c r="C4547" s="4" t="inlineStr">
        <is>
          <t>W00031886A</t>
        </is>
      </c>
      <c r="D4547" s="6">
        <f>IF(F4547&gt;=5, F4547-5, IF(F4547&lt;5, 0, F4547))</f>
        <v/>
      </c>
      <c r="E4547">
        <f>VLOOKUP(B4547,[1]Namshi!$A:$B,2,0)</f>
        <v/>
      </c>
      <c r="F4547" s="4">
        <f>SUMIFS('Dubai Stock'!I:I,'Dubai Stock'!H:H,Final_UAE!B:B)</f>
        <v/>
      </c>
      <c r="H4547" s="8" t="e">
        <v>#N/A</v>
      </c>
      <c r="I4547" s="8" t="n"/>
    </row>
    <row r="4548">
      <c r="A4548" s="4" t="n">
        <v>33834</v>
      </c>
      <c r="B4548" s="4" t="inlineStr">
        <is>
          <t>costmon-ama-2024-p02-matcha-sn0500</t>
        </is>
      </c>
      <c r="C4548" s="4" t="inlineStr">
        <is>
          <t>W00031886A</t>
        </is>
      </c>
      <c r="D4548" s="6">
        <f>IF(F4548&gt;=5, F4548-5, IF(F4548&lt;5, 0, F4548))</f>
        <v/>
      </c>
      <c r="E4548">
        <f>VLOOKUP(B4548,[1]Namshi!$A:$B,2,0)</f>
        <v/>
      </c>
      <c r="F4548" s="4">
        <f>SUMIFS('Dubai Stock'!I:I,'Dubai Stock'!H:H,Final_UAE!B:B)</f>
        <v/>
      </c>
      <c r="H4548" s="8" t="e">
        <v>#N/A</v>
      </c>
      <c r="I4548" s="8" t="n"/>
    </row>
    <row r="4549">
      <c r="A4549" s="4" t="n">
        <v>33834</v>
      </c>
      <c r="B4549" s="4" t="inlineStr">
        <is>
          <t>costdai-acu-dffr-p10-blue-sn0550</t>
        </is>
      </c>
      <c r="C4549" s="4" t="inlineStr">
        <is>
          <t>W00031886A</t>
        </is>
      </c>
      <c r="D4549" s="6">
        <f>IF(F4549&gt;=5, F4549-5, IF(F4549&lt;5, 0, F4549))</f>
        <v/>
      </c>
      <c r="E4549">
        <f>VLOOKUP(B4549,[1]Namshi!$A:$B,2,0)</f>
        <v/>
      </c>
      <c r="F4549" s="4">
        <f>SUMIFS('Dubai Stock'!I:I,'Dubai Stock'!H:H,Final_UAE!B:B)</f>
        <v/>
      </c>
      <c r="H4549" s="8" t="e">
        <v>#N/A</v>
      </c>
      <c r="I4549" s="8" t="n"/>
    </row>
    <row r="4550">
      <c r="A4550" s="4" t="n">
        <v>33834</v>
      </c>
      <c r="B4550" s="4" t="inlineStr">
        <is>
          <t>costmon-ama-2020-p02-pure-hazel-sn0175</t>
        </is>
      </c>
      <c r="C4550" s="4" t="inlineStr">
        <is>
          <t>W00031886A</t>
        </is>
      </c>
      <c r="D4550" s="6">
        <f>IF(F4550&gt;=5, F4550-5, IF(F4550&lt;5, 0, F4550))</f>
        <v/>
      </c>
      <c r="E4550">
        <f>VLOOKUP(B4550,[1]Namshi!$A:$B,2,0)</f>
        <v/>
      </c>
      <c r="F4550" s="4">
        <f>SUMIFS('Dubai Stock'!I:I,'Dubai Stock'!H:H,Final_UAE!B:B)</f>
        <v/>
      </c>
      <c r="H4550" s="8" t="e">
        <v>#N/A</v>
      </c>
      <c r="I4550" s="8" t="n"/>
    </row>
    <row r="4551">
      <c r="A4551" s="4" t="n">
        <v>33834</v>
      </c>
      <c r="B4551" s="4" t="inlineStr">
        <is>
          <t>costdai-ama-dail-p10-honey-sn0900</t>
        </is>
      </c>
      <c r="C4551" s="4" t="inlineStr">
        <is>
          <t>W00031886A</t>
        </is>
      </c>
      <c r="D4551" s="6">
        <f>IF(F4551&gt;=5, F4551-5, IF(F4551&lt;5, 0, F4551))</f>
        <v/>
      </c>
      <c r="E4551">
        <f>VLOOKUP(B4551,[1]Namshi!$A:$B,2,0)</f>
        <v/>
      </c>
      <c r="F4551" s="4">
        <f>SUMIFS('Dubai Stock'!I:I,'Dubai Stock'!H:H,Final_UAE!B:B)</f>
        <v/>
      </c>
      <c r="H4551" s="8" t="e">
        <v>#N/A</v>
      </c>
      <c r="I4551" s="8" t="n"/>
    </row>
    <row r="4552">
      <c r="A4552" s="4" t="n">
        <v>33834</v>
      </c>
      <c r="B4552" s="4" t="inlineStr">
        <is>
          <t>costdai-acu-dffr-p30-blue-sn0300</t>
        </is>
      </c>
      <c r="C4552" s="4" t="inlineStr">
        <is>
          <t>W00031886A</t>
        </is>
      </c>
      <c r="D4552" s="6">
        <f>IF(F4552&gt;=5, F4552-5, IF(F4552&lt;5, 0, F4552))</f>
        <v/>
      </c>
      <c r="E4552">
        <f>VLOOKUP(B4552,[1]Namshi!$A:$B,2,0)</f>
        <v/>
      </c>
      <c r="F4552" s="4">
        <f>SUMIFS('Dubai Stock'!I:I,'Dubai Stock'!H:H,Final_UAE!B:B)</f>
        <v/>
      </c>
      <c r="H4552" s="8" t="e">
        <v>#N/A</v>
      </c>
      <c r="I4552" s="8" t="n"/>
    </row>
    <row r="4553">
      <c r="A4553" s="4" t="n">
        <v>33834</v>
      </c>
      <c r="B4553" s="4" t="inlineStr">
        <is>
          <t>fw51118-spc-000714-1118-52</t>
        </is>
      </c>
      <c r="C4553" s="4" t="inlineStr">
        <is>
          <t>W00031886A</t>
        </is>
      </c>
      <c r="D4553" s="6">
        <f>IF(F4553&gt;=5, F4553-5, IF(F4553&lt;5, 0, F4553))</f>
        <v/>
      </c>
      <c r="E4553">
        <f>VLOOKUP(B4553,[1]Namshi!$A:$B,2,0)</f>
        <v/>
      </c>
      <c r="F4553" s="4">
        <f>SUMIFS('Dubai Stock'!I:I,'Dubai Stock'!H:H,Final_UAE!B:B)</f>
        <v/>
      </c>
      <c r="H4553" s="8" t="e">
        <v>#N/A</v>
      </c>
      <c r="I4553" s="8" t="n"/>
    </row>
    <row r="4554">
      <c r="A4554" s="4" t="n">
        <v>33834</v>
      </c>
      <c r="B4554" s="4" t="inlineStr">
        <is>
          <t>clstdai-sof-sdai-p30-sp0350</t>
        </is>
      </c>
      <c r="C4554" s="4" t="inlineStr">
        <is>
          <t>W00031886A</t>
        </is>
      </c>
      <c r="D4554" s="6">
        <f>IF(F4554&gt;=5, F4554-5, IF(F4554&lt;5, 0, F4554))</f>
        <v/>
      </c>
      <c r="E4554">
        <f>VLOOKUP(B4554,[1]Namshi!$A:$B,2,0)</f>
        <v/>
      </c>
      <c r="F4554" s="4">
        <f>SUMIFS('Dubai Stock'!I:I,'Dubai Stock'!H:H,Final_UAE!B:B)</f>
        <v/>
      </c>
      <c r="H4554" s="8" t="e">
        <v>#N/A</v>
      </c>
      <c r="I4554" s="8" t="n"/>
    </row>
    <row r="4555">
      <c r="A4555" s="4" t="n">
        <v>33834</v>
      </c>
      <c r="B4555" s="4" t="inlineStr">
        <is>
          <t>clstbiw-acu-oasy-p06-sn0575</t>
        </is>
      </c>
      <c r="C4555" s="4" t="inlineStr">
        <is>
          <t>W00031886A</t>
        </is>
      </c>
      <c r="D4555" s="6">
        <f>IF(F4555&gt;=5, F4555-5, IF(F4555&lt;5, 0, F4555))</f>
        <v/>
      </c>
      <c r="E4555">
        <f>VLOOKUP(B4555,[1]Namshi!$A:$B,2,0)</f>
        <v/>
      </c>
      <c r="F4555" s="4">
        <f>SUMIFS('Dubai Stock'!I:I,'Dubai Stock'!H:H,Final_UAE!B:B)</f>
        <v/>
      </c>
      <c r="H4555" s="8" t="e">
        <v>#N/A</v>
      </c>
      <c r="I4555" s="8" t="n"/>
    </row>
    <row r="4556">
      <c r="A4556" s="4" t="n">
        <v>33834</v>
      </c>
      <c r="B4556" s="4" t="inlineStr">
        <is>
          <t>su20207-30s-000218-0207-51</t>
        </is>
      </c>
      <c r="C4556" s="4" t="inlineStr">
        <is>
          <t>W00031886A</t>
        </is>
      </c>
      <c r="D4556" s="6">
        <f>IF(F4556&gt;=5, F4556-5, IF(F4556&lt;5, 0, F4556))</f>
        <v/>
      </c>
      <c r="E4556">
        <f>VLOOKUP(B4556,[1]Namshi!$A:$B,2,0)</f>
        <v/>
      </c>
      <c r="F4556" s="4">
        <f>SUMIFS('Dubai Stock'!I:I,'Dubai Stock'!H:H,Final_UAE!B:B)</f>
        <v/>
      </c>
      <c r="H4556" s="8" t="e">
        <v>#N/A</v>
      </c>
    </row>
    <row r="4557">
      <c r="A4557" s="4" t="n">
        <v>33834</v>
      </c>
      <c r="B4557" s="4" t="inlineStr">
        <is>
          <t>cost3mo-lay-lens-p02-cloudy-gray-sn0325</t>
        </is>
      </c>
      <c r="C4557" s="4" t="inlineStr">
        <is>
          <t>W00031886A</t>
        </is>
      </c>
      <c r="D4557" s="6">
        <f>IF(F4557&gt;=5, F4557-5, IF(F4557&lt;5, 0, F4557))</f>
        <v/>
      </c>
      <c r="E4557">
        <f>VLOOKUP(B4557,[1]Namshi!$A:$B,2,0)</f>
        <v/>
      </c>
      <c r="F4557" s="4">
        <f>SUMIFS('Dubai Stock'!I:I,'Dubai Stock'!H:H,Final_UAE!B:B)</f>
        <v/>
      </c>
      <c r="H4557" s="8" t="e">
        <v>#N/A</v>
      </c>
      <c r="I4557" s="8" t="n"/>
    </row>
    <row r="4558">
      <c r="A4558" s="4" t="n">
        <v>33834</v>
      </c>
      <c r="B4558" s="4" t="inlineStr">
        <is>
          <t>sw91212-bla-000211-1212-138</t>
        </is>
      </c>
      <c r="C4558" s="4" t="inlineStr">
        <is>
          <t>W00031886A</t>
        </is>
      </c>
      <c r="D4558" s="6">
        <f>IF(F4558&gt;=5, F4558-5, IF(F4558&lt;5, 0, F4558))</f>
        <v/>
      </c>
      <c r="E4558">
        <f>VLOOKUP(B4558,[1]Namshi!$A:$B,2,0)</f>
        <v/>
      </c>
      <c r="F4558" s="4">
        <f>SUMIFS('Dubai Stock'!I:I,'Dubai Stock'!H:H,Final_UAE!B:B)</f>
        <v/>
      </c>
      <c r="H4558" s="8" t="e">
        <v>#N/A</v>
      </c>
    </row>
    <row r="4559">
      <c r="A4559" s="4" t="n">
        <v>33834</v>
      </c>
      <c r="B4559" s="4" t="inlineStr">
        <is>
          <t>sm50104-30s-000299-0104p-53</t>
        </is>
      </c>
      <c r="C4559" s="4" t="inlineStr">
        <is>
          <t>W00031886A</t>
        </is>
      </c>
      <c r="D4559" s="6">
        <f>IF(F4559&gt;=5, F4559-5, IF(F4559&lt;5, 0, F4559))</f>
        <v/>
      </c>
      <c r="E4559">
        <f>VLOOKUP(B4559,[1]Namshi!$A:$B,2,0)</f>
        <v/>
      </c>
      <c r="F4559" s="4">
        <f>SUMIFS('Dubai Stock'!I:I,'Dubai Stock'!H:H,Final_UAE!B:B)</f>
        <v/>
      </c>
      <c r="H4559" s="8" t="e">
        <v>#N/A</v>
      </c>
    </row>
    <row r="4560">
      <c r="A4560" s="4" t="n">
        <v>33834</v>
      </c>
      <c r="B4560" s="4" t="inlineStr">
        <is>
          <t>sm100107-30s-000436-0107-51</t>
        </is>
      </c>
      <c r="C4560" s="4" t="inlineStr">
        <is>
          <t>W00031886A</t>
        </is>
      </c>
      <c r="D4560" s="6">
        <f>IF(F4560&gt;=5, F4560-5, IF(F4560&lt;5, 0, F4560))</f>
        <v/>
      </c>
      <c r="E4560">
        <f>VLOOKUP(B4560,[1]Namshi!$A:$B,2,0)</f>
        <v/>
      </c>
      <c r="F4560" s="4">
        <f>SUMIFS('Dubai Stock'!I:I,'Dubai Stock'!H:H,Final_UAE!B:B)</f>
        <v/>
      </c>
      <c r="H4560" s="8" t="e">
        <v>#N/A</v>
      </c>
    </row>
    <row r="4561">
      <c r="A4561" s="4" t="n">
        <v>33834</v>
      </c>
      <c r="B4561" s="4" t="inlineStr">
        <is>
          <t>cost3mo-lay-2025-p02-emerald-glow-sn0275</t>
        </is>
      </c>
      <c r="C4561" s="4" t="inlineStr">
        <is>
          <t>W00031886A</t>
        </is>
      </c>
      <c r="D4561" s="6">
        <f>IF(F4561&gt;=5, F4561-5, IF(F4561&lt;5, 0, F4561))</f>
        <v/>
      </c>
      <c r="E4561">
        <f>VLOOKUP(B4561,[1]Namshi!$A:$B,2,0)</f>
        <v/>
      </c>
      <c r="F4561" s="4">
        <f>SUMIFS('Dubai Stock'!I:I,'Dubai Stock'!H:H,Final_UAE!B:B)</f>
        <v/>
      </c>
      <c r="H4561" s="8" t="e">
        <v>#N/A</v>
      </c>
      <c r="I4561" s="8" t="n"/>
    </row>
    <row r="4562">
      <c r="A4562" s="4" t="n">
        <v>33834</v>
      </c>
      <c r="B4562" s="4" t="inlineStr">
        <is>
          <t>clstdai-lay-cont-p10-dazzle-black-sn0450</t>
        </is>
      </c>
      <c r="C4562" s="4" t="inlineStr">
        <is>
          <t>W00031886A</t>
        </is>
      </c>
      <c r="D4562" s="6">
        <f>IF(F4562&gt;=5, F4562-5, IF(F4562&lt;5, 0, F4562))</f>
        <v/>
      </c>
      <c r="E4562">
        <f>VLOOKUP(B4562,[1]Namshi!$A:$B,2,0)</f>
        <v/>
      </c>
      <c r="F4562" s="4">
        <f>SUMIFS('Dubai Stock'!I:I,'Dubai Stock'!H:H,Final_UAE!B:B)</f>
        <v/>
      </c>
      <c r="H4562" s="8" t="e">
        <v>#N/A</v>
      </c>
      <c r="I4562" s="8" t="n"/>
    </row>
    <row r="4563">
      <c r="A4563" s="4" t="n">
        <v>33834</v>
      </c>
      <c r="B4563" s="4" t="inlineStr">
        <is>
          <t>costmon-ama-2024-p02-matcha-sn0250</t>
        </is>
      </c>
      <c r="C4563" s="4" t="inlineStr">
        <is>
          <t>W00031886A</t>
        </is>
      </c>
      <c r="D4563" s="6">
        <f>IF(F4563&gt;=5, F4563-5, IF(F4563&lt;5, 0, F4563))</f>
        <v/>
      </c>
      <c r="E4563">
        <f>VLOOKUP(B4563,[1]Namshi!$A:$B,2,0)</f>
        <v/>
      </c>
      <c r="F4563" s="4">
        <f>SUMIFS('Dubai Stock'!I:I,'Dubai Stock'!H:H,Final_UAE!B:B)</f>
        <v/>
      </c>
      <c r="H4563" s="8" t="e">
        <v>#N/A</v>
      </c>
      <c r="I4563" s="8" t="n"/>
    </row>
    <row r="4564">
      <c r="A4564" s="4" t="n">
        <v>33834</v>
      </c>
      <c r="B4564" s="4" t="inlineStr">
        <is>
          <t>sc20207-bab-000500-0201-40</t>
        </is>
      </c>
      <c r="C4564" s="4" t="inlineStr">
        <is>
          <t>W00031886A</t>
        </is>
      </c>
      <c r="D4564" s="6">
        <f>IF(F4564&gt;=5, F4564-5, IF(F4564&lt;5, 0, F4564))</f>
        <v/>
      </c>
      <c r="E4564">
        <f>VLOOKUP(B4564,[1]Namshi!$A:$B,2,0)</f>
        <v/>
      </c>
      <c r="F4564" s="4">
        <f>SUMIFS('Dubai Stock'!I:I,'Dubai Stock'!H:H,Final_UAE!B:B)</f>
        <v/>
      </c>
      <c r="H4564" s="8" t="e">
        <v>#N/A</v>
      </c>
    </row>
    <row r="4565">
      <c r="A4565" s="4" t="n">
        <v>33834</v>
      </c>
      <c r="B4565" s="4" t="inlineStr">
        <is>
          <t>clstbiw-acu-cle-p06-sn0300</t>
        </is>
      </c>
      <c r="C4565" s="4" t="inlineStr">
        <is>
          <t>W00031886A</t>
        </is>
      </c>
      <c r="D4565" s="6">
        <f>IF(F4565&gt;=5, F4565-5, IF(F4565&lt;5, 0, F4565))</f>
        <v/>
      </c>
      <c r="E4565">
        <f>VLOOKUP(B4565,[1]Namshi!$A:$B,2,0)</f>
        <v/>
      </c>
      <c r="F4565" s="4">
        <f>SUMIFS('Dubai Stock'!I:I,'Dubai Stock'!H:H,Final_UAE!B:B)</f>
        <v/>
      </c>
      <c r="H4565" s="8" t="e">
        <v>#N/A</v>
      </c>
      <c r="I4565" s="8" t="n"/>
    </row>
    <row r="4566">
      <c r="A4566" s="4" t="n">
        <v>33834</v>
      </c>
      <c r="B4566" s="4" t="inlineStr">
        <is>
          <t>fw20918-spc-000552-0900-53</t>
        </is>
      </c>
      <c r="C4566" s="4" t="inlineStr">
        <is>
          <t>W00031886A</t>
        </is>
      </c>
      <c r="D4566" s="6">
        <f>IF(F4566&gt;=5, F4566-5, IF(F4566&lt;5, 0, F4566))</f>
        <v/>
      </c>
      <c r="E4566">
        <f>VLOOKUP(B4566,[1]Namshi!$A:$B,2,0)</f>
        <v/>
      </c>
      <c r="F4566" s="4">
        <f>SUMIFS('Dubai Stock'!I:I,'Dubai Stock'!H:H,Final_UAE!B:B)</f>
        <v/>
      </c>
      <c r="H4566" s="8" t="e">
        <v>#N/A</v>
      </c>
      <c r="I4566" s="8" t="n"/>
    </row>
    <row r="4567">
      <c r="A4567" s="4" t="n">
        <v>33834</v>
      </c>
      <c r="B4567" s="4" t="inlineStr">
        <is>
          <t>clstdai-lay-cont-p90-dazzle-brown-sn0150</t>
        </is>
      </c>
      <c r="C4567" s="4" t="inlineStr">
        <is>
          <t>W00031886A</t>
        </is>
      </c>
      <c r="D4567" s="6">
        <f>IF(F4567&gt;=5, F4567-5, IF(F4567&lt;5, 0, F4567))</f>
        <v/>
      </c>
      <c r="E4567">
        <f>VLOOKUP(B4567,[1]Namshi!$A:$B,2,0)</f>
        <v/>
      </c>
      <c r="F4567" s="4">
        <f>SUMIFS('Dubai Stock'!I:I,'Dubai Stock'!H:H,Final_UAE!B:B)</f>
        <v/>
      </c>
      <c r="H4567" s="8" t="e">
        <v>#N/A</v>
      </c>
      <c r="I4567" s="8" t="n"/>
    </row>
    <row r="4568">
      <c r="A4568" s="4" t="n">
        <v>33834</v>
      </c>
      <c r="B4568" s="4" t="inlineStr">
        <is>
          <t>fw52618-spc-000742-2618-52</t>
        </is>
      </c>
      <c r="C4568" s="4" t="inlineStr">
        <is>
          <t>W00031886A</t>
        </is>
      </c>
      <c r="D4568" s="6">
        <f>IF(F4568&gt;=5, F4568-5, IF(F4568&lt;5, 0, F4568))</f>
        <v/>
      </c>
      <c r="E4568">
        <f>VLOOKUP(B4568,[1]Namshi!$A:$B,2,0)</f>
        <v/>
      </c>
      <c r="F4568" s="4">
        <f>SUMIFS('Dubai Stock'!I:I,'Dubai Stock'!H:H,Final_UAE!B:B)</f>
        <v/>
      </c>
      <c r="H4568" s="8" t="e">
        <v>#N/A</v>
      </c>
      <c r="I4568" s="8" t="n"/>
    </row>
    <row r="4569">
      <c r="A4569" s="4" t="n">
        <v>33834</v>
      </c>
      <c r="B4569" s="4" t="inlineStr">
        <is>
          <t>clstbiw-acu-oasy-p06-sn0150</t>
        </is>
      </c>
      <c r="C4569" s="4" t="inlineStr">
        <is>
          <t>W00031886A</t>
        </is>
      </c>
      <c r="D4569" s="6">
        <f>IF(F4569&gt;=5, F4569-5, IF(F4569&lt;5, 0, F4569))</f>
        <v/>
      </c>
      <c r="E4569">
        <f>VLOOKUP(B4569,[1]Namshi!$A:$B,2,0)</f>
        <v/>
      </c>
      <c r="F4569" s="4">
        <f>SUMIFS('Dubai Stock'!I:I,'Dubai Stock'!H:H,Final_UAE!B:B)</f>
        <v/>
      </c>
      <c r="H4569" s="8" t="e">
        <v>#N/A</v>
      </c>
      <c r="I4569" s="8" t="n"/>
    </row>
    <row r="4570">
      <c r="A4570" s="4" t="n">
        <v>33834</v>
      </c>
      <c r="B4570" s="4" t="inlineStr">
        <is>
          <t>cltobiw-acu-oasy-p06-sn0400-cn0075-a010</t>
        </is>
      </c>
      <c r="C4570" s="4" t="inlineStr">
        <is>
          <t>W00031886A</t>
        </is>
      </c>
      <c r="D4570" s="6">
        <f>IF(F4570&gt;=5, F4570-5, IF(F4570&lt;5, 0, F4570))</f>
        <v/>
      </c>
      <c r="E4570">
        <f>VLOOKUP(B4570,[1]Namshi!$A:$B,2,0)</f>
        <v/>
      </c>
      <c r="F4570" s="4">
        <f>SUMIFS('Dubai Stock'!I:I,'Dubai Stock'!H:H,Final_UAE!B:B)</f>
        <v/>
      </c>
      <c r="H4570" s="8" t="e">
        <v>#N/A</v>
      </c>
      <c r="I4570" s="8" t="n"/>
    </row>
    <row r="4571">
      <c r="A4571" s="4" t="n">
        <v>33834</v>
      </c>
      <c r="B4571" s="4" t="inlineStr">
        <is>
          <t>cost3mo-lay-2020-p02-hazel-brown-sn0350</t>
        </is>
      </c>
      <c r="C4571" s="4" t="inlineStr">
        <is>
          <t>W00031886A</t>
        </is>
      </c>
      <c r="D4571" s="6">
        <f>IF(F4571&gt;=5, F4571-5, IF(F4571&lt;5, 0, F4571))</f>
        <v/>
      </c>
      <c r="E4571">
        <f>VLOOKUP(B4571,[1]Namshi!$A:$B,2,0)</f>
        <v/>
      </c>
      <c r="F4571" s="4">
        <f>SUMIFS('Dubai Stock'!I:I,'Dubai Stock'!H:H,Final_UAE!B:B)</f>
        <v/>
      </c>
      <c r="H4571" s="8" t="e">
        <v>#N/A</v>
      </c>
      <c r="I4571" s="8" t="n"/>
    </row>
    <row r="4572">
      <c r="A4572" s="4" t="n">
        <v>33834</v>
      </c>
      <c r="B4572" s="4" t="inlineStr">
        <is>
          <t>clstdai-acu-dfna-p60-sn0075</t>
        </is>
      </c>
      <c r="C4572" s="4" t="inlineStr">
        <is>
          <t>W00031886A</t>
        </is>
      </c>
      <c r="D4572" s="6">
        <f>IF(F4572&gt;=5, F4572-5, IF(F4572&lt;5, 0, F4572))</f>
        <v/>
      </c>
      <c r="E4572">
        <f>VLOOKUP(B4572,[1]Namshi!$A:$B,2,0)</f>
        <v/>
      </c>
      <c r="F4572" s="4">
        <f>SUMIFS('Dubai Stock'!I:I,'Dubai Stock'!H:H,Final_UAE!B:B)</f>
        <v/>
      </c>
      <c r="H4572" s="8" t="e">
        <v>#N/A</v>
      </c>
      <c r="I4572" s="8" t="n"/>
    </row>
    <row r="4573">
      <c r="A4573" s="4" t="n">
        <v>33834</v>
      </c>
      <c r="B4573" s="4" t="inlineStr">
        <is>
          <t>cost3mo-lay-2021-p02-golden-gray-sn0325</t>
        </is>
      </c>
      <c r="C4573" s="4" t="inlineStr">
        <is>
          <t>W00031886A</t>
        </is>
      </c>
      <c r="D4573" s="6">
        <f>IF(F4573&gt;=5, F4573-5, IF(F4573&lt;5, 0, F4573))</f>
        <v/>
      </c>
      <c r="E4573">
        <f>VLOOKUP(B4573,[1]Namshi!$A:$B,2,0)</f>
        <v/>
      </c>
      <c r="F4573" s="4">
        <f>SUMIFS('Dubai Stock'!I:I,'Dubai Stock'!H:H,Final_UAE!B:B)</f>
        <v/>
      </c>
      <c r="H4573" s="8" t="e">
        <v>#N/A</v>
      </c>
      <c r="I4573" s="8" t="n"/>
    </row>
    <row r="4574">
      <c r="A4574" s="4" t="n">
        <v>33834</v>
      </c>
      <c r="B4574" s="4" t="inlineStr">
        <is>
          <t>cost3mo-lay-2023-p02-sable-brown-sn0300</t>
        </is>
      </c>
      <c r="C4574" s="4" t="inlineStr">
        <is>
          <t>W00031886A</t>
        </is>
      </c>
      <c r="D4574" s="6">
        <f>IF(F4574&gt;=5, F4574-5, IF(F4574&lt;5, 0, F4574))</f>
        <v/>
      </c>
      <c r="E4574">
        <f>VLOOKUP(B4574,[1]Namshi!$A:$B,2,0)</f>
        <v/>
      </c>
      <c r="F4574" s="4">
        <f>SUMIFS('Dubai Stock'!I:I,'Dubai Stock'!H:H,Final_UAE!B:B)</f>
        <v/>
      </c>
      <c r="H4574" s="8" t="e">
        <v>#N/A</v>
      </c>
      <c r="I4574" s="8" t="n"/>
    </row>
    <row r="4575">
      <c r="A4575" s="4" t="n">
        <v>33834</v>
      </c>
      <c r="B4575" s="4" t="inlineStr">
        <is>
          <t>clstdai-acu-dfna-p90-sn0300</t>
        </is>
      </c>
      <c r="C4575" s="4" t="inlineStr">
        <is>
          <t>W00031886A</t>
        </is>
      </c>
      <c r="D4575" s="6">
        <f>IF(F4575&gt;=5, F4575-5, IF(F4575&lt;5, 0, F4575))</f>
        <v/>
      </c>
      <c r="E4575">
        <f>VLOOKUP(B4575,[1]Namshi!$A:$B,2,0)</f>
        <v/>
      </c>
      <c r="F4575" s="4">
        <f>SUMIFS('Dubai Stock'!I:I,'Dubai Stock'!H:H,Final_UAE!B:B)</f>
        <v/>
      </c>
      <c r="H4575" s="8" t="e">
        <v>#N/A</v>
      </c>
      <c r="I4575" s="8" t="n"/>
    </row>
    <row r="4576">
      <c r="A4576" s="4" t="n">
        <v>33834</v>
      </c>
      <c r="B4576" s="4" t="inlineStr">
        <is>
          <t>sm40707-30s-000416-0707-54</t>
        </is>
      </c>
      <c r="C4576" s="4" t="inlineStr">
        <is>
          <t>W00031886A</t>
        </is>
      </c>
      <c r="D4576" s="6">
        <f>IF(F4576&gt;=5, F4576-5, IF(F4576&lt;5, 0, F4576))</f>
        <v/>
      </c>
      <c r="E4576">
        <f>VLOOKUP(B4576,[1]Namshi!$A:$B,2,0)</f>
        <v/>
      </c>
      <c r="F4576" s="4">
        <f>SUMIFS('Dubai Stock'!I:I,'Dubai Stock'!H:H,Final_UAE!B:B)</f>
        <v/>
      </c>
      <c r="H4576" s="8" t="e">
        <v>#N/A</v>
      </c>
      <c r="I4576" s="8" t="n"/>
    </row>
    <row r="4577">
      <c r="A4577" s="4" t="n">
        <v>33834</v>
      </c>
      <c r="B4577" s="4" t="inlineStr">
        <is>
          <t>fw72918-spc-000821-2918-49</t>
        </is>
      </c>
      <c r="C4577" s="4" t="inlineStr">
        <is>
          <t>W00031886A</t>
        </is>
      </c>
      <c r="D4577" s="6">
        <f>IF(F4577&gt;=5, F4577-5, IF(F4577&lt;5, 0, F4577))</f>
        <v/>
      </c>
      <c r="E4577">
        <f>VLOOKUP(B4577,[1]Namshi!$A:$B,2,0)</f>
        <v/>
      </c>
      <c r="F4577" s="4">
        <f>SUMIFS('Dubai Stock'!I:I,'Dubai Stock'!H:H,Final_UAE!B:B)</f>
        <v/>
      </c>
      <c r="H4577" s="8" t="e">
        <v>#N/A</v>
      </c>
      <c r="I4577" s="8" t="n"/>
    </row>
    <row r="4578">
      <c r="A4578" s="4" t="n">
        <v>33834</v>
      </c>
      <c r="B4578" s="4" t="inlineStr">
        <is>
          <t>sm72904-30s-000255-2904-54</t>
        </is>
      </c>
      <c r="C4578" s="4" t="inlineStr">
        <is>
          <t>W00031886A</t>
        </is>
      </c>
      <c r="D4578" s="6">
        <f>IF(F4578&gt;=5, F4578-5, IF(F4578&lt;5, 0, F4578))</f>
        <v/>
      </c>
      <c r="E4578">
        <f>VLOOKUP(B4578,[1]Namshi!$A:$B,2,0)</f>
        <v/>
      </c>
      <c r="F4578" s="4">
        <f>SUMIFS('Dubai Stock'!I:I,'Dubai Stock'!H:H,Final_UAE!B:B)</f>
        <v/>
      </c>
      <c r="H4578" s="8" t="e">
        <v>#N/A</v>
      </c>
    </row>
    <row r="4579">
      <c r="A4579" s="4" t="n">
        <v>33834</v>
      </c>
      <c r="B4579" s="4" t="inlineStr">
        <is>
          <t>clstdai-acu-omax-p30-sp0250</t>
        </is>
      </c>
      <c r="C4579" s="4" t="inlineStr">
        <is>
          <t>W00031886A</t>
        </is>
      </c>
      <c r="D4579" s="6">
        <f>IF(F4579&gt;=5, F4579-5, IF(F4579&lt;5, 0, F4579))</f>
        <v/>
      </c>
      <c r="E4579">
        <f>VLOOKUP(B4579,[1]Namshi!$A:$B,2,0)</f>
        <v/>
      </c>
      <c r="F4579" s="4">
        <f>SUMIFS('Dubai Stock'!I:I,'Dubai Stock'!H:H,Final_UAE!B:B)</f>
        <v/>
      </c>
      <c r="H4579" s="8" t="e">
        <v>#N/A</v>
      </c>
      <c r="I4579" s="8" t="n"/>
    </row>
    <row r="4580">
      <c r="A4580" s="4" t="n">
        <v>33834</v>
      </c>
      <c r="B4580" s="4" t="inlineStr">
        <is>
          <t>fc50218-bab-000503-0200-46</t>
        </is>
      </c>
      <c r="C4580" s="4" t="inlineStr">
        <is>
          <t>W00031886A</t>
        </is>
      </c>
      <c r="D4580" s="6">
        <f>IF(F4580&gt;=5, F4580-5, IF(F4580&lt;5, 0, F4580))</f>
        <v/>
      </c>
      <c r="E4580">
        <f>VLOOKUP(B4580,[1]Namshi!$A:$B,2,0)</f>
        <v/>
      </c>
      <c r="F4580" s="4">
        <f>SUMIFS('Dubai Stock'!I:I,'Dubai Stock'!H:H,Final_UAE!B:B)</f>
        <v/>
      </c>
      <c r="H4580" s="8" t="e">
        <v>#N/A</v>
      </c>
      <c r="I4580" s="8" t="n"/>
    </row>
    <row r="4581">
      <c r="A4581" s="4" t="n">
        <v>33834</v>
      </c>
      <c r="B4581" s="4" t="inlineStr">
        <is>
          <t>sc50107-bab-000527-0107-48</t>
        </is>
      </c>
      <c r="C4581" s="4" t="inlineStr">
        <is>
          <t>W00031886A</t>
        </is>
      </c>
      <c r="D4581" s="6">
        <f>IF(F4581&gt;=5, F4581-5, IF(F4581&lt;5, 0, F4581))</f>
        <v/>
      </c>
      <c r="E4581">
        <f>VLOOKUP(B4581,[1]Namshi!$A:$B,2,0)</f>
        <v/>
      </c>
      <c r="F4581" s="4">
        <f>SUMIFS('Dubai Stock'!I:I,'Dubai Stock'!H:H,Final_UAE!B:B)</f>
        <v/>
      </c>
      <c r="H4581" s="8" t="e">
        <v>#N/A</v>
      </c>
    </row>
    <row r="4582">
      <c r="A4582" s="4" t="n">
        <v>33834</v>
      </c>
      <c r="B4582" s="4" t="inlineStr">
        <is>
          <t>sw50904-bla-000234-2404-51</t>
        </is>
      </c>
      <c r="C4582" s="4" t="inlineStr">
        <is>
          <t>W00031886A</t>
        </is>
      </c>
      <c r="D4582" s="6">
        <f>IF(F4582&gt;=5, F4582-5, IF(F4582&lt;5, 0, F4582))</f>
        <v/>
      </c>
      <c r="E4582">
        <f>VLOOKUP(B4582,[1]Namshi!$A:$B,2,0)</f>
        <v/>
      </c>
      <c r="F4582" s="4">
        <f>SUMIFS('Dubai Stock'!I:I,'Dubai Stock'!H:H,Final_UAE!B:B)</f>
        <v/>
      </c>
      <c r="H4582" s="8" t="e">
        <v>#N/A</v>
      </c>
    </row>
    <row r="4583">
      <c r="A4583" s="4" t="n">
        <v>33834</v>
      </c>
      <c r="B4583" s="4" t="inlineStr">
        <is>
          <t>clstdai-dai-tot1-p90-sn0050</t>
        </is>
      </c>
      <c r="C4583" s="4" t="inlineStr">
        <is>
          <t>W00031886A</t>
        </is>
      </c>
      <c r="D4583" s="6">
        <f>IF(F4583&gt;=5, F4583-5, IF(F4583&lt;5, 0, F4583))</f>
        <v/>
      </c>
      <c r="E4583">
        <f>VLOOKUP(B4583,[1]Namshi!$A:$B,2,0)</f>
        <v/>
      </c>
      <c r="F4583" s="4">
        <f>SUMIFS('Dubai Stock'!I:I,'Dubai Stock'!H:H,Final_UAE!B:B)</f>
        <v/>
      </c>
      <c r="H4583" s="8" t="e">
        <v>#N/A</v>
      </c>
      <c r="I4583" s="8" t="n"/>
    </row>
    <row r="4584">
      <c r="A4584" s="4" t="n">
        <v>33834</v>
      </c>
      <c r="B4584" s="4" t="inlineStr">
        <is>
          <t>su100104-30s-00453-0104p-51</t>
        </is>
      </c>
      <c r="C4584" s="4" t="inlineStr">
        <is>
          <t>W00031886A</t>
        </is>
      </c>
      <c r="D4584" s="6">
        <f>IF(F4584&gt;=5, F4584-5, IF(F4584&lt;5, 0, F4584))</f>
        <v/>
      </c>
      <c r="E4584">
        <f>VLOOKUP(B4584,[1]Namshi!$A:$B,2,0)</f>
        <v/>
      </c>
      <c r="F4584" s="4">
        <f>SUMIFS('Dubai Stock'!I:I,'Dubai Stock'!H:H,Final_UAE!B:B)</f>
        <v/>
      </c>
      <c r="H4584" s="8" t="e">
        <v>#N/A</v>
      </c>
    </row>
    <row r="4585">
      <c r="A4585" s="4" t="n">
        <v>33834</v>
      </c>
      <c r="B4585" s="4" t="inlineStr">
        <is>
          <t>su100304-30s-000499-0304-54</t>
        </is>
      </c>
      <c r="C4585" s="4" t="inlineStr">
        <is>
          <t>W00031886A</t>
        </is>
      </c>
      <c r="D4585" s="6">
        <f>IF(F4585&gt;=5, F4585-5, IF(F4585&lt;5, 0, F4585))</f>
        <v/>
      </c>
      <c r="E4585">
        <f>VLOOKUP(B4585,[1]Namshi!$A:$B,2,0)</f>
        <v/>
      </c>
      <c r="F4585" s="4">
        <f>SUMIFS('Dubai Stock'!I:I,'Dubai Stock'!H:H,Final_UAE!B:B)</f>
        <v/>
      </c>
      <c r="H4585" s="8" t="e">
        <v>#N/A</v>
      </c>
      <c r="I4585" s="8" t="n"/>
    </row>
    <row r="4586">
      <c r="A4586" s="4" t="n">
        <v>33834</v>
      </c>
      <c r="B4586" s="4" t="inlineStr">
        <is>
          <t>sm100707-30s-000496-0707-49</t>
        </is>
      </c>
      <c r="C4586" s="4" t="inlineStr">
        <is>
          <t>W00031886A</t>
        </is>
      </c>
      <c r="D4586" s="6">
        <f>IF(F4586&gt;=5, F4586-5, IF(F4586&lt;5, 0, F4586))</f>
        <v/>
      </c>
      <c r="E4586">
        <f>VLOOKUP(B4586,[1]Namshi!$A:$B,2,0)</f>
        <v/>
      </c>
      <c r="F4586" s="4">
        <f>SUMIFS('Dubai Stock'!I:I,'Dubai Stock'!H:H,Final_UAE!B:B)</f>
        <v/>
      </c>
      <c r="H4586" s="8" t="e">
        <v>#N/A</v>
      </c>
      <c r="I4586" s="8" t="n"/>
    </row>
    <row r="4587">
      <c r="A4587" s="4" t="n">
        <v>33834</v>
      </c>
      <c r="B4587" s="4" t="inlineStr">
        <is>
          <t>sm52106-30s-000223-2106-54</t>
        </is>
      </c>
      <c r="C4587" s="4" t="inlineStr">
        <is>
          <t>W00031886A</t>
        </is>
      </c>
      <c r="D4587" s="6">
        <f>IF(F4587&gt;=5, F4587-5, IF(F4587&lt;5, 0, F4587))</f>
        <v/>
      </c>
      <c r="E4587">
        <f>VLOOKUP(B4587,[1]Namshi!$A:$B,2,0)</f>
        <v/>
      </c>
      <c r="F4587" s="4">
        <f>SUMIFS('Dubai Stock'!I:I,'Dubai Stock'!H:H,Final_UAE!B:B)</f>
        <v/>
      </c>
      <c r="H4587" s="8" t="e">
        <v>#N/A</v>
      </c>
    </row>
    <row r="4588">
      <c r="A4588" s="4" t="n">
        <v>33834</v>
      </c>
      <c r="B4588" s="4" t="inlineStr">
        <is>
          <t>sw101302-bla-000374-1302-50</t>
        </is>
      </c>
      <c r="C4588" s="4" t="inlineStr">
        <is>
          <t>W00031886A</t>
        </is>
      </c>
      <c r="D4588" s="6">
        <f>IF(F4588&gt;=5, F4588-5, IF(F4588&lt;5, 0, F4588))</f>
        <v/>
      </c>
      <c r="E4588">
        <f>VLOOKUP(B4588,[1]Namshi!$A:$B,2,0)</f>
        <v/>
      </c>
      <c r="F4588" s="4">
        <f>SUMIFS('Dubai Stock'!I:I,'Dubai Stock'!H:H,Final_UAE!B:B)</f>
        <v/>
      </c>
      <c r="H4588" s="8" t="e">
        <v>#N/A</v>
      </c>
    </row>
    <row r="4589">
      <c r="A4589" s="4" t="n">
        <v>33834</v>
      </c>
      <c r="B4589" s="4" t="inlineStr">
        <is>
          <t>sm40404-30s-000285-0404-53</t>
        </is>
      </c>
      <c r="C4589" s="4" t="inlineStr">
        <is>
          <t>W00031886A</t>
        </is>
      </c>
      <c r="D4589" s="6">
        <f>IF(F4589&gt;=5, F4589-5, IF(F4589&lt;5, 0, F4589))</f>
        <v/>
      </c>
      <c r="E4589">
        <f>VLOOKUP(B4589,[1]Namshi!$A:$B,2,0)</f>
        <v/>
      </c>
      <c r="F4589" s="4">
        <f>SUMIFS('Dubai Stock'!I:I,'Dubai Stock'!H:H,Final_UAE!B:B)</f>
        <v/>
      </c>
      <c r="H4589" s="8" t="e">
        <v>#N/A</v>
      </c>
    </row>
    <row r="4590">
      <c r="A4590" s="4" t="n">
        <v>33834</v>
      </c>
      <c r="B4590" s="4" t="inlineStr">
        <is>
          <t>su100107-bla-000334-0107-56</t>
        </is>
      </c>
      <c r="C4590" s="4" t="inlineStr">
        <is>
          <t>W00031886A</t>
        </is>
      </c>
      <c r="D4590" s="6">
        <f>IF(F4590&gt;=5, F4590-5, IF(F4590&lt;5, 0, F4590))</f>
        <v/>
      </c>
      <c r="E4590">
        <f>VLOOKUP(B4590,[1]Namshi!$A:$B,2,0)</f>
        <v/>
      </c>
      <c r="F4590" s="4">
        <f>SUMIFS('Dubai Stock'!I:I,'Dubai Stock'!H:H,Final_UAE!B:B)</f>
        <v/>
      </c>
      <c r="H4590" s="8" t="e">
        <v>#N/A</v>
      </c>
    </row>
    <row r="4591">
      <c r="A4591" s="4" t="n">
        <v>33834</v>
      </c>
      <c r="B4591" s="4" t="inlineStr">
        <is>
          <t>costmon-ama-2024-p02-barbie-brown-sn0300</t>
        </is>
      </c>
      <c r="C4591" s="4" t="inlineStr">
        <is>
          <t>W00031886A</t>
        </is>
      </c>
      <c r="D4591" s="6">
        <f>IF(F4591&gt;=5, F4591-5, IF(F4591&lt;5, 0, F4591))</f>
        <v/>
      </c>
      <c r="E4591">
        <f>VLOOKUP(B4591,[1]Namshi!$A:$B,2,0)</f>
        <v/>
      </c>
      <c r="F4591" s="4">
        <f>SUMIFS('Dubai Stock'!I:I,'Dubai Stock'!H:H,Final_UAE!B:B)</f>
        <v/>
      </c>
      <c r="H4591" s="8" t="e">
        <v>#N/A</v>
      </c>
      <c r="I4591" s="8" t="n"/>
    </row>
    <row r="4592">
      <c r="A4592" s="4" t="n">
        <v>33834</v>
      </c>
      <c r="B4592" s="4" t="inlineStr">
        <is>
          <t>fc50218-bab-000503-0218-46</t>
        </is>
      </c>
      <c r="C4592" s="4" t="inlineStr">
        <is>
          <t>W00031886A</t>
        </is>
      </c>
      <c r="D4592" s="6">
        <f>IF(F4592&gt;=5, F4592-5, IF(F4592&lt;5, 0, F4592))</f>
        <v/>
      </c>
      <c r="E4592">
        <f>VLOOKUP(B4592,[1]Namshi!$A:$B,2,0)</f>
        <v/>
      </c>
      <c r="F4592" s="4">
        <f>SUMIFS('Dubai Stock'!I:I,'Dubai Stock'!H:H,Final_UAE!B:B)</f>
        <v/>
      </c>
      <c r="H4592" s="8" t="e">
        <v>#N/A</v>
      </c>
      <c r="I4592" s="8" t="n"/>
    </row>
    <row r="4593">
      <c r="A4593" s="4" t="n">
        <v>33834</v>
      </c>
      <c r="B4593" s="4" t="inlineStr">
        <is>
          <t>cltobiw-acu-oasy-p06-sn0125-cn0075-a090</t>
        </is>
      </c>
      <c r="C4593" s="4" t="inlineStr">
        <is>
          <t>W00031886A</t>
        </is>
      </c>
      <c r="D4593" s="6">
        <f>IF(F4593&gt;=5, F4593-5, IF(F4593&lt;5, 0, F4593))</f>
        <v/>
      </c>
      <c r="E4593">
        <f>VLOOKUP(B4593,[1]Namshi!$A:$B,2,0)</f>
        <v/>
      </c>
      <c r="F4593" s="4">
        <f>SUMIFS('Dubai Stock'!I:I,'Dubai Stock'!H:H,Final_UAE!B:B)</f>
        <v/>
      </c>
      <c r="H4593" s="8" t="e">
        <v>#N/A</v>
      </c>
      <c r="I4593" s="8" t="n"/>
    </row>
    <row r="4594">
      <c r="A4594" s="4" t="n">
        <v>33834</v>
      </c>
      <c r="B4594" s="4" t="inlineStr">
        <is>
          <t>clstdai-lay-cont-p90-dazzle-brown-sn0225</t>
        </is>
      </c>
      <c r="C4594" s="4" t="inlineStr">
        <is>
          <t>W00031886A</t>
        </is>
      </c>
      <c r="D4594" s="6">
        <f>IF(F4594&gt;=5, F4594-5, IF(F4594&lt;5, 0, F4594))</f>
        <v/>
      </c>
      <c r="E4594">
        <f>VLOOKUP(B4594,[1]Namshi!$A:$B,2,0)</f>
        <v/>
      </c>
      <c r="F4594" s="4">
        <f>SUMIFS('Dubai Stock'!I:I,'Dubai Stock'!H:H,Final_UAE!B:B)</f>
        <v/>
      </c>
      <c r="H4594" s="8" t="e">
        <v>#N/A</v>
      </c>
      <c r="I4594" s="8" t="n"/>
    </row>
    <row r="4595">
      <c r="A4595" s="4" t="n">
        <v>33834</v>
      </c>
      <c r="B4595" s="4" t="inlineStr">
        <is>
          <t>sm10107-30s-000256-0107-57</t>
        </is>
      </c>
      <c r="C4595" s="4" t="inlineStr">
        <is>
          <t>W00031886A</t>
        </is>
      </c>
      <c r="D4595" s="6">
        <f>IF(F4595&gt;=5, F4595-5, IF(F4595&lt;5, 0, F4595))</f>
        <v/>
      </c>
      <c r="E4595">
        <f>VLOOKUP(B4595,[1]Namshi!$A:$B,2,0)</f>
        <v/>
      </c>
      <c r="F4595" s="4">
        <f>SUMIFS('Dubai Stock'!I:I,'Dubai Stock'!H:H,Final_UAE!B:B)</f>
        <v/>
      </c>
      <c r="H4595" s="8" t="e">
        <v>#N/A</v>
      </c>
    </row>
    <row r="4596">
      <c r="A4596" s="4" t="n">
        <v>33834</v>
      </c>
      <c r="B4596" s="4" t="inlineStr">
        <is>
          <t>clstbiw-acu-cle-p06-sn0150</t>
        </is>
      </c>
      <c r="C4596" s="4" t="inlineStr">
        <is>
          <t>W00031886A</t>
        </is>
      </c>
      <c r="D4596" s="6">
        <f>IF(F4596&gt;=5, F4596-5, IF(F4596&lt;5, 0, F4596))</f>
        <v/>
      </c>
      <c r="E4596">
        <f>VLOOKUP(B4596,[1]Namshi!$A:$B,2,0)</f>
        <v/>
      </c>
      <c r="F4596" s="4">
        <f>SUMIFS('Dubai Stock'!I:I,'Dubai Stock'!H:H,Final_UAE!B:B)</f>
        <v/>
      </c>
      <c r="H4596" s="8" t="e">
        <v>#N/A</v>
      </c>
      <c r="I4596" s="8" t="n"/>
    </row>
    <row r="4597">
      <c r="A4597" s="4" t="n">
        <v>33834</v>
      </c>
      <c r="B4597" s="4" t="inlineStr">
        <is>
          <t>sw102404-30s-000290-2404-54</t>
        </is>
      </c>
      <c r="C4597" s="4" t="inlineStr">
        <is>
          <t>W00031886A</t>
        </is>
      </c>
      <c r="D4597" s="6">
        <f>IF(F4597&gt;=5, F4597-5, IF(F4597&lt;5, 0, F4597))</f>
        <v/>
      </c>
      <c r="E4597">
        <f>VLOOKUP(B4597,[1]Namshi!$A:$B,2,0)</f>
        <v/>
      </c>
      <c r="F4597" s="4">
        <f>SUMIFS('Dubai Stock'!I:I,'Dubai Stock'!H:H,Final_UAE!B:B)</f>
        <v/>
      </c>
      <c r="H4597" s="8" t="e">
        <v>#N/A</v>
      </c>
    </row>
    <row r="4598">
      <c r="A4598" s="4" t="n">
        <v>33834</v>
      </c>
      <c r="B4598" s="4" t="inlineStr">
        <is>
          <t>sw30107-30s-000262-0107-50</t>
        </is>
      </c>
      <c r="C4598" s="4" t="inlineStr">
        <is>
          <t>W00031886A</t>
        </is>
      </c>
      <c r="D4598" s="6">
        <f>IF(F4598&gt;=5, F4598-5, IF(F4598&lt;5, 0, F4598))</f>
        <v/>
      </c>
      <c r="E4598">
        <f>VLOOKUP(B4598,[1]Namshi!$A:$B,2,0)</f>
        <v/>
      </c>
      <c r="F4598" s="4">
        <f>SUMIFS('Dubai Stock'!I:I,'Dubai Stock'!H:H,Final_UAE!B:B)</f>
        <v/>
      </c>
      <c r="H4598" s="8" t="e">
        <v>#N/A</v>
      </c>
    </row>
    <row r="4599">
      <c r="A4599" s="4" t="n">
        <v>33834</v>
      </c>
      <c r="B4599" s="4" t="inlineStr">
        <is>
          <t>sm101804-30s-000304-1804-54</t>
        </is>
      </c>
      <c r="C4599" s="4" t="inlineStr">
        <is>
          <t>W00031886A</t>
        </is>
      </c>
      <c r="D4599" s="6">
        <f>IF(F4599&gt;=5, F4599-5, IF(F4599&lt;5, 0, F4599))</f>
        <v/>
      </c>
      <c r="E4599">
        <f>VLOOKUP(B4599,[1]Namshi!$A:$B,2,0)</f>
        <v/>
      </c>
      <c r="F4599" s="4">
        <f>SUMIFS('Dubai Stock'!I:I,'Dubai Stock'!H:H,Final_UAE!B:B)</f>
        <v/>
      </c>
      <c r="H4599" s="8" t="e">
        <v>#N/A</v>
      </c>
    </row>
    <row r="4600">
      <c r="A4600" s="4" t="n">
        <v>33834</v>
      </c>
      <c r="B4600" s="4" t="inlineStr">
        <is>
          <t>clstdai-acu-omax-p30-sn0575</t>
        </is>
      </c>
      <c r="C4600" s="4" t="inlineStr">
        <is>
          <t>W00031886A</t>
        </is>
      </c>
      <c r="D4600" s="6">
        <f>IF(F4600&gt;=5, F4600-5, IF(F4600&lt;5, 0, F4600))</f>
        <v/>
      </c>
      <c r="E4600">
        <f>VLOOKUP(B4600,[1]Namshi!$A:$B,2,0)</f>
        <v/>
      </c>
      <c r="F4600" s="4">
        <f>SUMIFS('Dubai Stock'!I:I,'Dubai Stock'!H:H,Final_UAE!B:B)</f>
        <v/>
      </c>
      <c r="H4600" s="8" t="e">
        <v>#N/A</v>
      </c>
      <c r="I4600" s="8" t="n"/>
    </row>
    <row r="4601">
      <c r="A4601" s="4" t="n">
        <v>33834</v>
      </c>
      <c r="B4601" s="4" t="inlineStr">
        <is>
          <t>costdai-acu-dffr-p30-hazel-sn0150</t>
        </is>
      </c>
      <c r="C4601" s="4" t="inlineStr">
        <is>
          <t>W00031886A</t>
        </is>
      </c>
      <c r="D4601" s="6">
        <f>IF(F4601&gt;=5, F4601-5, IF(F4601&lt;5, 0, F4601))</f>
        <v/>
      </c>
      <c r="E4601">
        <f>VLOOKUP(B4601,[1]Namshi!$A:$B,2,0)</f>
        <v/>
      </c>
      <c r="F4601" s="4">
        <f>SUMIFS('Dubai Stock'!I:I,'Dubai Stock'!H:H,Final_UAE!B:B)</f>
        <v/>
      </c>
      <c r="H4601" s="8" t="e">
        <v>#N/A</v>
      </c>
      <c r="I4601" s="8" t="n"/>
    </row>
    <row r="4602">
      <c r="A4602" s="4" t="n">
        <v>33834</v>
      </c>
      <c r="B4602" s="4" t="inlineStr">
        <is>
          <t>sw100504-bla-000321-0504-52</t>
        </is>
      </c>
      <c r="C4602" s="4" t="inlineStr">
        <is>
          <t>W00031886A</t>
        </is>
      </c>
      <c r="D4602" s="6">
        <f>IF(F4602&gt;=5, F4602-5, IF(F4602&lt;5, 0, F4602))</f>
        <v/>
      </c>
      <c r="E4602">
        <f>VLOOKUP(B4602,[1]Namshi!$A:$B,2,0)</f>
        <v/>
      </c>
      <c r="F4602" s="4">
        <f>SUMIFS('Dubai Stock'!I:I,'Dubai Stock'!H:H,Final_UAE!B:B)</f>
        <v/>
      </c>
      <c r="H4602" s="8" t="e">
        <v>#N/A</v>
      </c>
    </row>
    <row r="4603">
      <c r="A4603" s="4" t="n">
        <v>33834</v>
      </c>
      <c r="B4603" s="4" t="inlineStr">
        <is>
          <t>clstdai-acu-dfrb-p60-sp0000</t>
        </is>
      </c>
      <c r="C4603" s="4" t="inlineStr">
        <is>
          <t>W00031886A</t>
        </is>
      </c>
      <c r="D4603" s="6">
        <f>IF(F4603&gt;=5, F4603-5, IF(F4603&lt;5, 0, F4603))</f>
        <v/>
      </c>
      <c r="E4603">
        <f>VLOOKUP(B4603,[1]Namshi!$A:$B,2,0)</f>
        <v/>
      </c>
      <c r="F4603" s="4">
        <f>SUMIFS('Dubai Stock'!I:I,'Dubai Stock'!H:H,Final_UAE!B:B)</f>
        <v/>
      </c>
      <c r="H4603" s="8" t="e">
        <v>#N/A</v>
      </c>
      <c r="I4603" s="8" t="n"/>
    </row>
    <row r="4604">
      <c r="A4604" s="4" t="n">
        <v>33834</v>
      </c>
      <c r="B4604" s="4" t="inlineStr">
        <is>
          <t>costdai-ama-dail-p10-amber-sn0425</t>
        </is>
      </c>
      <c r="C4604" s="4" t="inlineStr">
        <is>
          <t>W00031886A</t>
        </is>
      </c>
      <c r="D4604" s="6">
        <f>IF(F4604&gt;=5, F4604-5, IF(F4604&lt;5, 0, F4604))</f>
        <v/>
      </c>
      <c r="E4604">
        <f>VLOOKUP(B4604,[1]Namshi!$A:$B,2,0)</f>
        <v/>
      </c>
      <c r="F4604" s="4">
        <f>SUMIFS('Dubai Stock'!I:I,'Dubai Stock'!H:H,Final_UAE!B:B)</f>
        <v/>
      </c>
      <c r="H4604" s="8" t="e">
        <v>#N/A</v>
      </c>
      <c r="I4604" s="8" t="n"/>
    </row>
    <row r="4605">
      <c r="A4605" s="4" t="n">
        <v>33834</v>
      </c>
      <c r="B4605" s="4" t="inlineStr">
        <is>
          <t>sacchan-30s-chain113-crm-kona-beige</t>
        </is>
      </c>
      <c r="C4605" s="4" t="inlineStr">
        <is>
          <t>W00031886A</t>
        </is>
      </c>
      <c r="D4605" s="6">
        <f>IF(F4605&gt;=5, F4605-5, IF(F4605&lt;5, 0, F4605))</f>
        <v/>
      </c>
      <c r="E4605">
        <f>VLOOKUP(B4605,[1]Namshi!$A:$B,2,0)</f>
        <v/>
      </c>
      <c r="F4605" s="4">
        <f>SUMIFS('Dubai Stock'!I:I,'Dubai Stock'!H:H,Final_UAE!B:B)</f>
        <v/>
      </c>
      <c r="H4605" s="8" t="e">
        <v>#N/A</v>
      </c>
      <c r="I4605" s="8" t="n"/>
    </row>
    <row r="4606">
      <c r="A4606" s="4" t="n">
        <v>33834</v>
      </c>
      <c r="B4606" s="4" t="inlineStr">
        <is>
          <t>sw30404-bla-000248-0404-52</t>
        </is>
      </c>
      <c r="C4606" s="4" t="inlineStr">
        <is>
          <t>W00031886A</t>
        </is>
      </c>
      <c r="D4606" s="6">
        <f>IF(F4606&gt;=5, F4606-5, IF(F4606&lt;5, 0, F4606))</f>
        <v/>
      </c>
      <c r="E4606">
        <f>VLOOKUP(B4606,[1]Namshi!$A:$B,2,0)</f>
        <v/>
      </c>
      <c r="F4606" s="4">
        <f>SUMIFS('Dubai Stock'!I:I,'Dubai Stock'!H:H,Final_UAE!B:B)</f>
        <v/>
      </c>
      <c r="H4606" s="8" t="e">
        <v>#N/A</v>
      </c>
    </row>
    <row r="4607">
      <c r="A4607" s="4" t="n">
        <v>33834</v>
      </c>
      <c r="B4607" s="4" t="inlineStr">
        <is>
          <t>saccase-30s-case102-pnk-bge-blush-pink</t>
        </is>
      </c>
      <c r="C4607" s="4" t="inlineStr">
        <is>
          <t>W00031886A</t>
        </is>
      </c>
      <c r="D4607" s="6">
        <f>IF(F4607&gt;=5, F4607-5, IF(F4607&lt;5, 0, F4607))</f>
        <v/>
      </c>
      <c r="E4607">
        <f>VLOOKUP(B4607,[1]Namshi!$A:$B,2,0)</f>
        <v/>
      </c>
      <c r="F4607" s="4">
        <f>SUMIFS('Dubai Stock'!I:I,'Dubai Stock'!H:H,Final_UAE!B:B)</f>
        <v/>
      </c>
      <c r="H4607" s="8" t="e">
        <v>#N/A</v>
      </c>
      <c r="I4607" s="8" t="n"/>
    </row>
    <row r="4608">
      <c r="A4608" s="4" t="n">
        <v>33834</v>
      </c>
      <c r="B4608" s="4" t="inlineStr">
        <is>
          <t>clstdai-acu-oasy-p30-sp0175</t>
        </is>
      </c>
      <c r="C4608" s="4" t="inlineStr">
        <is>
          <t>W00031886A</t>
        </is>
      </c>
      <c r="D4608" s="6">
        <f>IF(F4608&gt;=5, F4608-5, IF(F4608&lt;5, 0, F4608))</f>
        <v/>
      </c>
      <c r="E4608">
        <f>VLOOKUP(B4608,[1]Namshi!$A:$B,2,0)</f>
        <v/>
      </c>
      <c r="F4608" s="4">
        <f>SUMIFS('Dubai Stock'!I:I,'Dubai Stock'!H:H,Final_UAE!B:B)</f>
        <v/>
      </c>
      <c r="H4608" s="8" t="e">
        <v>#N/A</v>
      </c>
      <c r="I4608" s="8" t="n"/>
    </row>
    <row r="4609">
      <c r="A4609" s="4" t="n">
        <v>33834</v>
      </c>
      <c r="B4609" s="4" t="inlineStr">
        <is>
          <t>bc50218-bab-000506-2818-48</t>
        </is>
      </c>
      <c r="C4609" s="4" t="inlineStr">
        <is>
          <t>W00031886A</t>
        </is>
      </c>
      <c r="D4609" s="6">
        <f>IF(F4609&gt;=5, F4609-5, IF(F4609&lt;5, 0, F4609))</f>
        <v/>
      </c>
      <c r="E4609">
        <f>VLOOKUP(B4609,[1]Namshi!$A:$B,2,0)</f>
        <v/>
      </c>
      <c r="F4609" s="4">
        <f>SUMIFS('Dubai Stock'!I:I,'Dubai Stock'!H:H,Final_UAE!B:B)</f>
        <v/>
      </c>
      <c r="H4609" s="8" t="e">
        <v>#N/A</v>
      </c>
      <c r="I4609" s="8" t="n"/>
    </row>
    <row r="4610">
      <c r="A4610" s="4" t="n">
        <v>33834</v>
      </c>
      <c r="B4610" s="4" t="inlineStr">
        <is>
          <t>costdai-acu-dffr-p10-hazel-sn0100</t>
        </is>
      </c>
      <c r="C4610" s="4" t="inlineStr">
        <is>
          <t>W00031886A</t>
        </is>
      </c>
      <c r="D4610" s="6">
        <f>IF(F4610&gt;=5, F4610-5, IF(F4610&lt;5, 0, F4610))</f>
        <v/>
      </c>
      <c r="E4610">
        <f>VLOOKUP(B4610,[1]Namshi!$A:$B,2,0)</f>
        <v/>
      </c>
      <c r="F4610" s="4">
        <f>SUMIFS('Dubai Stock'!I:I,'Dubai Stock'!H:H,Final_UAE!B:B)</f>
        <v/>
      </c>
      <c r="H4610" s="8" t="e">
        <v>#N/A</v>
      </c>
      <c r="I4610" s="8" t="n"/>
    </row>
    <row r="4611">
      <c r="A4611" s="4" t="n">
        <v>33834</v>
      </c>
      <c r="B4611" s="4" t="inlineStr">
        <is>
          <t>costmon-ama-lens-p02-mocca-sn0300</t>
        </is>
      </c>
      <c r="C4611" s="4" t="inlineStr">
        <is>
          <t>W00031886A</t>
        </is>
      </c>
      <c r="D4611" s="6">
        <f>IF(F4611&gt;=5, F4611-5, IF(F4611&lt;5, 0, F4611))</f>
        <v/>
      </c>
      <c r="E4611">
        <f>VLOOKUP(B4611,[1]Namshi!$A:$B,2,0)</f>
        <v/>
      </c>
      <c r="F4611" s="4">
        <f>SUMIFS('Dubai Stock'!I:I,'Dubai Stock'!H:H,Final_UAE!B:B)</f>
        <v/>
      </c>
      <c r="H4611" s="8" t="e">
        <v>#N/A</v>
      </c>
      <c r="I4611" s="8" t="n"/>
    </row>
    <row r="4612">
      <c r="A4612" s="4" t="n">
        <v>33834</v>
      </c>
      <c r="B4612" s="4" t="inlineStr">
        <is>
          <t>cost3mo-lay-2024-p02-moon-gray-sn0100</t>
        </is>
      </c>
      <c r="C4612" s="4" t="inlineStr">
        <is>
          <t>W00031886A</t>
        </is>
      </c>
      <c r="D4612" s="6">
        <f>IF(F4612&gt;=5, F4612-5, IF(F4612&lt;5, 0, F4612))</f>
        <v/>
      </c>
      <c r="E4612">
        <f>VLOOKUP(B4612,[1]Namshi!$A:$B,2,0)</f>
        <v/>
      </c>
      <c r="F4612" s="4">
        <f>SUMIFS('Dubai Stock'!I:I,'Dubai Stock'!H:H,Final_UAE!B:B)</f>
        <v/>
      </c>
      <c r="H4612" s="8" t="e">
        <v>#N/A</v>
      </c>
      <c r="I4612" s="8" t="n"/>
    </row>
    <row r="4613">
      <c r="A4613" s="4" t="n">
        <v>33834</v>
      </c>
      <c r="B4613" s="4" t="inlineStr">
        <is>
          <t>saccase-30s-blk-black</t>
        </is>
      </c>
      <c r="C4613" s="4" t="inlineStr">
        <is>
          <t>W00031886A</t>
        </is>
      </c>
      <c r="D4613" s="6">
        <f>IF(F4613&gt;=5, F4613-5, IF(F4613&lt;5, 0, F4613))</f>
        <v/>
      </c>
      <c r="E4613">
        <f>VLOOKUP(B4613,[1]Namshi!$A:$B,2,0)</f>
        <v/>
      </c>
      <c r="F4613" s="4">
        <f>SUMIFS('Dubai Stock'!I:I,'Dubai Stock'!H:H,Final_UAE!B:B)</f>
        <v/>
      </c>
      <c r="H4613" s="8" t="e">
        <v>#N/A</v>
      </c>
      <c r="I4613" s="8" t="n"/>
    </row>
    <row r="4614">
      <c r="A4614" s="4" t="n">
        <v>33834</v>
      </c>
      <c r="B4614" s="4" t="inlineStr">
        <is>
          <t>clstdai-acu-oasy-p30-sp0375</t>
        </is>
      </c>
      <c r="C4614" s="4" t="inlineStr">
        <is>
          <t>W00031886A</t>
        </is>
      </c>
      <c r="D4614" s="6">
        <f>IF(F4614&gt;=5, F4614-5, IF(F4614&lt;5, 0, F4614))</f>
        <v/>
      </c>
      <c r="E4614">
        <f>VLOOKUP(B4614,[1]Namshi!$A:$B,2,0)</f>
        <v/>
      </c>
      <c r="F4614" s="4">
        <f>SUMIFS('Dubai Stock'!I:I,'Dubai Stock'!H:H,Final_UAE!B:B)</f>
        <v/>
      </c>
      <c r="H4614" s="8" t="e">
        <v>#N/A</v>
      </c>
      <c r="I4614" s="8" t="n"/>
    </row>
    <row r="4615">
      <c r="A4615" s="4" t="n">
        <v>33834</v>
      </c>
      <c r="B4615" s="4" t="inlineStr">
        <is>
          <t>sw100101-30s-000301-0101-54</t>
        </is>
      </c>
      <c r="C4615" s="4" t="inlineStr">
        <is>
          <t>W00031886A</t>
        </is>
      </c>
      <c r="D4615" s="6">
        <f>IF(F4615&gt;=5, F4615-5, IF(F4615&lt;5, 0, F4615))</f>
        <v/>
      </c>
      <c r="E4615">
        <f>VLOOKUP(B4615,[1]Namshi!$A:$B,2,0)</f>
        <v/>
      </c>
      <c r="F4615" s="4">
        <f>SUMIFS('Dubai Stock'!I:I,'Dubai Stock'!H:H,Final_UAE!B:B)</f>
        <v/>
      </c>
      <c r="H4615" s="8" t="e">
        <v>#N/A</v>
      </c>
      <c r="I4615" s="8" t="n"/>
    </row>
    <row r="4616">
      <c r="A4616" s="4" t="n">
        <v>33834</v>
      </c>
      <c r="B4616" s="4" t="inlineStr">
        <is>
          <t>clstdai-acu-mois-p30-sn0650</t>
        </is>
      </c>
      <c r="C4616" s="4" t="inlineStr">
        <is>
          <t>W00031886A</t>
        </is>
      </c>
      <c r="D4616" s="6">
        <f>IF(F4616&gt;=5, F4616-5, IF(F4616&lt;5, 0, F4616))</f>
        <v/>
      </c>
      <c r="E4616">
        <f>VLOOKUP(B4616,[1]Namshi!$A:$B,2,0)</f>
        <v/>
      </c>
      <c r="F4616" s="4">
        <f>SUMIFS('Dubai Stock'!I:I,'Dubai Stock'!H:H,Final_UAE!B:B)</f>
        <v/>
      </c>
      <c r="H4616" s="8" t="e">
        <v>#N/A</v>
      </c>
      <c r="I4616" s="8" t="n"/>
    </row>
    <row r="4617">
      <c r="A4617" s="4" t="n">
        <v>33834</v>
      </c>
      <c r="B4617" s="4" t="inlineStr">
        <is>
          <t>clstdai-lay-cont-p60-dazzle-brown-sn0250</t>
        </is>
      </c>
      <c r="C4617" s="4" t="inlineStr">
        <is>
          <t>W00031886A</t>
        </is>
      </c>
      <c r="D4617" s="6">
        <f>IF(F4617&gt;=5, F4617-5, IF(F4617&lt;5, 0, F4617))</f>
        <v/>
      </c>
      <c r="E4617">
        <f>VLOOKUP(B4617,[1]Namshi!$A:$B,2,0)</f>
        <v/>
      </c>
      <c r="F4617" s="4">
        <f>SUMIFS('Dubai Stock'!I:I,'Dubai Stock'!H:H,Final_UAE!B:B)</f>
        <v/>
      </c>
      <c r="H4617" s="8" t="e">
        <v>#N/A</v>
      </c>
      <c r="I4617" s="8" t="n"/>
    </row>
    <row r="4618">
      <c r="A4618" s="4" t="n">
        <v>33834</v>
      </c>
      <c r="B4618" s="4" t="inlineStr">
        <is>
          <t>clstdai-acu-dfvi-p30-sn0325</t>
        </is>
      </c>
      <c r="C4618" s="4" t="inlineStr">
        <is>
          <t>W00031886A</t>
        </is>
      </c>
      <c r="D4618" s="6">
        <f>IF(F4618&gt;=5, F4618-5, IF(F4618&lt;5, 0, F4618))</f>
        <v/>
      </c>
      <c r="E4618">
        <f>VLOOKUP(B4618,[1]Namshi!$A:$B,2,0)</f>
        <v/>
      </c>
      <c r="F4618" s="4">
        <f>SUMIFS('Dubai Stock'!I:I,'Dubai Stock'!H:H,Final_UAE!B:B)</f>
        <v/>
      </c>
      <c r="H4618" s="8" t="e">
        <v>#N/A</v>
      </c>
      <c r="I4618" s="8" t="n"/>
    </row>
    <row r="4619">
      <c r="A4619" s="4" t="n">
        <v>33834</v>
      </c>
      <c r="B4619" s="4" t="inlineStr">
        <is>
          <t>sw30107-30s-000270-0101-53</t>
        </is>
      </c>
      <c r="C4619" s="4" t="inlineStr">
        <is>
          <t>W00031886A</t>
        </is>
      </c>
      <c r="D4619" s="6">
        <f>IF(F4619&gt;=5, F4619-5, IF(F4619&lt;5, 0, F4619))</f>
        <v/>
      </c>
      <c r="E4619">
        <f>VLOOKUP(B4619,[1]Namshi!$A:$B,2,0)</f>
        <v/>
      </c>
      <c r="F4619" s="4">
        <f>SUMIFS('Dubai Stock'!I:I,'Dubai Stock'!H:H,Final_UAE!B:B)</f>
        <v/>
      </c>
      <c r="H4619" s="8" t="e">
        <v>#N/A</v>
      </c>
    </row>
    <row r="4620">
      <c r="A4620" s="4" t="n">
        <v>33834</v>
      </c>
      <c r="B4620" s="4" t="inlineStr">
        <is>
          <t>clstdai-acu-mois-p120-sn0500</t>
        </is>
      </c>
      <c r="C4620" s="4" t="inlineStr">
        <is>
          <t>W00031886A</t>
        </is>
      </c>
      <c r="D4620" s="6">
        <f>IF(F4620&gt;=5, F4620-5, IF(F4620&lt;5, 0, F4620))</f>
        <v/>
      </c>
      <c r="E4620">
        <f>VLOOKUP(B4620,[1]Namshi!$A:$B,2,0)</f>
        <v/>
      </c>
      <c r="F4620" s="4">
        <f>SUMIFS('Dubai Stock'!I:I,'Dubai Stock'!H:H,Final_UAE!B:B)</f>
        <v/>
      </c>
      <c r="H4620" s="8" t="e">
        <v>#N/A</v>
      </c>
      <c r="I4620" s="8" t="n"/>
    </row>
    <row r="4621">
      <c r="A4621" s="4" t="n">
        <v>33834</v>
      </c>
      <c r="B4621" s="4" t="inlineStr">
        <is>
          <t>cost3mo-lay-2021-p02-sunkiss-brown-sn0050</t>
        </is>
      </c>
      <c r="C4621" s="4" t="inlineStr">
        <is>
          <t>W00031886A</t>
        </is>
      </c>
      <c r="D4621" s="6">
        <f>IF(F4621&gt;=5, F4621-5, IF(F4621&lt;5, 0, F4621))</f>
        <v/>
      </c>
      <c r="E4621">
        <f>VLOOKUP(B4621,[1]Namshi!$A:$B,2,0)</f>
        <v/>
      </c>
      <c r="F4621" s="4">
        <f>SUMIFS('Dubai Stock'!I:I,'Dubai Stock'!H:H,Final_UAE!B:B)</f>
        <v/>
      </c>
      <c r="H4621" s="8" t="e">
        <v>#N/A</v>
      </c>
      <c r="I4621" s="8" t="n"/>
    </row>
    <row r="4622">
      <c r="A4622" s="4" t="n">
        <v>33834</v>
      </c>
      <c r="B4622" s="4" t="inlineStr">
        <is>
          <t>cltodai-acu-mois-p30-sn0100-cn0075-a010</t>
        </is>
      </c>
      <c r="C4622" s="4" t="inlineStr">
        <is>
          <t>W00031886A</t>
        </is>
      </c>
      <c r="D4622" s="6">
        <f>IF(F4622&gt;=5, F4622-5, IF(F4622&lt;5, 0, F4622))</f>
        <v/>
      </c>
      <c r="E4622">
        <f>VLOOKUP(B4622,[1]Namshi!$A:$B,2,0)</f>
        <v/>
      </c>
      <c r="F4622" s="4">
        <f>SUMIFS('Dubai Stock'!I:I,'Dubai Stock'!H:H,Final_UAE!B:B)</f>
        <v/>
      </c>
      <c r="H4622" s="8" t="e">
        <v>#N/A</v>
      </c>
      <c r="I4622" s="8" t="n"/>
    </row>
    <row r="4623">
      <c r="A4623" s="4" t="n">
        <v>33834</v>
      </c>
      <c r="B4623" s="4" t="inlineStr">
        <is>
          <t>sw100107-bla-000352-0107-52</t>
        </is>
      </c>
      <c r="C4623" s="4" t="inlineStr">
        <is>
          <t>W00031886A</t>
        </is>
      </c>
      <c r="D4623" s="6">
        <f>IF(F4623&gt;=5, F4623-5, IF(F4623&lt;5, 0, F4623))</f>
        <v/>
      </c>
      <c r="E4623">
        <f>VLOOKUP(B4623,[1]Namshi!$A:$B,2,0)</f>
        <v/>
      </c>
      <c r="F4623" s="4">
        <f>SUMIFS('Dubai Stock'!I:I,'Dubai Stock'!H:H,Final_UAE!B:B)</f>
        <v/>
      </c>
      <c r="H4623" s="8" t="e">
        <v>#N/A</v>
      </c>
    </row>
    <row r="4624">
      <c r="A4624" s="4" t="n">
        <v>33834</v>
      </c>
      <c r="B4624" s="4" t="inlineStr">
        <is>
          <t>bc51318-bab-000504-1318-51</t>
        </is>
      </c>
      <c r="C4624" s="4" t="inlineStr">
        <is>
          <t>W00031886A</t>
        </is>
      </c>
      <c r="D4624" s="6">
        <f>IF(F4624&gt;=5, F4624-5, IF(F4624&lt;5, 0, F4624))</f>
        <v/>
      </c>
      <c r="E4624">
        <f>VLOOKUP(B4624,[1]Namshi!$A:$B,2,0)</f>
        <v/>
      </c>
      <c r="F4624" s="4">
        <f>SUMIFS('Dubai Stock'!I:I,'Dubai Stock'!H:H,Final_UAE!B:B)</f>
        <v/>
      </c>
      <c r="H4624" s="8" t="e">
        <v>#N/A</v>
      </c>
    </row>
    <row r="4625">
      <c r="A4625" s="4" t="n">
        <v>33834</v>
      </c>
      <c r="B4625" s="4" t="inlineStr">
        <is>
          <t>cltodai-acu-mois-p30-sn0425-cn0075-a010</t>
        </is>
      </c>
      <c r="C4625" s="4" t="inlineStr">
        <is>
          <t>W00031886A</t>
        </is>
      </c>
      <c r="D4625" s="6">
        <f>IF(F4625&gt;=5, F4625-5, IF(F4625&lt;5, 0, F4625))</f>
        <v/>
      </c>
      <c r="E4625">
        <f>VLOOKUP(B4625,[1]Namshi!$A:$B,2,0)</f>
        <v/>
      </c>
      <c r="F4625" s="4">
        <f>SUMIFS('Dubai Stock'!I:I,'Dubai Stock'!H:H,Final_UAE!B:B)</f>
        <v/>
      </c>
      <c r="H4625" s="8" t="e">
        <v>#N/A</v>
      </c>
      <c r="I4625" s="8" t="n"/>
    </row>
    <row r="4626">
      <c r="A4626" s="4" t="n">
        <v>33834</v>
      </c>
      <c r="B4626" s="4" t="inlineStr">
        <is>
          <t>cost3mo-lay-lens-p02-chestnut-brown-sn0200</t>
        </is>
      </c>
      <c r="C4626" s="4" t="inlineStr">
        <is>
          <t>W00031886A</t>
        </is>
      </c>
      <c r="D4626" s="6">
        <f>IF(F4626&gt;=5, F4626-5, IF(F4626&lt;5, 0, F4626))</f>
        <v/>
      </c>
      <c r="E4626">
        <f>VLOOKUP(B4626,[1]Namshi!$A:$B,2,0)</f>
        <v/>
      </c>
      <c r="F4626" s="4">
        <f>SUMIFS('Dubai Stock'!I:I,'Dubai Stock'!H:H,Final_UAE!B:B)</f>
        <v/>
      </c>
      <c r="H4626" s="8" t="e">
        <v>#N/A</v>
      </c>
      <c r="I4626" s="8" t="n"/>
    </row>
    <row r="4627">
      <c r="A4627" s="4" t="n">
        <v>33834</v>
      </c>
      <c r="B4627" s="4" t="inlineStr">
        <is>
          <t>clstmon-pur-visi-p06-sp0275</t>
        </is>
      </c>
      <c r="C4627" s="4" t="inlineStr">
        <is>
          <t>W00031886A</t>
        </is>
      </c>
      <c r="D4627" s="6">
        <f>IF(F4627&gt;=5, F4627-5, IF(F4627&lt;5, 0, F4627))</f>
        <v/>
      </c>
      <c r="E4627">
        <f>VLOOKUP(B4627,[1]Namshi!$A:$B,2,0)</f>
        <v/>
      </c>
      <c r="F4627" s="4">
        <f>SUMIFS('Dubai Stock'!I:I,'Dubai Stock'!H:H,Final_UAE!B:B)</f>
        <v/>
      </c>
      <c r="H4627" s="8" t="e">
        <v>#N/A</v>
      </c>
      <c r="I4627" s="8" t="n"/>
    </row>
    <row r="4628">
      <c r="A4628" s="4" t="n">
        <v>33834</v>
      </c>
      <c r="B4628" s="4" t="inlineStr">
        <is>
          <t>costmon-ama-lens-p02-mocca-sn0900</t>
        </is>
      </c>
      <c r="C4628" s="4" t="inlineStr">
        <is>
          <t>W00031886A</t>
        </is>
      </c>
      <c r="D4628" s="6">
        <f>IF(F4628&gt;=5, F4628-5, IF(F4628&lt;5, 0, F4628))</f>
        <v/>
      </c>
      <c r="E4628">
        <f>VLOOKUP(B4628,[1]Namshi!$A:$B,2,0)</f>
        <v/>
      </c>
      <c r="F4628" s="4">
        <f>SUMIFS('Dubai Stock'!I:I,'Dubai Stock'!H:H,Final_UAE!B:B)</f>
        <v/>
      </c>
      <c r="H4628" s="8" t="e">
        <v>#N/A</v>
      </c>
      <c r="I4628" s="8" t="n"/>
    </row>
    <row r="4629">
      <c r="A4629" s="4" t="n">
        <v>33834</v>
      </c>
      <c r="B4629" s="4" t="inlineStr">
        <is>
          <t>sw100107-bla-000277-0107-58</t>
        </is>
      </c>
      <c r="C4629" s="4" t="inlineStr">
        <is>
          <t>W00031886A</t>
        </is>
      </c>
      <c r="D4629" s="6">
        <f>IF(F4629&gt;=5, F4629-5, IF(F4629&lt;5, 0, F4629))</f>
        <v/>
      </c>
      <c r="E4629">
        <f>VLOOKUP(B4629,[1]Namshi!$A:$B,2,0)</f>
        <v/>
      </c>
      <c r="F4629" s="4">
        <f>SUMIFS('Dubai Stock'!I:I,'Dubai Stock'!H:H,Final_UAE!B:B)</f>
        <v/>
      </c>
      <c r="H4629" s="8" t="e">
        <v>#N/A</v>
      </c>
    </row>
    <row r="4630">
      <c r="A4630" s="4" t="n">
        <v>33834</v>
      </c>
      <c r="B4630" s="4" t="inlineStr">
        <is>
          <t>sw90107-bla-000211-0101-138</t>
        </is>
      </c>
      <c r="C4630" s="4" t="inlineStr">
        <is>
          <t>W00031886A</t>
        </is>
      </c>
      <c r="D4630" s="6">
        <f>IF(F4630&gt;=5, F4630-5, IF(F4630&lt;5, 0, F4630))</f>
        <v/>
      </c>
      <c r="E4630">
        <f>VLOOKUP(B4630,[1]Namshi!$A:$B,2,0)</f>
        <v/>
      </c>
      <c r="F4630" s="4">
        <f>SUMIFS('Dubai Stock'!I:I,'Dubai Stock'!H:H,Final_UAE!B:B)</f>
        <v/>
      </c>
      <c r="H4630" s="8" t="e">
        <v>#N/A</v>
      </c>
    </row>
    <row r="4631">
      <c r="A4631" s="4" t="n">
        <v>33834</v>
      </c>
      <c r="B4631" s="4" t="inlineStr">
        <is>
          <t>clstbiw-acu-cle-p06-sn0425</t>
        </is>
      </c>
      <c r="C4631" s="4" t="inlineStr">
        <is>
          <t>W00031886A</t>
        </is>
      </c>
      <c r="D4631" s="6">
        <f>IF(F4631&gt;=5, F4631-5, IF(F4631&lt;5, 0, F4631))</f>
        <v/>
      </c>
      <c r="E4631">
        <f>VLOOKUP(B4631,[1]Namshi!$A:$B,2,0)</f>
        <v/>
      </c>
      <c r="F4631" s="4">
        <f>SUMIFS('Dubai Stock'!I:I,'Dubai Stock'!H:H,Final_UAE!B:B)</f>
        <v/>
      </c>
      <c r="H4631" s="8" t="e">
        <v>#N/A</v>
      </c>
      <c r="I4631" s="8" t="n"/>
    </row>
    <row r="4632">
      <c r="A4632" s="4" t="n">
        <v>33834</v>
      </c>
      <c r="B4632" s="4" t="inlineStr">
        <is>
          <t>clstdai-eve-pure-p90-sn0475</t>
        </is>
      </c>
      <c r="C4632" s="4" t="inlineStr">
        <is>
          <t>W00031886A</t>
        </is>
      </c>
      <c r="D4632" s="6">
        <f>IF(F4632&gt;=5, F4632-5, IF(F4632&lt;5, 0, F4632))</f>
        <v/>
      </c>
      <c r="E4632">
        <f>VLOOKUP(B4632,[1]Namshi!$A:$B,2,0)</f>
        <v/>
      </c>
      <c r="F4632" s="4">
        <f>SUMIFS('Dubai Stock'!I:I,'Dubai Stock'!H:H,Final_UAE!B:B)</f>
        <v/>
      </c>
      <c r="H4632" s="8" t="n">
        <v>529</v>
      </c>
      <c r="I4632" s="8" t="n">
        <v>259</v>
      </c>
    </row>
    <row r="4633">
      <c r="A4633" s="4" t="n">
        <v>33834</v>
      </c>
      <c r="B4633" s="4" t="inlineStr">
        <is>
          <t>clstdai-acu-omax-p30-sn1100</t>
        </is>
      </c>
      <c r="C4633" s="4" t="inlineStr">
        <is>
          <t>W00031886A</t>
        </is>
      </c>
      <c r="D4633" s="6">
        <f>IF(F4633&gt;=5, F4633-5, IF(F4633&lt;5, 0, F4633))</f>
        <v/>
      </c>
      <c r="E4633">
        <f>VLOOKUP(B4633,[1]Namshi!$A:$B,2,0)</f>
        <v/>
      </c>
      <c r="F4633" s="4">
        <f>SUMIFS('Dubai Stock'!I:I,'Dubai Stock'!H:H,Final_UAE!B:B)</f>
        <v/>
      </c>
      <c r="H4633" s="8" t="e">
        <v>#N/A</v>
      </c>
      <c r="I4633" s="8" t="n"/>
    </row>
    <row r="4634">
      <c r="A4634" s="4" t="n">
        <v>33834</v>
      </c>
      <c r="B4634" s="4" t="inlineStr">
        <is>
          <t>clstdai-acu-omax-p30-sp0175</t>
        </is>
      </c>
      <c r="C4634" s="4" t="inlineStr">
        <is>
          <t>W00031886A</t>
        </is>
      </c>
      <c r="D4634" s="6">
        <f>IF(F4634&gt;=5, F4634-5, IF(F4634&lt;5, 0, F4634))</f>
        <v/>
      </c>
      <c r="E4634">
        <f>VLOOKUP(B4634,[1]Namshi!$A:$B,2,0)</f>
        <v/>
      </c>
      <c r="F4634" s="4">
        <f>SUMIFS('Dubai Stock'!I:I,'Dubai Stock'!H:H,Final_UAE!B:B)</f>
        <v/>
      </c>
      <c r="H4634" s="8" t="e">
        <v>#N/A</v>
      </c>
      <c r="I4634" s="8" t="n"/>
    </row>
    <row r="4635">
      <c r="A4635" s="4" t="n">
        <v>33834</v>
      </c>
      <c r="B4635" s="4" t="inlineStr">
        <is>
          <t>clstdai-dai-aqua-p30-sp0425</t>
        </is>
      </c>
      <c r="C4635" s="4" t="inlineStr">
        <is>
          <t>W00031886A</t>
        </is>
      </c>
      <c r="D4635" s="6">
        <f>IF(F4635&gt;=5, F4635-5, IF(F4635&lt;5, 0, F4635))</f>
        <v/>
      </c>
      <c r="E4635">
        <f>VLOOKUP(B4635,[1]Namshi!$A:$B,2,0)</f>
        <v/>
      </c>
      <c r="F4635" s="4">
        <f>SUMIFS('Dubai Stock'!I:I,'Dubai Stock'!H:H,Final_UAE!B:B)</f>
        <v/>
      </c>
      <c r="H4635" s="8" t="e">
        <v>#N/A</v>
      </c>
      <c r="I4635" s="8" t="n"/>
    </row>
    <row r="4636">
      <c r="A4636" s="4" t="n">
        <v>33834</v>
      </c>
      <c r="B4636" s="4" t="inlineStr">
        <is>
          <t>clstdai-acu-dfrb-p60-sn0650</t>
        </is>
      </c>
      <c r="C4636" s="4" t="inlineStr">
        <is>
          <t>W00031886A</t>
        </is>
      </c>
      <c r="D4636" s="6">
        <f>IF(F4636&gt;=5, F4636-5, IF(F4636&lt;5, 0, F4636))</f>
        <v/>
      </c>
      <c r="E4636">
        <f>VLOOKUP(B4636,[1]Namshi!$A:$B,2,0)</f>
        <v/>
      </c>
      <c r="F4636" s="4">
        <f>SUMIFS('Dubai Stock'!I:I,'Dubai Stock'!H:H,Final_UAE!B:B)</f>
        <v/>
      </c>
      <c r="H4636" s="8" t="e">
        <v>#N/A</v>
      </c>
      <c r="I4636" s="8" t="n"/>
    </row>
    <row r="4637">
      <c r="A4637" s="4" t="n">
        <v>33834</v>
      </c>
      <c r="B4637" s="4" t="inlineStr">
        <is>
          <t>sw32404-bla-000331-2404-51</t>
        </is>
      </c>
      <c r="C4637" s="4" t="inlineStr">
        <is>
          <t>W00031886A</t>
        </is>
      </c>
      <c r="D4637" s="6">
        <f>IF(F4637&gt;=5, F4637-5, IF(F4637&lt;5, 0, F4637))</f>
        <v/>
      </c>
      <c r="E4637">
        <f>VLOOKUP(B4637,[1]Namshi!$A:$B,2,0)</f>
        <v/>
      </c>
      <c r="F4637" s="4">
        <f>SUMIFS('Dubai Stock'!I:I,'Dubai Stock'!H:H,Final_UAE!B:B)</f>
        <v/>
      </c>
      <c r="H4637" s="8" t="e">
        <v>#N/A</v>
      </c>
    </row>
    <row r="4638">
      <c r="A4638" s="4" t="n">
        <v>33834</v>
      </c>
      <c r="B4638" s="4" t="inlineStr">
        <is>
          <t>cost3mo-lay-2023-p02-selene-green-sn0250</t>
        </is>
      </c>
      <c r="C4638" s="4" t="inlineStr">
        <is>
          <t>W00031886A</t>
        </is>
      </c>
      <c r="D4638" s="6">
        <f>IF(F4638&gt;=5, F4638-5, IF(F4638&lt;5, 0, F4638))</f>
        <v/>
      </c>
      <c r="E4638">
        <f>VLOOKUP(B4638,[1]Namshi!$A:$B,2,0)</f>
        <v/>
      </c>
      <c r="F4638" s="4">
        <f>SUMIFS('Dubai Stock'!I:I,'Dubai Stock'!H:H,Final_UAE!B:B)</f>
        <v/>
      </c>
      <c r="H4638" s="8" t="e">
        <v>#N/A</v>
      </c>
      <c r="I4638" s="8" t="n"/>
    </row>
    <row r="4639">
      <c r="A4639" s="4" t="n">
        <v>33834</v>
      </c>
      <c r="B4639" s="4" t="inlineStr">
        <is>
          <t>sw20102-30s-000232-0304-64</t>
        </is>
      </c>
      <c r="C4639" s="4" t="inlineStr">
        <is>
          <t>W00031886A</t>
        </is>
      </c>
      <c r="D4639" s="6">
        <f>IF(F4639&gt;=5, F4639-5, IF(F4639&lt;5, 0, F4639))</f>
        <v/>
      </c>
      <c r="E4639">
        <f>VLOOKUP(B4639,[1]Namshi!$A:$B,2,0)</f>
        <v/>
      </c>
      <c r="F4639" s="4">
        <f>SUMIFS('Dubai Stock'!I:I,'Dubai Stock'!H:H,Final_UAE!B:B)</f>
        <v/>
      </c>
      <c r="H4639" s="8" t="e">
        <v>#N/A</v>
      </c>
    </row>
    <row r="4640">
      <c r="A4640" s="4" t="n">
        <v>33834</v>
      </c>
      <c r="B4640" s="4" t="inlineStr">
        <is>
          <t>sm52106-30s-000234-2106-48</t>
        </is>
      </c>
      <c r="C4640" s="4" t="inlineStr">
        <is>
          <t>W00031886A</t>
        </is>
      </c>
      <c r="D4640" s="6">
        <f>IF(F4640&gt;=5, F4640-5, IF(F4640&lt;5, 0, F4640))</f>
        <v/>
      </c>
      <c r="E4640">
        <f>VLOOKUP(B4640,[1]Namshi!$A:$B,2,0)</f>
        <v/>
      </c>
      <c r="F4640" s="4">
        <f>SUMIFS('Dubai Stock'!I:I,'Dubai Stock'!H:H,Final_UAE!B:B)</f>
        <v/>
      </c>
      <c r="H4640" s="8" t="e">
        <v>#N/A</v>
      </c>
      <c r="I4640" s="8" t="n"/>
    </row>
    <row r="4641">
      <c r="A4641" s="4" t="n">
        <v>33834</v>
      </c>
      <c r="B4641" s="4" t="inlineStr">
        <is>
          <t>costdai-acu-dffr-p30-green-sn0600</t>
        </is>
      </c>
      <c r="C4641" s="4" t="inlineStr">
        <is>
          <t>W00031886A</t>
        </is>
      </c>
      <c r="D4641" s="6">
        <f>IF(F4641&gt;=5, F4641-5, IF(F4641&lt;5, 0, F4641))</f>
        <v/>
      </c>
      <c r="E4641">
        <f>VLOOKUP(B4641,[1]Namshi!$A:$B,2,0)</f>
        <v/>
      </c>
      <c r="F4641" s="4">
        <f>SUMIFS('Dubai Stock'!I:I,'Dubai Stock'!H:H,Final_UAE!B:B)</f>
        <v/>
      </c>
      <c r="H4641" s="8" t="e">
        <v>#N/A</v>
      </c>
      <c r="I4641" s="8" t="n"/>
    </row>
    <row r="4642">
      <c r="A4642" s="4" t="n">
        <v>33834</v>
      </c>
      <c r="B4642" s="4" t="inlineStr">
        <is>
          <t>cost3mo-lay-lens-p02-ocean-blue-sn0575</t>
        </is>
      </c>
      <c r="C4642" s="4" t="inlineStr">
        <is>
          <t>W00031886A</t>
        </is>
      </c>
      <c r="D4642" s="6">
        <f>IF(F4642&gt;=5, F4642-5, IF(F4642&lt;5, 0, F4642))</f>
        <v/>
      </c>
      <c r="E4642">
        <f>VLOOKUP(B4642,[1]Namshi!$A:$B,2,0)</f>
        <v/>
      </c>
      <c r="F4642" s="4">
        <f>SUMIFS('Dubai Stock'!I:I,'Dubai Stock'!H:H,Final_UAE!B:B)</f>
        <v/>
      </c>
      <c r="H4642" s="8" t="e">
        <v>#N/A</v>
      </c>
      <c r="I4642" s="8" t="n"/>
    </row>
    <row r="4643">
      <c r="A4643" s="4" t="n">
        <v>33834</v>
      </c>
      <c r="B4643" s="4" t="inlineStr">
        <is>
          <t>clstdai-sof-sdai-p30-sn0650</t>
        </is>
      </c>
      <c r="C4643" s="4" t="inlineStr">
        <is>
          <t>W00031886A</t>
        </is>
      </c>
      <c r="D4643" s="6">
        <f>IF(F4643&gt;=5, F4643-5, IF(F4643&lt;5, 0, F4643))</f>
        <v/>
      </c>
      <c r="E4643">
        <f>VLOOKUP(B4643,[1]Namshi!$A:$B,2,0)</f>
        <v/>
      </c>
      <c r="F4643" s="4">
        <f>SUMIFS('Dubai Stock'!I:I,'Dubai Stock'!H:H,Final_UAE!B:B)</f>
        <v/>
      </c>
      <c r="H4643" s="8" t="e">
        <v>#N/A</v>
      </c>
      <c r="I4643" s="8" t="n"/>
    </row>
    <row r="4644">
      <c r="A4644" s="4" t="n">
        <v>33834</v>
      </c>
      <c r="B4644" s="4" t="inlineStr">
        <is>
          <t>clstdai-acu-dfrb-p60-sn0075</t>
        </is>
      </c>
      <c r="C4644" s="4" t="inlineStr">
        <is>
          <t>W00031886A</t>
        </is>
      </c>
      <c r="D4644" s="6">
        <f>IF(F4644&gt;=5, F4644-5, IF(F4644&lt;5, 0, F4644))</f>
        <v/>
      </c>
      <c r="E4644">
        <f>VLOOKUP(B4644,[1]Namshi!$A:$B,2,0)</f>
        <v/>
      </c>
      <c r="F4644" s="4">
        <f>SUMIFS('Dubai Stock'!I:I,'Dubai Stock'!H:H,Final_UAE!B:B)</f>
        <v/>
      </c>
      <c r="H4644" s="8" t="e">
        <v>#N/A</v>
      </c>
      <c r="I4644" s="8" t="n"/>
    </row>
    <row r="4645">
      <c r="A4645" s="4" t="n">
        <v>33834</v>
      </c>
      <c r="B4645" s="4" t="inlineStr">
        <is>
          <t>clstdai-acu-dfvi-p90-sn0600</t>
        </is>
      </c>
      <c r="C4645" s="4" t="inlineStr">
        <is>
          <t>W00031886A</t>
        </is>
      </c>
      <c r="D4645" s="6">
        <f>IF(F4645&gt;=5, F4645-5, IF(F4645&lt;5, 0, F4645))</f>
        <v/>
      </c>
      <c r="E4645">
        <f>VLOOKUP(B4645,[1]Namshi!$A:$B,2,0)</f>
        <v/>
      </c>
      <c r="F4645" s="4">
        <f>SUMIFS('Dubai Stock'!I:I,'Dubai Stock'!H:H,Final_UAE!B:B)</f>
        <v/>
      </c>
      <c r="H4645" s="8" t="e">
        <v>#N/A</v>
      </c>
      <c r="I4645" s="8" t="n"/>
    </row>
    <row r="4646">
      <c r="A4646" s="4" t="n">
        <v>33834</v>
      </c>
      <c r="B4646" s="4" t="inlineStr">
        <is>
          <t>sm51304-30s-000221-1304-52</t>
        </is>
      </c>
      <c r="C4646" s="4" t="inlineStr">
        <is>
          <t>W00031886A</t>
        </is>
      </c>
      <c r="D4646" s="6">
        <f>IF(F4646&gt;=5, F4646-5, IF(F4646&lt;5, 0, F4646))</f>
        <v/>
      </c>
      <c r="E4646">
        <f>VLOOKUP(B4646,[1]Namshi!$A:$B,2,0)</f>
        <v/>
      </c>
      <c r="F4646" s="4">
        <f>SUMIFS('Dubai Stock'!I:I,'Dubai Stock'!H:H,Final_UAE!B:B)</f>
        <v/>
      </c>
      <c r="H4646" s="8" t="e">
        <v>#N/A</v>
      </c>
    </row>
    <row r="4647">
      <c r="A4647" s="4" t="n">
        <v>33834</v>
      </c>
      <c r="B4647" s="4" t="inlineStr">
        <is>
          <t>su10108-bla-000270-0108-55</t>
        </is>
      </c>
      <c r="C4647" s="4" t="inlineStr">
        <is>
          <t>W00031886A</t>
        </is>
      </c>
      <c r="D4647" s="6">
        <f>IF(F4647&gt;=5, F4647-5, IF(F4647&lt;5, 0, F4647))</f>
        <v/>
      </c>
      <c r="E4647">
        <f>VLOOKUP(B4647,[1]Namshi!$A:$B,2,0)</f>
        <v/>
      </c>
      <c r="F4647" s="4">
        <f>SUMIFS('Dubai Stock'!I:I,'Dubai Stock'!H:H,Final_UAE!B:B)</f>
        <v/>
      </c>
      <c r="H4647" s="8" t="e">
        <v>#N/A</v>
      </c>
    </row>
    <row r="4648">
      <c r="A4648" s="4" t="n">
        <v>33834</v>
      </c>
      <c r="B4648" s="4" t="inlineStr">
        <is>
          <t>clstdai-acu-mois-p120-sn0175</t>
        </is>
      </c>
      <c r="C4648" s="4" t="inlineStr">
        <is>
          <t>W00031886A</t>
        </is>
      </c>
      <c r="D4648" s="6">
        <f>IF(F4648&gt;=5, F4648-5, IF(F4648&lt;5, 0, F4648))</f>
        <v/>
      </c>
      <c r="E4648">
        <f>VLOOKUP(B4648,[1]Namshi!$A:$B,2,0)</f>
        <v/>
      </c>
      <c r="F4648" s="4">
        <f>SUMIFS('Dubai Stock'!I:I,'Dubai Stock'!H:H,Final_UAE!B:B)</f>
        <v/>
      </c>
      <c r="H4648" s="8" t="e">
        <v>#N/A</v>
      </c>
      <c r="I4648" s="8" t="n"/>
    </row>
    <row r="4649">
      <c r="A4649" s="4" t="n">
        <v>33834</v>
      </c>
      <c r="B4649" s="4" t="inlineStr">
        <is>
          <t>sw70101-30s-000282-0101-54</t>
        </is>
      </c>
      <c r="C4649" s="4" t="inlineStr">
        <is>
          <t>W00031886A</t>
        </is>
      </c>
      <c r="D4649" s="6">
        <f>IF(F4649&gt;=5, F4649-5, IF(F4649&lt;5, 0, F4649))</f>
        <v/>
      </c>
      <c r="E4649">
        <f>VLOOKUP(B4649,[1]Namshi!$A:$B,2,0)</f>
        <v/>
      </c>
      <c r="F4649" s="4">
        <f>SUMIFS('Dubai Stock'!I:I,'Dubai Stock'!H:H,Final_UAE!B:B)</f>
        <v/>
      </c>
      <c r="H4649" s="8" t="e">
        <v>#N/A</v>
      </c>
    </row>
    <row r="4650">
      <c r="A4650" s="4" t="n">
        <v>33834</v>
      </c>
      <c r="B4650" s="4" t="inlineStr">
        <is>
          <t>su50506-bla-000103-2706-53</t>
        </is>
      </c>
      <c r="C4650" s="4" t="inlineStr">
        <is>
          <t>W00031886A</t>
        </is>
      </c>
      <c r="D4650" s="6">
        <f>IF(F4650&gt;=5, F4650-5, IF(F4650&lt;5, 0, F4650))</f>
        <v/>
      </c>
      <c r="E4650">
        <f>VLOOKUP(B4650,[1]Namshi!$A:$B,2,0)</f>
        <v/>
      </c>
      <c r="F4650" s="4">
        <f>SUMIFS('Dubai Stock'!I:I,'Dubai Stock'!H:H,Final_UAE!B:B)</f>
        <v/>
      </c>
      <c r="H4650" s="8" t="e">
        <v>#N/A</v>
      </c>
    </row>
    <row r="4651">
      <c r="A4651" s="4" t="n">
        <v>33834</v>
      </c>
      <c r="B4651" s="4" t="inlineStr">
        <is>
          <t>sw32604-30s-000257-2604-52</t>
        </is>
      </c>
      <c r="C4651" s="4" t="inlineStr">
        <is>
          <t>W00031886A</t>
        </is>
      </c>
      <c r="D4651" s="6">
        <f>IF(F4651&gt;=5, F4651-5, IF(F4651&lt;5, 0, F4651))</f>
        <v/>
      </c>
      <c r="E4651">
        <f>VLOOKUP(B4651,[1]Namshi!$A:$B,2,0)</f>
        <v/>
      </c>
      <c r="F4651" s="4">
        <f>SUMIFS('Dubai Stock'!I:I,'Dubai Stock'!H:H,Final_UAE!B:B)</f>
        <v/>
      </c>
      <c r="H4651" s="8" t="e">
        <v>#N/A</v>
      </c>
    </row>
    <row r="4652">
      <c r="A4652" s="4" t="n">
        <v>33834</v>
      </c>
      <c r="B4652" s="4" t="inlineStr">
        <is>
          <t>costmon-ama-2020-p02-pure-hazel-sn0425</t>
        </is>
      </c>
      <c r="C4652" s="4" t="inlineStr">
        <is>
          <t>W00031886A</t>
        </is>
      </c>
      <c r="D4652" s="6">
        <f>IF(F4652&gt;=5, F4652-5, IF(F4652&lt;5, 0, F4652))</f>
        <v/>
      </c>
      <c r="E4652">
        <f>VLOOKUP(B4652,[1]Namshi!$A:$B,2,0)</f>
        <v/>
      </c>
      <c r="F4652" s="4">
        <f>SUMIFS('Dubai Stock'!I:I,'Dubai Stock'!H:H,Final_UAE!B:B)</f>
        <v/>
      </c>
      <c r="H4652" s="8" t="e">
        <v>#N/A</v>
      </c>
      <c r="I4652" s="8" t="n"/>
    </row>
    <row r="4653">
      <c r="A4653" s="4" t="n">
        <v>33834</v>
      </c>
      <c r="B4653" s="4" t="inlineStr">
        <is>
          <t>cost3mo-lay-lens-p02-ocean-blue-sn0300</t>
        </is>
      </c>
      <c r="C4653" s="4" t="inlineStr">
        <is>
          <t>W00031886A</t>
        </is>
      </c>
      <c r="D4653" s="6">
        <f>IF(F4653&gt;=5, F4653-5, IF(F4653&lt;5, 0, F4653))</f>
        <v/>
      </c>
      <c r="E4653">
        <f>VLOOKUP(B4653,[1]Namshi!$A:$B,2,0)</f>
        <v/>
      </c>
      <c r="F4653" s="4">
        <f>SUMIFS('Dubai Stock'!I:I,'Dubai Stock'!H:H,Final_UAE!B:B)</f>
        <v/>
      </c>
      <c r="H4653" s="8" t="e">
        <v>#N/A</v>
      </c>
      <c r="I4653" s="8" t="n"/>
    </row>
    <row r="4654">
      <c r="A4654" s="4" t="n">
        <v>33834</v>
      </c>
      <c r="B4654" s="4" t="inlineStr">
        <is>
          <t>cost3mo-lay-2025-p02-emerald-glow-sn0525</t>
        </is>
      </c>
      <c r="C4654" s="4" t="inlineStr">
        <is>
          <t>W00031886A</t>
        </is>
      </c>
      <c r="D4654" s="6">
        <f>IF(F4654&gt;=5, F4654-5, IF(F4654&lt;5, 0, F4654))</f>
        <v/>
      </c>
      <c r="E4654">
        <f>VLOOKUP(B4654,[1]Namshi!$A:$B,2,0)</f>
        <v/>
      </c>
      <c r="F4654" s="4">
        <f>SUMIFS('Dubai Stock'!I:I,'Dubai Stock'!H:H,Final_UAE!B:B)</f>
        <v/>
      </c>
      <c r="H4654" s="8" t="e">
        <v>#N/A</v>
      </c>
      <c r="I4654" s="8" t="n"/>
    </row>
    <row r="4655">
      <c r="A4655" s="4" t="n">
        <v>33834</v>
      </c>
      <c r="B4655" s="4" t="inlineStr">
        <is>
          <t>clstdai-lay-cont-p30-dazzle-black-sn0400</t>
        </is>
      </c>
      <c r="C4655" s="4" t="inlineStr">
        <is>
          <t>W00031886A</t>
        </is>
      </c>
      <c r="D4655" s="6">
        <f>IF(F4655&gt;=5, F4655-5, IF(F4655&lt;5, 0, F4655))</f>
        <v/>
      </c>
      <c r="E4655">
        <f>VLOOKUP(B4655,[1]Namshi!$A:$B,2,0)</f>
        <v/>
      </c>
      <c r="F4655" s="4">
        <f>SUMIFS('Dubai Stock'!I:I,'Dubai Stock'!H:H,Final_UAE!B:B)</f>
        <v/>
      </c>
      <c r="H4655" s="8" t="e">
        <v>#N/A</v>
      </c>
      <c r="I4655" s="8" t="n"/>
    </row>
    <row r="4656">
      <c r="A4656" s="4" t="n">
        <v>33834</v>
      </c>
      <c r="B4656" s="4" t="inlineStr">
        <is>
          <t>clstdai-eve-elit-p30-sn1000</t>
        </is>
      </c>
      <c r="C4656" s="4" t="inlineStr">
        <is>
          <t>W00031886A</t>
        </is>
      </c>
      <c r="D4656" s="6">
        <f>IF(F4656&gt;=5, F4656-5, IF(F4656&lt;5, 0, F4656))</f>
        <v/>
      </c>
      <c r="E4656">
        <f>VLOOKUP(B4656,[1]Namshi!$A:$B,2,0)</f>
        <v/>
      </c>
      <c r="F4656" s="4">
        <f>SUMIFS('Dubai Stock'!I:I,'Dubai Stock'!H:H,Final_UAE!B:B)</f>
        <v/>
      </c>
      <c r="H4656" s="8" t="n">
        <v>261</v>
      </c>
      <c r="I4656" s="8" t="n">
        <v>146.3</v>
      </c>
    </row>
    <row r="4657">
      <c r="A4657" s="4" t="n">
        <v>33834</v>
      </c>
      <c r="B4657" s="4" t="inlineStr">
        <is>
          <t>clstdai-lay-cont-p90-dazzle-brown-sn0900</t>
        </is>
      </c>
      <c r="C4657" s="4" t="inlineStr">
        <is>
          <t>W00031886A</t>
        </is>
      </c>
      <c r="D4657" s="6">
        <f>IF(F4657&gt;=5, F4657-5, IF(F4657&lt;5, 0, F4657))</f>
        <v/>
      </c>
      <c r="E4657">
        <f>VLOOKUP(B4657,[1]Namshi!$A:$B,2,0)</f>
        <v/>
      </c>
      <c r="F4657" s="4">
        <f>SUMIFS('Dubai Stock'!I:I,'Dubai Stock'!H:H,Final_UAE!B:B)</f>
        <v/>
      </c>
      <c r="H4657" s="8" t="e">
        <v>#N/A</v>
      </c>
      <c r="I4657" s="8" t="n"/>
    </row>
    <row r="4658">
      <c r="A4658" s="4" t="n">
        <v>33834</v>
      </c>
      <c r="B4658" s="4" t="inlineStr">
        <is>
          <t>costmon-ama-2024-p02-matcha-sn0575</t>
        </is>
      </c>
      <c r="C4658" s="4" t="inlineStr">
        <is>
          <t>W00031886A</t>
        </is>
      </c>
      <c r="D4658" s="6">
        <f>IF(F4658&gt;=5, F4658-5, IF(F4658&lt;5, 0, F4658))</f>
        <v/>
      </c>
      <c r="E4658">
        <f>VLOOKUP(B4658,[1]Namshi!$A:$B,2,0)</f>
        <v/>
      </c>
      <c r="F4658" s="4">
        <f>SUMIFS('Dubai Stock'!I:I,'Dubai Stock'!H:H,Final_UAE!B:B)</f>
        <v/>
      </c>
      <c r="H4658" s="8" t="e">
        <v>#N/A</v>
      </c>
      <c r="I4658" s="8" t="n"/>
    </row>
    <row r="4659">
      <c r="A4659" s="4" t="n">
        <v>33834</v>
      </c>
      <c r="B4659" s="4" t="inlineStr">
        <is>
          <t>costdai-acu-dffr-p10-grayzel-sn0600</t>
        </is>
      </c>
      <c r="C4659" s="4" t="inlineStr">
        <is>
          <t>W00031886A</t>
        </is>
      </c>
      <c r="D4659" s="6">
        <f>IF(F4659&gt;=5, F4659-5, IF(F4659&lt;5, 0, F4659))</f>
        <v/>
      </c>
      <c r="E4659">
        <f>VLOOKUP(B4659,[1]Namshi!$A:$B,2,0)</f>
        <v/>
      </c>
      <c r="F4659" s="4">
        <f>SUMIFS('Dubai Stock'!I:I,'Dubai Stock'!H:H,Final_UAE!B:B)</f>
        <v/>
      </c>
      <c r="H4659" s="8" t="e">
        <v>#N/A</v>
      </c>
      <c r="I4659" s="8" t="n"/>
    </row>
    <row r="4660">
      <c r="A4660" s="4" t="n">
        <v>33834</v>
      </c>
      <c r="B4660" s="4" t="inlineStr">
        <is>
          <t>clstdai-btr-oned-p30-sp0075</t>
        </is>
      </c>
      <c r="C4660" s="4" t="inlineStr">
        <is>
          <t>W00031886A</t>
        </is>
      </c>
      <c r="D4660" s="6">
        <f>IF(F4660&gt;=5, F4660-5, IF(F4660&lt;5, 0, F4660))</f>
        <v/>
      </c>
      <c r="E4660">
        <f>VLOOKUP(B4660,[1]Namshi!$A:$B,2,0)</f>
        <v/>
      </c>
      <c r="F4660" s="4">
        <f>SUMIFS('Dubai Stock'!I:I,'Dubai Stock'!H:H,Final_UAE!B:B)</f>
        <v/>
      </c>
      <c r="H4660" s="8" t="e">
        <v>#N/A</v>
      </c>
      <c r="I4660" s="8" t="n"/>
    </row>
    <row r="4661">
      <c r="A4661" s="4" t="n">
        <v>33834</v>
      </c>
      <c r="B4661" s="4" t="inlineStr">
        <is>
          <t>sw30101-bla-000250-0101-54</t>
        </is>
      </c>
      <c r="C4661" s="4" t="inlineStr">
        <is>
          <t>W00031886A</t>
        </is>
      </c>
      <c r="D4661" s="6">
        <f>IF(F4661&gt;=5, F4661-5, IF(F4661&lt;5, 0, F4661))</f>
        <v/>
      </c>
      <c r="E4661">
        <f>VLOOKUP(B4661,[1]Namshi!$A:$B,2,0)</f>
        <v/>
      </c>
      <c r="F4661" s="4">
        <f>SUMIFS('Dubai Stock'!I:I,'Dubai Stock'!H:H,Final_UAE!B:B)</f>
        <v/>
      </c>
      <c r="H4661" s="8" t="e">
        <v>#N/A</v>
      </c>
    </row>
    <row r="4662">
      <c r="A4662" s="4" t="n">
        <v>33834</v>
      </c>
      <c r="B4662" s="4" t="inlineStr">
        <is>
          <t>su100606-30s-000277-2102-52</t>
        </is>
      </c>
      <c r="C4662" s="4" t="inlineStr">
        <is>
          <t>W00031886A</t>
        </is>
      </c>
      <c r="D4662" s="6">
        <f>IF(F4662&gt;=5, F4662-5, IF(F4662&lt;5, 0, F4662))</f>
        <v/>
      </c>
      <c r="E4662">
        <f>VLOOKUP(B4662,[1]Namshi!$A:$B,2,0)</f>
        <v/>
      </c>
      <c r="F4662" s="4">
        <f>SUMIFS('Dubai Stock'!I:I,'Dubai Stock'!H:H,Final_UAE!B:B)</f>
        <v/>
      </c>
      <c r="H4662" s="8" t="e">
        <v>#N/A</v>
      </c>
      <c r="I4662" s="8" t="n"/>
    </row>
    <row r="4663">
      <c r="A4663" s="4" t="n">
        <v>33834</v>
      </c>
      <c r="B4663" s="4" t="inlineStr">
        <is>
          <t>fw41318-spc-000543-1300-55</t>
        </is>
      </c>
      <c r="C4663" s="4" t="inlineStr">
        <is>
          <t>W00031886A</t>
        </is>
      </c>
      <c r="D4663" s="6">
        <f>IF(F4663&gt;=5, F4663-5, IF(F4663&lt;5, 0, F4663))</f>
        <v/>
      </c>
      <c r="E4663">
        <f>VLOOKUP(B4663,[1]Namshi!$A:$B,2,0)</f>
        <v/>
      </c>
      <c r="F4663" s="4">
        <f>SUMIFS('Dubai Stock'!I:I,'Dubai Stock'!H:H,Final_UAE!B:B)</f>
        <v/>
      </c>
      <c r="H4663" s="8" t="e">
        <v>#N/A</v>
      </c>
      <c r="I4663" s="8" t="n"/>
    </row>
    <row r="4664">
      <c r="A4664" s="4" t="n">
        <v>33834</v>
      </c>
      <c r="B4664" s="4" t="inlineStr">
        <is>
          <t>clstdai-eve-pure-p90-sn0250</t>
        </is>
      </c>
      <c r="C4664" s="4" t="inlineStr">
        <is>
          <t>W00031886A</t>
        </is>
      </c>
      <c r="D4664" s="6">
        <f>IF(F4664&gt;=5, F4664-5, IF(F4664&lt;5, 0, F4664))</f>
        <v/>
      </c>
      <c r="E4664">
        <f>VLOOKUP(B4664,[1]Namshi!$A:$B,2,0)</f>
        <v/>
      </c>
      <c r="F4664" s="4">
        <f>SUMIFS('Dubai Stock'!I:I,'Dubai Stock'!H:H,Final_UAE!B:B)</f>
        <v/>
      </c>
      <c r="H4664" s="8" t="n">
        <v>529</v>
      </c>
      <c r="I4664" s="8" t="n">
        <v>259</v>
      </c>
    </row>
    <row r="4665">
      <c r="A4665" s="4" t="n">
        <v>33834</v>
      </c>
      <c r="B4665" s="4" t="inlineStr">
        <is>
          <t>sw32304-bla-000280-2304-56</t>
        </is>
      </c>
      <c r="C4665" s="4" t="inlineStr">
        <is>
          <t>W00031886A</t>
        </is>
      </c>
      <c r="D4665" s="6">
        <f>IF(F4665&gt;=5, F4665-5, IF(F4665&lt;5, 0, F4665))</f>
        <v/>
      </c>
      <c r="E4665">
        <f>VLOOKUP(B4665,[1]Namshi!$A:$B,2,0)</f>
        <v/>
      </c>
      <c r="F4665" s="4">
        <f>SUMIFS('Dubai Stock'!I:I,'Dubai Stock'!H:H,Final_UAE!B:B)</f>
        <v/>
      </c>
      <c r="H4665" s="8" t="e">
        <v>#N/A</v>
      </c>
    </row>
    <row r="4666">
      <c r="A4666" s="4" t="n">
        <v>33834</v>
      </c>
      <c r="B4666" s="4" t="inlineStr">
        <is>
          <t>clstbiw-acu-0002-p06-sn0200</t>
        </is>
      </c>
      <c r="C4666" s="4" t="inlineStr">
        <is>
          <t>W00031886A</t>
        </is>
      </c>
      <c r="D4666" s="6">
        <f>IF(F4666&gt;=5, F4666-5, IF(F4666&lt;5, 0, F4666))</f>
        <v/>
      </c>
      <c r="E4666">
        <f>VLOOKUP(B4666,[1]Namshi!$A:$B,2,0)</f>
        <v/>
      </c>
      <c r="F4666" s="4">
        <f>SUMIFS('Dubai Stock'!I:I,'Dubai Stock'!H:H,Final_UAE!B:B)</f>
        <v/>
      </c>
      <c r="H4666" s="8" t="e">
        <v>#N/A</v>
      </c>
      <c r="I4666" s="8" t="n"/>
    </row>
    <row r="4667">
      <c r="A4667" s="4" t="n">
        <v>33834</v>
      </c>
      <c r="B4667" s="4" t="inlineStr">
        <is>
          <t>sw30404-30s-000491-0404-53</t>
        </is>
      </c>
      <c r="C4667" s="4" t="inlineStr">
        <is>
          <t>W00031886A</t>
        </is>
      </c>
      <c r="D4667" s="6">
        <f>IF(F4667&gt;=5, F4667-5, IF(F4667&lt;5, 0, F4667))</f>
        <v/>
      </c>
      <c r="E4667">
        <f>VLOOKUP(B4667,[1]Namshi!$A:$B,2,0)</f>
        <v/>
      </c>
      <c r="F4667" s="4">
        <f>SUMIFS('Dubai Stock'!I:I,'Dubai Stock'!H:H,Final_UAE!B:B)</f>
        <v/>
      </c>
      <c r="H4667" s="8" t="e">
        <v>#N/A</v>
      </c>
      <c r="I4667" s="8" t="n"/>
    </row>
    <row r="4668">
      <c r="A4668" s="4" t="n">
        <v>33834</v>
      </c>
      <c r="B4668" s="4" t="inlineStr">
        <is>
          <t>cost3mo-lay-2021-p02-golden-gray-sn0075</t>
        </is>
      </c>
      <c r="C4668" s="4" t="inlineStr">
        <is>
          <t>W00031886A</t>
        </is>
      </c>
      <c r="D4668" s="6">
        <f>IF(F4668&gt;=5, F4668-5, IF(F4668&lt;5, 0, F4668))</f>
        <v/>
      </c>
      <c r="E4668">
        <f>VLOOKUP(B4668,[1]Namshi!$A:$B,2,0)</f>
        <v/>
      </c>
      <c r="F4668" s="4">
        <f>SUMIFS('Dubai Stock'!I:I,'Dubai Stock'!H:H,Final_UAE!B:B)</f>
        <v/>
      </c>
      <c r="H4668" s="8" t="e">
        <v>#N/A</v>
      </c>
      <c r="I4668" s="8" t="n"/>
    </row>
    <row r="4669">
      <c r="A4669" s="4" t="n">
        <v>33834</v>
      </c>
      <c r="B4669" s="4" t="inlineStr">
        <is>
          <t>sm10707-30s-00205-0707p-55</t>
        </is>
      </c>
      <c r="C4669" s="4" t="inlineStr">
        <is>
          <t>W00031886A</t>
        </is>
      </c>
      <c r="D4669" s="6">
        <f>IF(F4669&gt;=5, F4669-5, IF(F4669&lt;5, 0, F4669))</f>
        <v/>
      </c>
      <c r="E4669">
        <f>VLOOKUP(B4669,[1]Namshi!$A:$B,2,0)</f>
        <v/>
      </c>
      <c r="F4669" s="4">
        <f>SUMIFS('Dubai Stock'!I:I,'Dubai Stock'!H:H,Final_UAE!B:B)</f>
        <v/>
      </c>
      <c r="H4669" s="8" t="e">
        <v>#N/A</v>
      </c>
    </row>
    <row r="4670">
      <c r="A4670" s="4" t="n">
        <v>33834</v>
      </c>
      <c r="B4670" s="4" t="inlineStr">
        <is>
          <t>clstdai-btr-oned-p30-sn0075</t>
        </is>
      </c>
      <c r="C4670" s="4" t="inlineStr">
        <is>
          <t>W00031886A</t>
        </is>
      </c>
      <c r="D4670" s="6">
        <f>IF(F4670&gt;=5, F4670-5, IF(F4670&lt;5, 0, F4670))</f>
        <v/>
      </c>
      <c r="E4670">
        <f>VLOOKUP(B4670,[1]Namshi!$A:$B,2,0)</f>
        <v/>
      </c>
      <c r="F4670" s="4">
        <f>SUMIFS('Dubai Stock'!I:I,'Dubai Stock'!H:H,Final_UAE!B:B)</f>
        <v/>
      </c>
      <c r="H4670" s="8" t="e">
        <v>#N/A</v>
      </c>
      <c r="I4670" s="8" t="n"/>
    </row>
    <row r="4671">
      <c r="A4671" s="4" t="n">
        <v>33834</v>
      </c>
      <c r="B4671" s="4" t="inlineStr">
        <is>
          <t>clstdai-acu-oasy-p120-sn0200</t>
        </is>
      </c>
      <c r="C4671" s="4" t="inlineStr">
        <is>
          <t>W00031886A</t>
        </is>
      </c>
      <c r="D4671" s="6">
        <f>IF(F4671&gt;=5, F4671-5, IF(F4671&lt;5, 0, F4671))</f>
        <v/>
      </c>
      <c r="E4671">
        <f>VLOOKUP(B4671,[1]Namshi!$A:$B,2,0)</f>
        <v/>
      </c>
      <c r="F4671" s="4">
        <f>SUMIFS('Dubai Stock'!I:I,'Dubai Stock'!H:H,Final_UAE!B:B)</f>
        <v/>
      </c>
      <c r="H4671" s="8" t="e">
        <v>#N/A</v>
      </c>
      <c r="I4671" s="8" t="n"/>
    </row>
    <row r="4672">
      <c r="A4672" s="4" t="n">
        <v>33834</v>
      </c>
      <c r="B4672" s="4" t="inlineStr">
        <is>
          <t>clstdai-acu-oasy-p30-sn0175</t>
        </is>
      </c>
      <c r="C4672" s="4" t="inlineStr">
        <is>
          <t>W00031886A</t>
        </is>
      </c>
      <c r="D4672" s="6">
        <f>IF(F4672&gt;=5, F4672-5, IF(F4672&lt;5, 0, F4672))</f>
        <v/>
      </c>
      <c r="E4672">
        <f>VLOOKUP(B4672,[1]Namshi!$A:$B,2,0)</f>
        <v/>
      </c>
      <c r="F4672" s="4">
        <f>SUMIFS('Dubai Stock'!I:I,'Dubai Stock'!H:H,Final_UAE!B:B)</f>
        <v/>
      </c>
      <c r="H4672" s="8" t="e">
        <v>#N/A</v>
      </c>
      <c r="I4672" s="8" t="n"/>
    </row>
    <row r="4673">
      <c r="A4673" s="4" t="n">
        <v>33834</v>
      </c>
      <c r="B4673" s="4" t="inlineStr">
        <is>
          <t>cost3mo-lay-2021-p02-willow-green-sn0325</t>
        </is>
      </c>
      <c r="C4673" s="4" t="inlineStr">
        <is>
          <t>W00031886A</t>
        </is>
      </c>
      <c r="D4673" s="6">
        <f>IF(F4673&gt;=5, F4673-5, IF(F4673&lt;5, 0, F4673))</f>
        <v/>
      </c>
      <c r="E4673">
        <f>VLOOKUP(B4673,[1]Namshi!$A:$B,2,0)</f>
        <v/>
      </c>
      <c r="F4673" s="4">
        <f>SUMIFS('Dubai Stock'!I:I,'Dubai Stock'!H:H,Final_UAE!B:B)</f>
        <v/>
      </c>
      <c r="H4673" s="8" t="e">
        <v>#N/A</v>
      </c>
      <c r="I4673" s="8" t="n"/>
    </row>
    <row r="4674">
      <c r="A4674" s="4" t="n">
        <v>33834</v>
      </c>
      <c r="B4674" s="4" t="inlineStr">
        <is>
          <t>costmon-ama-2020-p02-charcoal-gray-sn0075</t>
        </is>
      </c>
      <c r="C4674" s="4" t="inlineStr">
        <is>
          <t>W00031886A</t>
        </is>
      </c>
      <c r="D4674" s="6">
        <f>IF(F4674&gt;=5, F4674-5, IF(F4674&lt;5, 0, F4674))</f>
        <v/>
      </c>
      <c r="E4674">
        <f>VLOOKUP(B4674,[1]Namshi!$A:$B,2,0)</f>
        <v/>
      </c>
      <c r="F4674" s="4">
        <f>SUMIFS('Dubai Stock'!I:I,'Dubai Stock'!H:H,Final_UAE!B:B)</f>
        <v/>
      </c>
      <c r="H4674" s="8" t="e">
        <v>#N/A</v>
      </c>
      <c r="I4674" s="8" t="n"/>
    </row>
    <row r="4675">
      <c r="A4675" s="4" t="n">
        <v>33834</v>
      </c>
      <c r="B4675" s="4" t="inlineStr">
        <is>
          <t>sacchan-30s-chain145-gld-astoria-crystal</t>
        </is>
      </c>
      <c r="C4675" s="4" t="inlineStr">
        <is>
          <t>W00031886A</t>
        </is>
      </c>
      <c r="D4675" s="6">
        <f>IF(F4675&gt;=5, F4675-5, IF(F4675&lt;5, 0, F4675))</f>
        <v/>
      </c>
      <c r="E4675">
        <f>VLOOKUP(B4675,[1]Namshi!$A:$B,2,0)</f>
        <v/>
      </c>
      <c r="F4675" s="4">
        <f>SUMIFS('Dubai Stock'!I:I,'Dubai Stock'!H:H,Final_UAE!B:B)</f>
        <v/>
      </c>
      <c r="H4675" s="8" t="e">
        <v>#N/A</v>
      </c>
      <c r="I4675" s="8" t="n"/>
    </row>
    <row r="4676">
      <c r="A4676" s="4" t="n">
        <v>33834</v>
      </c>
      <c r="B4676" s="4" t="inlineStr">
        <is>
          <t>sm40107-30s-000285-0107-53</t>
        </is>
      </c>
      <c r="C4676" s="4" t="inlineStr">
        <is>
          <t>W00031886A</t>
        </is>
      </c>
      <c r="D4676" s="6">
        <f>IF(F4676&gt;=5, F4676-5, IF(F4676&lt;5, 0, F4676))</f>
        <v/>
      </c>
      <c r="E4676">
        <f>VLOOKUP(B4676,[1]Namshi!$A:$B,2,0)</f>
        <v/>
      </c>
      <c r="F4676" s="4">
        <f>SUMIFS('Dubai Stock'!I:I,'Dubai Stock'!H:H,Final_UAE!B:B)</f>
        <v/>
      </c>
      <c r="H4676" s="8" t="e">
        <v>#N/A</v>
      </c>
    </row>
    <row r="4677">
      <c r="A4677" s="4" t="n">
        <v>33834</v>
      </c>
      <c r="B4677" s="4" t="inlineStr">
        <is>
          <t>sw30504-bla-000276-2904-54</t>
        </is>
      </c>
      <c r="C4677" s="4" t="inlineStr">
        <is>
          <t>W00031886A</t>
        </is>
      </c>
      <c r="D4677" s="6">
        <f>IF(F4677&gt;=5, F4677-5, IF(F4677&lt;5, 0, F4677))</f>
        <v/>
      </c>
      <c r="E4677">
        <f>VLOOKUP(B4677,[1]Namshi!$A:$B,2,0)</f>
        <v/>
      </c>
      <c r="F4677" s="4">
        <f>SUMIFS('Dubai Stock'!I:I,'Dubai Stock'!H:H,Final_UAE!B:B)</f>
        <v/>
      </c>
      <c r="H4677" s="8" t="e">
        <v>#N/A</v>
      </c>
    </row>
    <row r="4678">
      <c r="A4678" s="4" t="n">
        <v>33834</v>
      </c>
      <c r="B4678" s="4" t="inlineStr">
        <is>
          <t>clstdai-acu-oasy-p30-sn0850</t>
        </is>
      </c>
      <c r="C4678" s="4" t="inlineStr">
        <is>
          <t>W00031886A</t>
        </is>
      </c>
      <c r="D4678" s="6">
        <f>IF(F4678&gt;=5, F4678-5, IF(F4678&lt;5, 0, F4678))</f>
        <v/>
      </c>
      <c r="E4678">
        <f>VLOOKUP(B4678,[1]Namshi!$A:$B,2,0)</f>
        <v/>
      </c>
      <c r="F4678" s="4">
        <f>SUMIFS('Dubai Stock'!I:I,'Dubai Stock'!H:H,Final_UAE!B:B)</f>
        <v/>
      </c>
      <c r="H4678" s="8" t="e">
        <v>#N/A</v>
      </c>
      <c r="I4678" s="8" t="n"/>
    </row>
    <row r="4679">
      <c r="A4679" s="4" t="n">
        <v>33834</v>
      </c>
      <c r="B4679" s="4" t="inlineStr">
        <is>
          <t>clstdai-acu-dfna-p60-sn0900</t>
        </is>
      </c>
      <c r="C4679" s="4" t="inlineStr">
        <is>
          <t>W00031886A</t>
        </is>
      </c>
      <c r="D4679" s="6">
        <f>IF(F4679&gt;=5, F4679-5, IF(F4679&lt;5, 0, F4679))</f>
        <v/>
      </c>
      <c r="E4679">
        <f>VLOOKUP(B4679,[1]Namshi!$A:$B,2,0)</f>
        <v/>
      </c>
      <c r="F4679" s="4">
        <f>SUMIFS('Dubai Stock'!I:I,'Dubai Stock'!H:H,Final_UAE!B:B)</f>
        <v/>
      </c>
      <c r="H4679" s="8" t="e">
        <v>#N/A</v>
      </c>
      <c r="I4679" s="8" t="n"/>
    </row>
    <row r="4680">
      <c r="A4680" s="4" t="n">
        <v>33834</v>
      </c>
      <c r="B4680" s="4" t="inlineStr">
        <is>
          <t>cost3mo-lay-2020-p02-hazel-brown-sn0325</t>
        </is>
      </c>
      <c r="C4680" s="4" t="inlineStr">
        <is>
          <t>W00031886A</t>
        </is>
      </c>
      <c r="D4680" s="6">
        <f>IF(F4680&gt;=5, F4680-5, IF(F4680&lt;5, 0, F4680))</f>
        <v/>
      </c>
      <c r="E4680">
        <f>VLOOKUP(B4680,[1]Namshi!$A:$B,2,0)</f>
        <v/>
      </c>
      <c r="F4680" s="4">
        <f>SUMIFS('Dubai Stock'!I:I,'Dubai Stock'!H:H,Final_UAE!B:B)</f>
        <v/>
      </c>
      <c r="H4680" s="8" t="e">
        <v>#N/A</v>
      </c>
      <c r="I4680" s="8" t="n"/>
    </row>
    <row r="4681">
      <c r="A4681" s="4" t="n">
        <v>33834</v>
      </c>
      <c r="B4681" s="4" t="inlineStr">
        <is>
          <t>costdai-ama-dail-p10-shadow-sn0200</t>
        </is>
      </c>
      <c r="C4681" s="4" t="inlineStr">
        <is>
          <t>W00031886A</t>
        </is>
      </c>
      <c r="D4681" s="6">
        <f>IF(F4681&gt;=5, F4681-5, IF(F4681&lt;5, 0, F4681))</f>
        <v/>
      </c>
      <c r="E4681">
        <f>VLOOKUP(B4681,[1]Namshi!$A:$B,2,0)</f>
        <v/>
      </c>
      <c r="F4681" s="4">
        <f>SUMIFS('Dubai Stock'!I:I,'Dubai Stock'!H:H,Final_UAE!B:B)</f>
        <v/>
      </c>
      <c r="H4681" s="8" t="e">
        <v>#N/A</v>
      </c>
      <c r="I4681" s="8" t="n"/>
    </row>
    <row r="4682">
      <c r="A4682" s="4" t="n">
        <v>33834</v>
      </c>
      <c r="B4682" s="4" t="inlineStr">
        <is>
          <t>cost3mo-lay-lens-p02-crystal-brown-sp0000</t>
        </is>
      </c>
      <c r="C4682" s="4" t="inlineStr">
        <is>
          <t>W00031886A</t>
        </is>
      </c>
      <c r="D4682" s="6">
        <f>IF(F4682&gt;=5, F4682-5, IF(F4682&lt;5, 0, F4682))</f>
        <v/>
      </c>
      <c r="E4682">
        <f>VLOOKUP(B4682,[1]Namshi!$A:$B,2,0)</f>
        <v/>
      </c>
      <c r="F4682" s="4">
        <f>SUMIFS('Dubai Stock'!I:I,'Dubai Stock'!H:H,Final_UAE!B:B)</f>
        <v/>
      </c>
      <c r="H4682" s="8" t="e">
        <v>#N/A</v>
      </c>
      <c r="I4682" s="8" t="n"/>
    </row>
    <row r="4683">
      <c r="A4683" s="4" t="n">
        <v>33834</v>
      </c>
      <c r="B4683" s="4" t="inlineStr">
        <is>
          <t>cost3mo-lay-lens-p02-ocean-blue-sn0450</t>
        </is>
      </c>
      <c r="C4683" s="4" t="inlineStr">
        <is>
          <t>W00031886A</t>
        </is>
      </c>
      <c r="D4683" s="6">
        <f>IF(F4683&gt;=5, F4683-5, IF(F4683&lt;5, 0, F4683))</f>
        <v/>
      </c>
      <c r="E4683">
        <f>VLOOKUP(B4683,[1]Namshi!$A:$B,2,0)</f>
        <v/>
      </c>
      <c r="F4683" s="4">
        <f>SUMIFS('Dubai Stock'!I:I,'Dubai Stock'!H:H,Final_UAE!B:B)</f>
        <v/>
      </c>
      <c r="H4683" s="8" t="e">
        <v>#N/A</v>
      </c>
      <c r="I4683" s="8" t="n"/>
    </row>
    <row r="4684">
      <c r="A4684" s="4" t="n">
        <v>33834</v>
      </c>
      <c r="B4684" s="4" t="inlineStr">
        <is>
          <t>sw70202-30s-000260-0202-53</t>
        </is>
      </c>
      <c r="C4684" s="4" t="inlineStr">
        <is>
          <t>W00031886A</t>
        </is>
      </c>
      <c r="D4684" s="6">
        <f>IF(F4684&gt;=5, F4684-5, IF(F4684&lt;5, 0, F4684))</f>
        <v/>
      </c>
      <c r="E4684">
        <f>VLOOKUP(B4684,[1]Namshi!$A:$B,2,0)</f>
        <v/>
      </c>
      <c r="F4684" s="4">
        <f>SUMIFS('Dubai Stock'!I:I,'Dubai Stock'!H:H,Final_UAE!B:B)</f>
        <v/>
      </c>
      <c r="H4684" s="8" t="e">
        <v>#N/A</v>
      </c>
    </row>
    <row r="4685">
      <c r="A4685" s="4" t="n">
        <v>33834</v>
      </c>
      <c r="B4685" s="4" t="inlineStr">
        <is>
          <t>sw60404-bla-000300-0404-53</t>
        </is>
      </c>
      <c r="C4685" s="4" t="inlineStr">
        <is>
          <t>W00031886A</t>
        </is>
      </c>
      <c r="D4685" s="6">
        <f>IF(F4685&gt;=5, F4685-5, IF(F4685&lt;5, 0, F4685))</f>
        <v/>
      </c>
      <c r="E4685">
        <f>VLOOKUP(B4685,[1]Namshi!$A:$B,2,0)</f>
        <v/>
      </c>
      <c r="F4685" s="4">
        <f>SUMIFS('Dubai Stock'!I:I,'Dubai Stock'!H:H,Final_UAE!B:B)</f>
        <v/>
      </c>
      <c r="H4685" s="8" t="e">
        <v>#N/A</v>
      </c>
      <c r="I4685" s="8" t="n"/>
    </row>
    <row r="4686">
      <c r="A4686" s="4" t="n">
        <v>33834</v>
      </c>
      <c r="B4686" s="4" t="inlineStr">
        <is>
          <t>clstdai-acu-oasy-p90-sp0550</t>
        </is>
      </c>
      <c r="C4686" s="4" t="inlineStr">
        <is>
          <t>W00031886A</t>
        </is>
      </c>
      <c r="D4686" s="6">
        <f>IF(F4686&gt;=5, F4686-5, IF(F4686&lt;5, 0, F4686))</f>
        <v/>
      </c>
      <c r="E4686">
        <f>VLOOKUP(B4686,[1]Namshi!$A:$B,2,0)</f>
        <v/>
      </c>
      <c r="F4686" s="4">
        <f>SUMIFS('Dubai Stock'!I:I,'Dubai Stock'!H:H,Final_UAE!B:B)</f>
        <v/>
      </c>
      <c r="H4686" s="8" t="e">
        <v>#N/A</v>
      </c>
      <c r="I4686" s="8" t="n"/>
    </row>
    <row r="4687">
      <c r="A4687" s="4" t="n">
        <v>33834</v>
      </c>
      <c r="B4687" s="4" t="inlineStr">
        <is>
          <t>clstmon-eve-prom-p06-sn0250</t>
        </is>
      </c>
      <c r="C4687" s="4" t="inlineStr">
        <is>
          <t>W00031886A</t>
        </is>
      </c>
      <c r="D4687" s="6">
        <f>IF(F4687&gt;=5, F4687-5, IF(F4687&lt;5, 0, F4687))</f>
        <v/>
      </c>
      <c r="E4687">
        <f>VLOOKUP(B4687,[1]Namshi!$A:$B,2,0)</f>
        <v/>
      </c>
      <c r="F4687" s="4">
        <f>SUMIFS('Dubai Stock'!I:I,'Dubai Stock'!H:H,Final_UAE!B:B)</f>
        <v/>
      </c>
      <c r="H4687" s="8" t="n">
        <v>212</v>
      </c>
      <c r="I4687" s="8" t="n">
        <v>111.3</v>
      </c>
    </row>
    <row r="4688">
      <c r="A4688" s="4" t="n">
        <v>33834</v>
      </c>
      <c r="B4688" s="4" t="inlineStr">
        <is>
          <t>cost3mo-lay-2022-p02-avena-brown-sn0500</t>
        </is>
      </c>
      <c r="C4688" s="4" t="inlineStr">
        <is>
          <t>W00031886A</t>
        </is>
      </c>
      <c r="D4688" s="6">
        <f>IF(F4688&gt;=5, F4688-5, IF(F4688&lt;5, 0, F4688))</f>
        <v/>
      </c>
      <c r="E4688">
        <f>VLOOKUP(B4688,[1]Namshi!$A:$B,2,0)</f>
        <v/>
      </c>
      <c r="F4688" s="4">
        <f>SUMIFS('Dubai Stock'!I:I,'Dubai Stock'!H:H,Final_UAE!B:B)</f>
        <v/>
      </c>
      <c r="H4688" s="8" t="e">
        <v>#N/A</v>
      </c>
      <c r="I4688" s="8" t="n"/>
    </row>
    <row r="4689">
      <c r="A4689" s="4" t="n">
        <v>33834</v>
      </c>
      <c r="B4689" s="4" t="inlineStr">
        <is>
          <t>costmon-ama-lens-p02-crocodile-green-sn0550</t>
        </is>
      </c>
      <c r="C4689" s="4" t="inlineStr">
        <is>
          <t>W00031886A</t>
        </is>
      </c>
      <c r="D4689" s="6">
        <f>IF(F4689&gt;=5, F4689-5, IF(F4689&lt;5, 0, F4689))</f>
        <v/>
      </c>
      <c r="E4689">
        <f>VLOOKUP(B4689,[1]Namshi!$A:$B,2,0)</f>
        <v/>
      </c>
      <c r="F4689" s="4">
        <f>SUMIFS('Dubai Stock'!I:I,'Dubai Stock'!H:H,Final_UAE!B:B)</f>
        <v/>
      </c>
      <c r="H4689" s="8" t="e">
        <v>#N/A</v>
      </c>
      <c r="I4689" s="8" t="n"/>
    </row>
    <row r="4690">
      <c r="A4690" s="4" t="n">
        <v>33834</v>
      </c>
      <c r="B4690" s="4" t="inlineStr">
        <is>
          <t>fu22318-spc-000302-2300-52</t>
        </is>
      </c>
      <c r="C4690" s="4" t="inlineStr">
        <is>
          <t>W00031886A</t>
        </is>
      </c>
      <c r="D4690" s="6">
        <f>IF(F4690&gt;=5, F4690-5, IF(F4690&lt;5, 0, F4690))</f>
        <v/>
      </c>
      <c r="E4690">
        <f>VLOOKUP(B4690,[1]Namshi!$A:$B,2,0)</f>
        <v/>
      </c>
      <c r="F4690" s="4">
        <f>SUMIFS('Dubai Stock'!I:I,'Dubai Stock'!H:H,Final_UAE!B:B)</f>
        <v/>
      </c>
      <c r="H4690" s="8" t="e">
        <v>#N/A</v>
      </c>
      <c r="I4690" s="8" t="n"/>
    </row>
    <row r="4691">
      <c r="A4691" s="4" t="n">
        <v>33834</v>
      </c>
      <c r="B4691" s="4" t="inlineStr">
        <is>
          <t>clstdai-eve-elit-p30-sn0375</t>
        </is>
      </c>
      <c r="C4691" s="4" t="inlineStr">
        <is>
          <t>W00031886A</t>
        </is>
      </c>
      <c r="D4691" s="6">
        <f>IF(F4691&gt;=5, F4691-5, IF(F4691&lt;5, 0, F4691))</f>
        <v/>
      </c>
      <c r="E4691">
        <f>VLOOKUP(B4691,[1]Namshi!$A:$B,2,0)</f>
        <v/>
      </c>
      <c r="F4691" s="4">
        <f>SUMIFS('Dubai Stock'!I:I,'Dubai Stock'!H:H,Final_UAE!B:B)</f>
        <v/>
      </c>
      <c r="H4691" s="8" t="n">
        <v>261</v>
      </c>
      <c r="I4691" s="8" t="n">
        <v>146.3</v>
      </c>
    </row>
    <row r="4692">
      <c r="A4692" s="4" t="n">
        <v>33834</v>
      </c>
      <c r="B4692" s="4" t="inlineStr">
        <is>
          <t>cost3mo-lay-2024-p02-moon-gray-sn0400</t>
        </is>
      </c>
      <c r="C4692" s="4" t="inlineStr">
        <is>
          <t>W00031886A</t>
        </is>
      </c>
      <c r="D4692" s="6">
        <f>IF(F4692&gt;=5, F4692-5, IF(F4692&lt;5, 0, F4692))</f>
        <v/>
      </c>
      <c r="E4692">
        <f>VLOOKUP(B4692,[1]Namshi!$A:$B,2,0)</f>
        <v/>
      </c>
      <c r="F4692" s="4">
        <f>SUMIFS('Dubai Stock'!I:I,'Dubai Stock'!H:H,Final_UAE!B:B)</f>
        <v/>
      </c>
      <c r="H4692" s="8" t="e">
        <v>#N/A</v>
      </c>
      <c r="I4692" s="8" t="n"/>
    </row>
    <row r="4693">
      <c r="A4693" s="4" t="n">
        <v>33834</v>
      </c>
      <c r="B4693" s="4" t="inlineStr">
        <is>
          <t>clstmon-sof-sl59-p06-sn0375</t>
        </is>
      </c>
      <c r="C4693" s="4" t="inlineStr">
        <is>
          <t>W00031886A</t>
        </is>
      </c>
      <c r="D4693" s="6">
        <f>IF(F4693&gt;=5, F4693-5, IF(F4693&lt;5, 0, F4693))</f>
        <v/>
      </c>
      <c r="E4693">
        <f>VLOOKUP(B4693,[1]Namshi!$A:$B,2,0)</f>
        <v/>
      </c>
      <c r="F4693" s="4">
        <f>SUMIFS('Dubai Stock'!I:I,'Dubai Stock'!H:H,Final_UAE!B:B)</f>
        <v/>
      </c>
      <c r="H4693" s="8" t="e">
        <v>#N/A</v>
      </c>
      <c r="I4693" s="8" t="n"/>
    </row>
    <row r="4694">
      <c r="A4694" s="4" t="n">
        <v>33834</v>
      </c>
      <c r="B4694" s="4" t="inlineStr">
        <is>
          <t>su51206-bla-000249-1206-51</t>
        </is>
      </c>
      <c r="C4694" s="4" t="inlineStr">
        <is>
          <t>W00031886A</t>
        </is>
      </c>
      <c r="D4694" s="6">
        <f>IF(F4694&gt;=5, F4694-5, IF(F4694&lt;5, 0, F4694))</f>
        <v/>
      </c>
      <c r="E4694">
        <f>VLOOKUP(B4694,[1]Namshi!$A:$B,2,0)</f>
        <v/>
      </c>
      <c r="F4694" s="4">
        <f>SUMIFS('Dubai Stock'!I:I,'Dubai Stock'!H:H,Final_UAE!B:B)</f>
        <v/>
      </c>
      <c r="H4694" s="8" t="e">
        <v>#N/A</v>
      </c>
    </row>
    <row r="4695">
      <c r="A4695" s="4" t="n">
        <v>33834</v>
      </c>
      <c r="B4695" s="4" t="inlineStr">
        <is>
          <t>costdai-acu-dffr-p30-grayzel-sn0300</t>
        </is>
      </c>
      <c r="C4695" s="4" t="inlineStr">
        <is>
          <t>W00031886A</t>
        </is>
      </c>
      <c r="D4695" s="6">
        <f>IF(F4695&gt;=5, F4695-5, IF(F4695&lt;5, 0, F4695))</f>
        <v/>
      </c>
      <c r="E4695">
        <f>VLOOKUP(B4695,[1]Namshi!$A:$B,2,0)</f>
        <v/>
      </c>
      <c r="F4695" s="4">
        <f>SUMIFS('Dubai Stock'!I:I,'Dubai Stock'!H:H,Final_UAE!B:B)</f>
        <v/>
      </c>
      <c r="H4695" s="8" t="e">
        <v>#N/A</v>
      </c>
      <c r="I4695" s="8" t="n"/>
    </row>
    <row r="4696">
      <c r="A4696" s="4" t="n">
        <v>33834</v>
      </c>
      <c r="B4696" s="4" t="inlineStr">
        <is>
          <t>clstdai-acu-oasy-p90-sn0325</t>
        </is>
      </c>
      <c r="C4696" s="4" t="inlineStr">
        <is>
          <t>W00031886A</t>
        </is>
      </c>
      <c r="D4696" s="6">
        <f>IF(F4696&gt;=5, F4696-5, IF(F4696&lt;5, 0, F4696))</f>
        <v/>
      </c>
      <c r="E4696">
        <f>VLOOKUP(B4696,[1]Namshi!$A:$B,2,0)</f>
        <v/>
      </c>
      <c r="F4696" s="4">
        <f>SUMIFS('Dubai Stock'!I:I,'Dubai Stock'!H:H,Final_UAE!B:B)</f>
        <v/>
      </c>
      <c r="H4696" s="8" t="e">
        <v>#N/A</v>
      </c>
      <c r="I4696" s="8" t="n"/>
    </row>
    <row r="4697">
      <c r="A4697" s="4" t="n">
        <v>33834</v>
      </c>
      <c r="B4697" s="4" t="inlineStr">
        <is>
          <t>clstdai-acu-dfrb-p30-sn0275</t>
        </is>
      </c>
      <c r="C4697" s="4" t="inlineStr">
        <is>
          <t>W00031886A</t>
        </is>
      </c>
      <c r="D4697" s="6">
        <f>IF(F4697&gt;=5, F4697-5, IF(F4697&lt;5, 0, F4697))</f>
        <v/>
      </c>
      <c r="E4697">
        <f>VLOOKUP(B4697,[1]Namshi!$A:$B,2,0)</f>
        <v/>
      </c>
      <c r="F4697" s="4">
        <f>SUMIFS('Dubai Stock'!I:I,'Dubai Stock'!H:H,Final_UAE!B:B)</f>
        <v/>
      </c>
      <c r="H4697" s="8" t="e">
        <v>#N/A</v>
      </c>
      <c r="I4697" s="8" t="n"/>
    </row>
    <row r="4698">
      <c r="A4698" s="4" t="n">
        <v>33834</v>
      </c>
      <c r="B4698" s="4" t="inlineStr">
        <is>
          <t>clstdai-dai-aqua-p90-sn0500</t>
        </is>
      </c>
      <c r="C4698" s="4" t="inlineStr">
        <is>
          <t>W00031886A</t>
        </is>
      </c>
      <c r="D4698" s="6">
        <f>IF(F4698&gt;=5, F4698-5, IF(F4698&lt;5, 0, F4698))</f>
        <v/>
      </c>
      <c r="E4698">
        <f>VLOOKUP(B4698,[1]Namshi!$A:$B,2,0)</f>
        <v/>
      </c>
      <c r="F4698" s="4">
        <f>SUMIFS('Dubai Stock'!I:I,'Dubai Stock'!H:H,Final_UAE!B:B)</f>
        <v/>
      </c>
      <c r="H4698" s="8" t="e">
        <v>#N/A</v>
      </c>
      <c r="I4698" s="8" t="n"/>
    </row>
    <row r="4699">
      <c r="A4699" s="4" t="n">
        <v>33834</v>
      </c>
      <c r="B4699" s="4" t="inlineStr">
        <is>
          <t>clstbiw-acu-oasy-p06-sn0325</t>
        </is>
      </c>
      <c r="C4699" s="4" t="inlineStr">
        <is>
          <t>W00031886A</t>
        </is>
      </c>
      <c r="D4699" s="6">
        <f>IF(F4699&gt;=5, F4699-5, IF(F4699&lt;5, 0, F4699))</f>
        <v/>
      </c>
      <c r="E4699">
        <f>VLOOKUP(B4699,[1]Namshi!$A:$B,2,0)</f>
        <v/>
      </c>
      <c r="F4699" s="4">
        <f>SUMIFS('Dubai Stock'!I:I,'Dubai Stock'!H:H,Final_UAE!B:B)</f>
        <v/>
      </c>
      <c r="H4699" s="8" t="e">
        <v>#N/A</v>
      </c>
      <c r="I4699" s="8" t="n"/>
    </row>
    <row r="4700">
      <c r="A4700" s="4" t="n">
        <v>33834</v>
      </c>
      <c r="B4700" s="4" t="inlineStr">
        <is>
          <t>costdai-acu-dffr-p10-green-sn0100</t>
        </is>
      </c>
      <c r="C4700" s="4" t="inlineStr">
        <is>
          <t>W00031886A</t>
        </is>
      </c>
      <c r="D4700" s="6">
        <f>IF(F4700&gt;=5, F4700-5, IF(F4700&lt;5, 0, F4700))</f>
        <v/>
      </c>
      <c r="E4700">
        <f>VLOOKUP(B4700,[1]Namshi!$A:$B,2,0)</f>
        <v/>
      </c>
      <c r="F4700" s="4">
        <f>SUMIFS('Dubai Stock'!I:I,'Dubai Stock'!H:H,Final_UAE!B:B)</f>
        <v/>
      </c>
      <c r="H4700" s="8" t="e">
        <v>#N/A</v>
      </c>
      <c r="I4700" s="8" t="n"/>
    </row>
    <row r="4701">
      <c r="A4701" s="4" t="n">
        <v>33834</v>
      </c>
      <c r="B4701" s="4" t="inlineStr">
        <is>
          <t>clstdai-acu-dfvi-p60-sn0175</t>
        </is>
      </c>
      <c r="C4701" s="4" t="inlineStr">
        <is>
          <t>W00031886A</t>
        </is>
      </c>
      <c r="D4701" s="6">
        <f>IF(F4701&gt;=5, F4701-5, IF(F4701&lt;5, 0, F4701))</f>
        <v/>
      </c>
      <c r="E4701">
        <f>VLOOKUP(B4701,[1]Namshi!$A:$B,2,0)</f>
        <v/>
      </c>
      <c r="F4701" s="4">
        <f>SUMIFS('Dubai Stock'!I:I,'Dubai Stock'!H:H,Final_UAE!B:B)</f>
        <v/>
      </c>
      <c r="H4701" s="8" t="e">
        <v>#N/A</v>
      </c>
      <c r="I4701" s="8" t="n"/>
    </row>
    <row r="4702">
      <c r="A4702" s="4" t="n">
        <v>33834</v>
      </c>
      <c r="B4702" s="4" t="inlineStr">
        <is>
          <t>clstdai-acu-mois-p90-sn0500</t>
        </is>
      </c>
      <c r="C4702" s="4" t="inlineStr">
        <is>
          <t>W00031886A</t>
        </is>
      </c>
      <c r="D4702" s="6">
        <f>IF(F4702&gt;=5, F4702-5, IF(F4702&lt;5, 0, F4702))</f>
        <v/>
      </c>
      <c r="E4702">
        <f>VLOOKUP(B4702,[1]Namshi!$A:$B,2,0)</f>
        <v/>
      </c>
      <c r="F4702" s="4">
        <f>SUMIFS('Dubai Stock'!I:I,'Dubai Stock'!H:H,Final_UAE!B:B)</f>
        <v/>
      </c>
      <c r="H4702" s="8" t="e">
        <v>#N/A</v>
      </c>
      <c r="I4702" s="8" t="n"/>
    </row>
    <row r="4703">
      <c r="A4703" s="4" t="n">
        <v>33834</v>
      </c>
      <c r="B4703" s="4" t="inlineStr">
        <is>
          <t>costdai-acu-dffr-p10-hazel-sn0075</t>
        </is>
      </c>
      <c r="C4703" s="4" t="inlineStr">
        <is>
          <t>W00031886A</t>
        </is>
      </c>
      <c r="D4703" s="6">
        <f>IF(F4703&gt;=5, F4703-5, IF(F4703&lt;5, 0, F4703))</f>
        <v/>
      </c>
      <c r="E4703">
        <f>VLOOKUP(B4703,[1]Namshi!$A:$B,2,0)</f>
        <v/>
      </c>
      <c r="F4703" s="4">
        <f>SUMIFS('Dubai Stock'!I:I,'Dubai Stock'!H:H,Final_UAE!B:B)</f>
        <v/>
      </c>
      <c r="H4703" s="8" t="e">
        <v>#N/A</v>
      </c>
      <c r="I4703" s="8" t="n"/>
    </row>
    <row r="4704">
      <c r="A4704" s="4" t="n">
        <v>33834</v>
      </c>
      <c r="B4704" s="4" t="inlineStr">
        <is>
          <t>fw31018-spc-000841-1018-53</t>
        </is>
      </c>
      <c r="C4704" s="4" t="inlineStr">
        <is>
          <t>W00031886A</t>
        </is>
      </c>
      <c r="D4704" s="6">
        <f>IF(F4704&gt;=5, F4704-5, IF(F4704&lt;5, 0, F4704))</f>
        <v/>
      </c>
      <c r="E4704">
        <f>VLOOKUP(B4704,[1]Namshi!$A:$B,2,0)</f>
        <v/>
      </c>
      <c r="F4704" s="4">
        <f>SUMIFS('Dubai Stock'!I:I,'Dubai Stock'!H:H,Final_UAE!B:B)</f>
        <v/>
      </c>
      <c r="H4704" s="8" t="e">
        <v>#N/A</v>
      </c>
      <c r="I4704" s="8" t="n"/>
    </row>
    <row r="4705">
      <c r="A4705" s="4" t="n">
        <v>33834</v>
      </c>
      <c r="B4705" s="4" t="inlineStr">
        <is>
          <t>bc20218-bab-000509-0218d-46</t>
        </is>
      </c>
      <c r="C4705" s="4" t="inlineStr">
        <is>
          <t>W00031886A</t>
        </is>
      </c>
      <c r="D4705" s="6">
        <f>IF(F4705&gt;=5, F4705-5, IF(F4705&lt;5, 0, F4705))</f>
        <v/>
      </c>
      <c r="E4705">
        <f>VLOOKUP(B4705,[1]Namshi!$A:$B,2,0)</f>
        <v/>
      </c>
      <c r="F4705" s="4">
        <f>SUMIFS('Dubai Stock'!I:I,'Dubai Stock'!H:H,Final_UAE!B:B)</f>
        <v/>
      </c>
      <c r="H4705" s="8" t="e">
        <v>#N/A</v>
      </c>
    </row>
    <row r="4706">
      <c r="A4706" s="4" t="n">
        <v>33834</v>
      </c>
      <c r="B4706" s="4" t="inlineStr">
        <is>
          <t>costdai-acu-dffr-p10-rose-sn0125</t>
        </is>
      </c>
      <c r="C4706" s="4" t="inlineStr">
        <is>
          <t>W00031886A</t>
        </is>
      </c>
      <c r="D4706" s="6">
        <f>IF(F4706&gt;=5, F4706-5, IF(F4706&lt;5, 0, F4706))</f>
        <v/>
      </c>
      <c r="E4706">
        <f>VLOOKUP(B4706,[1]Namshi!$A:$B,2,0)</f>
        <v/>
      </c>
      <c r="F4706" s="4">
        <f>SUMIFS('Dubai Stock'!I:I,'Dubai Stock'!H:H,Final_UAE!B:B)</f>
        <v/>
      </c>
      <c r="H4706" s="8" t="e">
        <v>#N/A</v>
      </c>
      <c r="I4706" s="8" t="n"/>
    </row>
    <row r="4707">
      <c r="A4707" s="4" t="n">
        <v>33834</v>
      </c>
      <c r="B4707" s="4" t="inlineStr">
        <is>
          <t>clstdai-lay-cont-p30-dazzle-brown-sn0050</t>
        </is>
      </c>
      <c r="C4707" s="4" t="inlineStr">
        <is>
          <t>W00031886A</t>
        </is>
      </c>
      <c r="D4707" s="6">
        <f>IF(F4707&gt;=5, F4707-5, IF(F4707&lt;5, 0, F4707))</f>
        <v/>
      </c>
      <c r="E4707">
        <f>VLOOKUP(B4707,[1]Namshi!$A:$B,2,0)</f>
        <v/>
      </c>
      <c r="F4707" s="4">
        <f>SUMIFS('Dubai Stock'!I:I,'Dubai Stock'!H:H,Final_UAE!B:B)</f>
        <v/>
      </c>
      <c r="H4707" s="8" t="e">
        <v>#N/A</v>
      </c>
      <c r="I4707" s="8" t="n"/>
    </row>
    <row r="4708">
      <c r="A4708" s="4" t="n">
        <v>33834</v>
      </c>
      <c r="B4708" s="4" t="inlineStr">
        <is>
          <t>cost3mo-lay-2025-p02-desert-topaz-sn0200</t>
        </is>
      </c>
      <c r="C4708" s="4" t="inlineStr">
        <is>
          <t>W00031886A</t>
        </is>
      </c>
      <c r="D4708" s="6">
        <f>IF(F4708&gt;=5, F4708-5, IF(F4708&lt;5, 0, F4708))</f>
        <v/>
      </c>
      <c r="E4708">
        <f>VLOOKUP(B4708,[1]Namshi!$A:$B,2,0)</f>
        <v/>
      </c>
      <c r="F4708" s="4">
        <f>SUMIFS('Dubai Stock'!I:I,'Dubai Stock'!H:H,Final_UAE!B:B)</f>
        <v/>
      </c>
      <c r="H4708" s="8" t="e">
        <v>#N/A</v>
      </c>
      <c r="I4708" s="8" t="n"/>
    </row>
    <row r="4709">
      <c r="A4709" s="4" t="n">
        <v>33834</v>
      </c>
      <c r="B4709" s="4" t="inlineStr">
        <is>
          <t>sw21304-30s-000129-1304-51</t>
        </is>
      </c>
      <c r="C4709" s="4" t="inlineStr">
        <is>
          <t>W00031886A</t>
        </is>
      </c>
      <c r="D4709" s="6">
        <f>IF(F4709&gt;=5, F4709-5, IF(F4709&lt;5, 0, F4709))</f>
        <v/>
      </c>
      <c r="E4709">
        <f>VLOOKUP(B4709,[1]Namshi!$A:$B,2,0)</f>
        <v/>
      </c>
      <c r="F4709" s="4">
        <f>SUMIFS('Dubai Stock'!I:I,'Dubai Stock'!H:H,Final_UAE!B:B)</f>
        <v/>
      </c>
      <c r="H4709" s="8" t="e">
        <v>#N/A</v>
      </c>
    </row>
    <row r="4710">
      <c r="A4710" s="4" t="n">
        <v>33834</v>
      </c>
      <c r="B4710" s="4" t="inlineStr">
        <is>
          <t>clstdai-eve-pure-p90-sn0075</t>
        </is>
      </c>
      <c r="C4710" s="4" t="inlineStr">
        <is>
          <t>W00031886A</t>
        </is>
      </c>
      <c r="D4710" s="6">
        <f>IF(F4710&gt;=5, F4710-5, IF(F4710&lt;5, 0, F4710))</f>
        <v/>
      </c>
      <c r="E4710">
        <f>VLOOKUP(B4710,[1]Namshi!$A:$B,2,0)</f>
        <v/>
      </c>
      <c r="F4710" s="4">
        <f>SUMIFS('Dubai Stock'!I:I,'Dubai Stock'!H:H,Final_UAE!B:B)</f>
        <v/>
      </c>
      <c r="H4710" s="8" t="n">
        <v>529</v>
      </c>
      <c r="I4710" s="8" t="n">
        <v>259</v>
      </c>
    </row>
    <row r="4711">
      <c r="A4711" s="4" t="n">
        <v>33834</v>
      </c>
      <c r="B4711" s="4" t="inlineStr">
        <is>
          <t>costmon-ama-2024-p02-barbie-brown-sn0200</t>
        </is>
      </c>
      <c r="C4711" s="4" t="inlineStr">
        <is>
          <t>W00031886A</t>
        </is>
      </c>
      <c r="D4711" s="6">
        <f>IF(F4711&gt;=5, F4711-5, IF(F4711&lt;5, 0, F4711))</f>
        <v/>
      </c>
      <c r="E4711">
        <f>VLOOKUP(B4711,[1]Namshi!$A:$B,2,0)</f>
        <v/>
      </c>
      <c r="F4711" s="4">
        <f>SUMIFS('Dubai Stock'!I:I,'Dubai Stock'!H:H,Final_UAE!B:B)</f>
        <v/>
      </c>
      <c r="H4711" s="8" t="e">
        <v>#N/A</v>
      </c>
      <c r="I4711" s="8" t="n"/>
    </row>
    <row r="4712">
      <c r="A4712" s="4" t="n">
        <v>33834</v>
      </c>
      <c r="B4712" s="4" t="inlineStr">
        <is>
          <t>costdai-acu-dffr-p10-grayzel-sn0175</t>
        </is>
      </c>
      <c r="C4712" s="4" t="inlineStr">
        <is>
          <t>W00031886A</t>
        </is>
      </c>
      <c r="D4712" s="6">
        <f>IF(F4712&gt;=5, F4712-5, IF(F4712&lt;5, 0, F4712))</f>
        <v/>
      </c>
      <c r="E4712">
        <f>VLOOKUP(B4712,[1]Namshi!$A:$B,2,0)</f>
        <v/>
      </c>
      <c r="F4712" s="4">
        <f>SUMIFS('Dubai Stock'!I:I,'Dubai Stock'!H:H,Final_UAE!B:B)</f>
        <v/>
      </c>
      <c r="H4712" s="8" t="e">
        <v>#N/A</v>
      </c>
      <c r="I4712" s="8" t="n"/>
    </row>
    <row r="4713">
      <c r="A4713" s="4" t="n">
        <v>33834</v>
      </c>
      <c r="B4713" s="4" t="inlineStr">
        <is>
          <t>cost3mo-lay-2022-p02-avena-brown-sn0200</t>
        </is>
      </c>
      <c r="C4713" s="4" t="inlineStr">
        <is>
          <t>W00031886A</t>
        </is>
      </c>
      <c r="D4713" s="6">
        <f>IF(F4713&gt;=5, F4713-5, IF(F4713&lt;5, 0, F4713))</f>
        <v/>
      </c>
      <c r="E4713">
        <f>VLOOKUP(B4713,[1]Namshi!$A:$B,2,0)</f>
        <v/>
      </c>
      <c r="F4713" s="4">
        <f>SUMIFS('Dubai Stock'!I:I,'Dubai Stock'!H:H,Final_UAE!B:B)</f>
        <v/>
      </c>
      <c r="H4713" s="8" t="e">
        <v>#N/A</v>
      </c>
      <c r="I4713" s="8" t="n"/>
    </row>
    <row r="4714">
      <c r="A4714" s="4" t="n">
        <v>33834</v>
      </c>
      <c r="B4714" s="4" t="inlineStr">
        <is>
          <t>sm70506-30s-000246-2906-61</t>
        </is>
      </c>
      <c r="C4714" s="4" t="inlineStr">
        <is>
          <t>W00031886A</t>
        </is>
      </c>
      <c r="D4714" s="6">
        <f>IF(F4714&gt;=5, F4714-5, IF(F4714&lt;5, 0, F4714))</f>
        <v/>
      </c>
      <c r="E4714">
        <f>VLOOKUP(B4714,[1]Namshi!$A:$B,2,0)</f>
        <v/>
      </c>
      <c r="F4714" s="4">
        <f>SUMIFS('Dubai Stock'!I:I,'Dubai Stock'!H:H,Final_UAE!B:B)</f>
        <v/>
      </c>
      <c r="H4714" s="8" t="e">
        <v>#N/A</v>
      </c>
    </row>
    <row r="4715">
      <c r="A4715" s="4" t="n">
        <v>33834</v>
      </c>
      <c r="B4715" s="4" t="inlineStr">
        <is>
          <t>clstmon-eve-prom-p06-sp0550</t>
        </is>
      </c>
      <c r="C4715" s="4" t="inlineStr">
        <is>
          <t>W00031886A</t>
        </is>
      </c>
      <c r="D4715" s="6">
        <f>IF(F4715&gt;=5, F4715-5, IF(F4715&lt;5, 0, F4715))</f>
        <v/>
      </c>
      <c r="E4715">
        <f>VLOOKUP(B4715,[1]Namshi!$A:$B,2,0)</f>
        <v/>
      </c>
      <c r="F4715" s="4">
        <f>SUMIFS('Dubai Stock'!I:I,'Dubai Stock'!H:H,Final_UAE!B:B)</f>
        <v/>
      </c>
      <c r="H4715" s="8" t="n">
        <v>212</v>
      </c>
      <c r="I4715" s="8" t="n">
        <v>111.3</v>
      </c>
    </row>
    <row r="4716">
      <c r="A4716" s="4" t="n">
        <v>33834</v>
      </c>
      <c r="B4716" s="4" t="inlineStr">
        <is>
          <t>clstdai-acu-omax-p90-sn1000</t>
        </is>
      </c>
      <c r="C4716" s="4" t="inlineStr">
        <is>
          <t>W00031886A</t>
        </is>
      </c>
      <c r="D4716" s="6">
        <f>IF(F4716&gt;=5, F4716-5, IF(F4716&lt;5, 0, F4716))</f>
        <v/>
      </c>
      <c r="E4716">
        <f>VLOOKUP(B4716,[1]Namshi!$A:$B,2,0)</f>
        <v/>
      </c>
      <c r="F4716" s="4">
        <f>SUMIFS('Dubai Stock'!I:I,'Dubai Stock'!H:H,Final_UAE!B:B)</f>
        <v/>
      </c>
      <c r="H4716" s="8" t="e">
        <v>#N/A</v>
      </c>
      <c r="I4716" s="8" t="n"/>
    </row>
    <row r="4717">
      <c r="A4717" s="4" t="n">
        <v>33834</v>
      </c>
      <c r="B4717" s="4" t="inlineStr">
        <is>
          <t>su51306-30s-000237-1306-51</t>
        </is>
      </c>
      <c r="C4717" s="4" t="inlineStr">
        <is>
          <t>W00031886A</t>
        </is>
      </c>
      <c r="D4717" s="6">
        <f>IF(F4717&gt;=5, F4717-5, IF(F4717&lt;5, 0, F4717))</f>
        <v/>
      </c>
      <c r="E4717">
        <f>VLOOKUP(B4717,[1]Namshi!$A:$B,2,0)</f>
        <v/>
      </c>
      <c r="F4717" s="4">
        <f>SUMIFS('Dubai Stock'!I:I,'Dubai Stock'!H:H,Final_UAE!B:B)</f>
        <v/>
      </c>
      <c r="H4717" s="8" t="e">
        <v>#N/A</v>
      </c>
    </row>
    <row r="4718">
      <c r="A4718" s="4" t="n">
        <v>33834</v>
      </c>
      <c r="B4718" s="4" t="inlineStr">
        <is>
          <t>sw52309-bla-000103-2310-53</t>
        </is>
      </c>
      <c r="C4718" s="4" t="inlineStr">
        <is>
          <t>W00031886A</t>
        </is>
      </c>
      <c r="D4718" s="6">
        <f>IF(F4718&gt;=5, F4718-5, IF(F4718&lt;5, 0, F4718))</f>
        <v/>
      </c>
      <c r="E4718">
        <f>VLOOKUP(B4718,[1]Namshi!$A:$B,2,0)</f>
        <v/>
      </c>
      <c r="F4718" s="4">
        <f>SUMIFS('Dubai Stock'!I:I,'Dubai Stock'!H:H,Final_UAE!B:B)</f>
        <v/>
      </c>
      <c r="H4718" s="8" t="e">
        <v>#N/A</v>
      </c>
      <c r="I4718" s="8" t="n"/>
    </row>
    <row r="4719">
      <c r="A4719" s="4" t="n">
        <v>33834</v>
      </c>
      <c r="B4719" s="4" t="inlineStr">
        <is>
          <t>costmon-ama-2024-p02-matcha-sn0150</t>
        </is>
      </c>
      <c r="C4719" s="4" t="inlineStr">
        <is>
          <t>W00031886A</t>
        </is>
      </c>
      <c r="D4719" s="6">
        <f>IF(F4719&gt;=5, F4719-5, IF(F4719&lt;5, 0, F4719))</f>
        <v/>
      </c>
      <c r="E4719">
        <f>VLOOKUP(B4719,[1]Namshi!$A:$B,2,0)</f>
        <v/>
      </c>
      <c r="F4719" s="4">
        <f>SUMIFS('Dubai Stock'!I:I,'Dubai Stock'!H:H,Final_UAE!B:B)</f>
        <v/>
      </c>
      <c r="H4719" s="8" t="e">
        <v>#N/A</v>
      </c>
      <c r="I4719" s="8" t="n"/>
    </row>
    <row r="4720">
      <c r="A4720" s="4" t="n">
        <v>33834</v>
      </c>
      <c r="B4720" s="4" t="inlineStr">
        <is>
          <t>costdai-ama-dail-p10-moon-stone-sn0175</t>
        </is>
      </c>
      <c r="C4720" s="4" t="inlineStr">
        <is>
          <t>W00031886A</t>
        </is>
      </c>
      <c r="D4720" s="6">
        <f>IF(F4720&gt;=5, F4720-5, IF(F4720&lt;5, 0, F4720))</f>
        <v/>
      </c>
      <c r="E4720">
        <f>VLOOKUP(B4720,[1]Namshi!$A:$B,2,0)</f>
        <v/>
      </c>
      <c r="F4720" s="4">
        <f>SUMIFS('Dubai Stock'!I:I,'Dubai Stock'!H:H,Final_UAE!B:B)</f>
        <v/>
      </c>
      <c r="H4720" s="8" t="e">
        <v>#N/A</v>
      </c>
      <c r="I4720" s="8" t="n"/>
    </row>
    <row r="4721">
      <c r="A4721" s="4" t="n">
        <v>33834</v>
      </c>
      <c r="B4721" s="4" t="inlineStr">
        <is>
          <t>clstdai-eve-pure-p90-sn0400</t>
        </is>
      </c>
      <c r="C4721" s="4" t="inlineStr">
        <is>
          <t>W00031886A</t>
        </is>
      </c>
      <c r="D4721" s="6">
        <f>IF(F4721&gt;=5, F4721-5, IF(F4721&lt;5, 0, F4721))</f>
        <v/>
      </c>
      <c r="E4721">
        <f>VLOOKUP(B4721,[1]Namshi!$A:$B,2,0)</f>
        <v/>
      </c>
      <c r="F4721" s="4">
        <f>SUMIFS('Dubai Stock'!I:I,'Dubai Stock'!H:H,Final_UAE!B:B)</f>
        <v/>
      </c>
      <c r="H4721" s="8" t="n">
        <v>529</v>
      </c>
      <c r="I4721" s="8" t="n">
        <v>259</v>
      </c>
    </row>
    <row r="4722">
      <c r="A4722" s="4" t="n">
        <v>33834</v>
      </c>
      <c r="B4722" s="4" t="inlineStr">
        <is>
          <t>clstmon-pur-visi-p06-sp0300</t>
        </is>
      </c>
      <c r="C4722" s="4" t="inlineStr">
        <is>
          <t>W00031886A</t>
        </is>
      </c>
      <c r="D4722" s="6">
        <f>IF(F4722&gt;=5, F4722-5, IF(F4722&lt;5, 0, F4722))</f>
        <v/>
      </c>
      <c r="E4722">
        <f>VLOOKUP(B4722,[1]Namshi!$A:$B,2,0)</f>
        <v/>
      </c>
      <c r="F4722" s="4">
        <f>SUMIFS('Dubai Stock'!I:I,'Dubai Stock'!H:H,Final_UAE!B:B)</f>
        <v/>
      </c>
      <c r="H4722" s="8" t="e">
        <v>#N/A</v>
      </c>
      <c r="I4722" s="8" t="n"/>
    </row>
    <row r="4723">
      <c r="A4723" s="4" t="n">
        <v>33834</v>
      </c>
      <c r="B4723" s="4" t="inlineStr">
        <is>
          <t>sm50606-30s-000283-2906-54</t>
        </is>
      </c>
      <c r="C4723" s="4" t="inlineStr">
        <is>
          <t>W00031886A</t>
        </is>
      </c>
      <c r="D4723" s="6">
        <f>IF(F4723&gt;=5, F4723-5, IF(F4723&lt;5, 0, F4723))</f>
        <v/>
      </c>
      <c r="E4723">
        <f>VLOOKUP(B4723,[1]Namshi!$A:$B,2,0)</f>
        <v/>
      </c>
      <c r="F4723" s="4">
        <f>SUMIFS('Dubai Stock'!I:I,'Dubai Stock'!H:H,Final_UAE!B:B)</f>
        <v/>
      </c>
      <c r="H4723" s="8" t="e">
        <v>#N/A</v>
      </c>
    </row>
    <row r="4724">
      <c r="A4724" s="4" t="n">
        <v>33834</v>
      </c>
      <c r="B4724" s="4" t="inlineStr">
        <is>
          <t>sw70107-30s-000260-0101-53</t>
        </is>
      </c>
      <c r="C4724" s="4" t="inlineStr">
        <is>
          <t>W00031886A</t>
        </is>
      </c>
      <c r="D4724" s="6">
        <f>IF(F4724&gt;=5, F4724-5, IF(F4724&lt;5, 0, F4724))</f>
        <v/>
      </c>
      <c r="E4724">
        <f>VLOOKUP(B4724,[1]Namshi!$A:$B,2,0)</f>
        <v/>
      </c>
      <c r="F4724" s="4">
        <f>SUMIFS('Dubai Stock'!I:I,'Dubai Stock'!H:H,Final_UAE!B:B)</f>
        <v/>
      </c>
      <c r="H4724" s="8" t="e">
        <v>#N/A</v>
      </c>
    </row>
    <row r="4725">
      <c r="A4725" s="4" t="n">
        <v>33834</v>
      </c>
      <c r="B4725" s="4" t="inlineStr">
        <is>
          <t>clstdai-dai-tot1-p90-sp0550</t>
        </is>
      </c>
      <c r="C4725" s="4" t="inlineStr">
        <is>
          <t>W00031886A</t>
        </is>
      </c>
      <c r="D4725" s="6">
        <f>IF(F4725&gt;=5, F4725-5, IF(F4725&lt;5, 0, F4725))</f>
        <v/>
      </c>
      <c r="E4725">
        <f>VLOOKUP(B4725,[1]Namshi!$A:$B,2,0)</f>
        <v/>
      </c>
      <c r="F4725" s="4">
        <f>SUMIFS('Dubai Stock'!I:I,'Dubai Stock'!H:H,Final_UAE!B:B)</f>
        <v/>
      </c>
      <c r="H4725" s="8" t="e">
        <v>#N/A</v>
      </c>
      <c r="I4725" s="8" t="n"/>
    </row>
    <row r="4726">
      <c r="A4726" s="4" t="n">
        <v>33834</v>
      </c>
      <c r="B4726" s="4" t="inlineStr">
        <is>
          <t>sw50110-30s-000120-0110-59</t>
        </is>
      </c>
      <c r="C4726" s="4" t="inlineStr">
        <is>
          <t>W00031886A</t>
        </is>
      </c>
      <c r="D4726" s="6">
        <f>IF(F4726&gt;=5, F4726-5, IF(F4726&lt;5, 0, F4726))</f>
        <v/>
      </c>
      <c r="E4726">
        <f>VLOOKUP(B4726,[1]Namshi!$A:$B,2,0)</f>
        <v/>
      </c>
      <c r="F4726" s="4">
        <f>SUMIFS('Dubai Stock'!I:I,'Dubai Stock'!H:H,Final_UAE!B:B)</f>
        <v/>
      </c>
      <c r="H4726" s="8" t="e">
        <v>#N/A</v>
      </c>
    </row>
    <row r="4727">
      <c r="A4727" s="4" t="n">
        <v>33834</v>
      </c>
      <c r="B4727" s="4" t="inlineStr">
        <is>
          <t>sw30101-30s-000291-0101-51</t>
        </is>
      </c>
      <c r="C4727" s="4" t="inlineStr">
        <is>
          <t>W00031886A</t>
        </is>
      </c>
      <c r="D4727" s="6">
        <f>IF(F4727&gt;=5, F4727-5, IF(F4727&lt;5, 0, F4727))</f>
        <v/>
      </c>
      <c r="E4727">
        <f>VLOOKUP(B4727,[1]Namshi!$A:$B,2,0)</f>
        <v/>
      </c>
      <c r="F4727" s="4">
        <f>SUMIFS('Dubai Stock'!I:I,'Dubai Stock'!H:H,Final_UAE!B:B)</f>
        <v/>
      </c>
      <c r="H4727" s="8" t="e">
        <v>#N/A</v>
      </c>
    </row>
    <row r="4728">
      <c r="A4728" s="4" t="n">
        <v>33834</v>
      </c>
      <c r="B4728" s="4" t="inlineStr">
        <is>
          <t>clstbiw-acu-0002-p06-sn1150</t>
        </is>
      </c>
      <c r="C4728" s="4" t="inlineStr">
        <is>
          <t>W00031886A</t>
        </is>
      </c>
      <c r="D4728" s="6">
        <f>IF(F4728&gt;=5, F4728-5, IF(F4728&lt;5, 0, F4728))</f>
        <v/>
      </c>
      <c r="E4728">
        <f>VLOOKUP(B4728,[1]Namshi!$A:$B,2,0)</f>
        <v/>
      </c>
      <c r="F4728" s="4">
        <f>SUMIFS('Dubai Stock'!I:I,'Dubai Stock'!H:H,Final_UAE!B:B)</f>
        <v/>
      </c>
      <c r="H4728" s="8" t="e">
        <v>#N/A</v>
      </c>
      <c r="I4728" s="8" t="n"/>
    </row>
    <row r="4729">
      <c r="A4729" s="4" t="n">
        <v>33834</v>
      </c>
      <c r="B4729" s="4" t="inlineStr">
        <is>
          <t>clstdai-acu-oasy-p30-sp0700</t>
        </is>
      </c>
      <c r="C4729" s="4" t="inlineStr">
        <is>
          <t>W00031886A</t>
        </is>
      </c>
      <c r="D4729" s="6">
        <f>IF(F4729&gt;=5, F4729-5, IF(F4729&lt;5, 0, F4729))</f>
        <v/>
      </c>
      <c r="E4729">
        <f>VLOOKUP(B4729,[1]Namshi!$A:$B,2,0)</f>
        <v/>
      </c>
      <c r="F4729" s="4">
        <f>SUMIFS('Dubai Stock'!I:I,'Dubai Stock'!H:H,Final_UAE!B:B)</f>
        <v/>
      </c>
      <c r="H4729" s="8" t="e">
        <v>#N/A</v>
      </c>
      <c r="I4729" s="8" t="n"/>
    </row>
    <row r="4730">
      <c r="A4730" s="4" t="n">
        <v>33834</v>
      </c>
      <c r="B4730" s="4" t="inlineStr">
        <is>
          <t>su20106-30s-000206-0106p-52</t>
        </is>
      </c>
      <c r="C4730" s="4" t="inlineStr">
        <is>
          <t>W00031886A</t>
        </is>
      </c>
      <c r="D4730" s="6">
        <f>IF(F4730&gt;=5, F4730-5, IF(F4730&lt;5, 0, F4730))</f>
        <v/>
      </c>
      <c r="E4730">
        <f>VLOOKUP(B4730,[1]Namshi!$A:$B,2,0)</f>
        <v/>
      </c>
      <c r="F4730" s="4">
        <f>SUMIFS('Dubai Stock'!I:I,'Dubai Stock'!H:H,Final_UAE!B:B)</f>
        <v/>
      </c>
      <c r="H4730" s="8" t="e">
        <v>#N/A</v>
      </c>
    </row>
    <row r="4731">
      <c r="A4731" s="4" t="n">
        <v>33834</v>
      </c>
      <c r="B4731" s="4" t="inlineStr">
        <is>
          <t>sacchan-30s-gigi-gold</t>
        </is>
      </c>
      <c r="C4731" s="4" t="inlineStr">
        <is>
          <t>W00031886A</t>
        </is>
      </c>
      <c r="D4731" s="6">
        <f>IF(F4731&gt;=5, F4731-5, IF(F4731&lt;5, 0, F4731))</f>
        <v/>
      </c>
      <c r="E4731">
        <f>VLOOKUP(B4731,[1]Namshi!$A:$B,2,0)</f>
        <v/>
      </c>
      <c r="F4731" s="4">
        <f>SUMIFS('Dubai Stock'!I:I,'Dubai Stock'!H:H,Final_UAE!B:B)</f>
        <v/>
      </c>
      <c r="H4731" s="8" t="e">
        <v>#N/A</v>
      </c>
      <c r="I4731" s="8" t="n"/>
    </row>
    <row r="4732">
      <c r="A4732" s="4" t="n">
        <v>33834</v>
      </c>
      <c r="B4732" s="4" t="inlineStr">
        <is>
          <t>costdai-acu-dffr-p10-hazel-sn0300</t>
        </is>
      </c>
      <c r="C4732" s="4" t="inlineStr">
        <is>
          <t>W00031886A</t>
        </is>
      </c>
      <c r="D4732" s="6">
        <f>IF(F4732&gt;=5, F4732-5, IF(F4732&lt;5, 0, F4732))</f>
        <v/>
      </c>
      <c r="E4732">
        <f>VLOOKUP(B4732,[1]Namshi!$A:$B,2,0)</f>
        <v/>
      </c>
      <c r="F4732" s="4">
        <f>SUMIFS('Dubai Stock'!I:I,'Dubai Stock'!H:H,Final_UAE!B:B)</f>
        <v/>
      </c>
      <c r="H4732" s="8" t="e">
        <v>#N/A</v>
      </c>
      <c r="I4732" s="8" t="n"/>
    </row>
    <row r="4733">
      <c r="A4733" s="4" t="n">
        <v>33834</v>
      </c>
      <c r="B4733" s="4" t="inlineStr">
        <is>
          <t>fw30918-spc-000644-0918-53</t>
        </is>
      </c>
      <c r="C4733" s="4" t="inlineStr">
        <is>
          <t>W00031886A</t>
        </is>
      </c>
      <c r="D4733" s="6">
        <f>IF(F4733&gt;=5, F4733-5, IF(F4733&lt;5, 0, F4733))</f>
        <v/>
      </c>
      <c r="E4733">
        <f>VLOOKUP(B4733,[1]Namshi!$A:$B,2,0)</f>
        <v/>
      </c>
      <c r="F4733" s="4">
        <f>SUMIFS('Dubai Stock'!I:I,'Dubai Stock'!H:H,Final_UAE!B:B)</f>
        <v/>
      </c>
      <c r="H4733" s="8" t="e">
        <v>#N/A</v>
      </c>
      <c r="I4733" s="8" t="n"/>
    </row>
    <row r="4734">
      <c r="A4734" s="4" t="n">
        <v>33834</v>
      </c>
      <c r="B4734" s="4" t="inlineStr">
        <is>
          <t>clstdai-sof-sdai-p90-sn0550</t>
        </is>
      </c>
      <c r="C4734" s="4" t="inlineStr">
        <is>
          <t>W00031886A</t>
        </is>
      </c>
      <c r="D4734" s="6">
        <f>IF(F4734&gt;=5, F4734-5, IF(F4734&lt;5, 0, F4734))</f>
        <v/>
      </c>
      <c r="E4734">
        <f>VLOOKUP(B4734,[1]Namshi!$A:$B,2,0)</f>
        <v/>
      </c>
      <c r="F4734" s="4">
        <f>SUMIFS('Dubai Stock'!I:I,'Dubai Stock'!H:H,Final_UAE!B:B)</f>
        <v/>
      </c>
      <c r="H4734" s="8" t="e">
        <v>#N/A</v>
      </c>
      <c r="I4734" s="8" t="n"/>
    </row>
    <row r="4735">
      <c r="A4735" s="4" t="n">
        <v>33834</v>
      </c>
      <c r="B4735" s="4" t="inlineStr">
        <is>
          <t>fu52418-spc-000572-2400-53</t>
        </is>
      </c>
      <c r="C4735" s="4" t="inlineStr">
        <is>
          <t>W00031886A</t>
        </is>
      </c>
      <c r="D4735" s="6">
        <f>IF(F4735&gt;=5, F4735-5, IF(F4735&lt;5, 0, F4735))</f>
        <v/>
      </c>
      <c r="E4735">
        <f>VLOOKUP(B4735,[1]Namshi!$A:$B,2,0)</f>
        <v/>
      </c>
      <c r="F4735" s="4">
        <f>SUMIFS('Dubai Stock'!I:I,'Dubai Stock'!H:H,Final_UAE!B:B)</f>
        <v/>
      </c>
      <c r="H4735" s="8" t="e">
        <v>#N/A</v>
      </c>
      <c r="I4735" s="8" t="n"/>
    </row>
    <row r="4736">
      <c r="A4736" s="4" t="n">
        <v>33834</v>
      </c>
      <c r="B4736" s="4" t="inlineStr">
        <is>
          <t>clstdai-dai-aqua-p90-sn1250</t>
        </is>
      </c>
      <c r="C4736" s="4" t="inlineStr">
        <is>
          <t>W00031886A</t>
        </is>
      </c>
      <c r="D4736" s="6">
        <f>IF(F4736&gt;=5, F4736-5, IF(F4736&lt;5, 0, F4736))</f>
        <v/>
      </c>
      <c r="E4736">
        <f>VLOOKUP(B4736,[1]Namshi!$A:$B,2,0)</f>
        <v/>
      </c>
      <c r="F4736" s="4">
        <f>SUMIFS('Dubai Stock'!I:I,'Dubai Stock'!H:H,Final_UAE!B:B)</f>
        <v/>
      </c>
      <c r="H4736" s="8" t="e">
        <v>#N/A</v>
      </c>
      <c r="I4736" s="8" t="n"/>
    </row>
    <row r="4737">
      <c r="A4737" s="4" t="n">
        <v>33834</v>
      </c>
      <c r="B4737" s="4" t="inlineStr">
        <is>
          <t>clstdai-acu-mois-p30-sp0425</t>
        </is>
      </c>
      <c r="C4737" s="4" t="inlineStr">
        <is>
          <t>W00031886A</t>
        </is>
      </c>
      <c r="D4737" s="6">
        <f>IF(F4737&gt;=5, F4737-5, IF(F4737&lt;5, 0, F4737))</f>
        <v/>
      </c>
      <c r="E4737">
        <f>VLOOKUP(B4737,[1]Namshi!$A:$B,2,0)</f>
        <v/>
      </c>
      <c r="F4737" s="4">
        <f>SUMIFS('Dubai Stock'!I:I,'Dubai Stock'!H:H,Final_UAE!B:B)</f>
        <v/>
      </c>
      <c r="H4737" s="8" t="e">
        <v>#N/A</v>
      </c>
      <c r="I4737" s="8" t="n"/>
    </row>
    <row r="4738">
      <c r="A4738" s="4" t="n">
        <v>33834</v>
      </c>
      <c r="B4738" s="4" t="inlineStr">
        <is>
          <t>costmon-ama-2022-p02-tiger-eyes-sn0175</t>
        </is>
      </c>
      <c r="C4738" s="4" t="inlineStr">
        <is>
          <t>W00031886A</t>
        </is>
      </c>
      <c r="D4738" s="6">
        <f>IF(F4738&gt;=5, F4738-5, IF(F4738&lt;5, 0, F4738))</f>
        <v/>
      </c>
      <c r="E4738">
        <f>VLOOKUP(B4738,[1]Namshi!$A:$B,2,0)</f>
        <v/>
      </c>
      <c r="F4738" s="4">
        <f>SUMIFS('Dubai Stock'!I:I,'Dubai Stock'!H:H,Final_UAE!B:B)</f>
        <v/>
      </c>
      <c r="H4738" s="8" t="e">
        <v>#N/A</v>
      </c>
      <c r="I4738" s="8" t="n"/>
    </row>
    <row r="4739">
      <c r="A4739" s="4" t="n">
        <v>33834</v>
      </c>
      <c r="B4739" s="4" t="inlineStr">
        <is>
          <t>cost3mo-lay-2022-p02-sage-gray-sn0150</t>
        </is>
      </c>
      <c r="C4739" s="4" t="inlineStr">
        <is>
          <t>W00031886A</t>
        </is>
      </c>
      <c r="D4739" s="6">
        <f>IF(F4739&gt;=5, F4739-5, IF(F4739&lt;5, 0, F4739))</f>
        <v/>
      </c>
      <c r="E4739">
        <f>VLOOKUP(B4739,[1]Namshi!$A:$B,2,0)</f>
        <v/>
      </c>
      <c r="F4739" s="4">
        <f>SUMIFS('Dubai Stock'!I:I,'Dubai Stock'!H:H,Final_UAE!B:B)</f>
        <v/>
      </c>
      <c r="H4739" s="8" t="e">
        <v>#N/A</v>
      </c>
      <c r="I4739" s="8" t="n"/>
    </row>
    <row r="4740">
      <c r="A4740" s="4" t="n">
        <v>33834</v>
      </c>
      <c r="B4740" s="4" t="inlineStr">
        <is>
          <t>cost3mo-lay-2020-p02-ash-gray-sn0400</t>
        </is>
      </c>
      <c r="C4740" s="4" t="inlineStr">
        <is>
          <t>W00031886A</t>
        </is>
      </c>
      <c r="D4740" s="6">
        <f>IF(F4740&gt;=5, F4740-5, IF(F4740&lt;5, 0, F4740))</f>
        <v/>
      </c>
      <c r="E4740">
        <f>VLOOKUP(B4740,[1]Namshi!$A:$B,2,0)</f>
        <v/>
      </c>
      <c r="F4740" s="4">
        <f>SUMIFS('Dubai Stock'!I:I,'Dubai Stock'!H:H,Final_UAE!B:B)</f>
        <v/>
      </c>
      <c r="H4740" s="8" t="e">
        <v>#N/A</v>
      </c>
      <c r="I4740" s="8" t="n"/>
    </row>
    <row r="4741">
      <c r="A4741" s="4" t="n">
        <v>33834</v>
      </c>
      <c r="B4741" s="4" t="inlineStr">
        <is>
          <t>clstdai-acu-omax-p90-sn0450</t>
        </is>
      </c>
      <c r="C4741" s="4" t="inlineStr">
        <is>
          <t>W00031886A</t>
        </is>
      </c>
      <c r="D4741" s="6">
        <f>IF(F4741&gt;=5, F4741-5, IF(F4741&lt;5, 0, F4741))</f>
        <v/>
      </c>
      <c r="E4741">
        <f>VLOOKUP(B4741,[1]Namshi!$A:$B,2,0)</f>
        <v/>
      </c>
      <c r="F4741" s="4">
        <f>SUMIFS('Dubai Stock'!I:I,'Dubai Stock'!H:H,Final_UAE!B:B)</f>
        <v/>
      </c>
      <c r="H4741" s="8" t="e">
        <v>#N/A</v>
      </c>
      <c r="I4741" s="8" t="n"/>
    </row>
    <row r="4742">
      <c r="A4742" s="4" t="n">
        <v>33834</v>
      </c>
      <c r="B4742" s="4" t="inlineStr">
        <is>
          <t>clstbiw-acu-oasy-p06-sp0275</t>
        </is>
      </c>
      <c r="C4742" s="4" t="inlineStr">
        <is>
          <t>W00031886A</t>
        </is>
      </c>
      <c r="D4742" s="6">
        <f>IF(F4742&gt;=5, F4742-5, IF(F4742&lt;5, 0, F4742))</f>
        <v/>
      </c>
      <c r="E4742">
        <f>VLOOKUP(B4742,[1]Namshi!$A:$B,2,0)</f>
        <v/>
      </c>
      <c r="F4742" s="4">
        <f>SUMIFS('Dubai Stock'!I:I,'Dubai Stock'!H:H,Final_UAE!B:B)</f>
        <v/>
      </c>
      <c r="H4742" s="8" t="e">
        <v>#N/A</v>
      </c>
      <c r="I4742" s="8" t="n"/>
    </row>
    <row r="4743">
      <c r="A4743" s="4" t="n">
        <v>33834</v>
      </c>
      <c r="B4743" s="4" t="inlineStr">
        <is>
          <t>clstdai-lay-cont-p30-dazzle-brown-sn0150</t>
        </is>
      </c>
      <c r="C4743" s="4" t="inlineStr">
        <is>
          <t>W00031886A</t>
        </is>
      </c>
      <c r="D4743" s="6">
        <f>IF(F4743&gt;=5, F4743-5, IF(F4743&lt;5, 0, F4743))</f>
        <v/>
      </c>
      <c r="E4743">
        <f>VLOOKUP(B4743,[1]Namshi!$A:$B,2,0)</f>
        <v/>
      </c>
      <c r="F4743" s="4">
        <f>SUMIFS('Dubai Stock'!I:I,'Dubai Stock'!H:H,Final_UAE!B:B)</f>
        <v/>
      </c>
      <c r="H4743" s="8" t="e">
        <v>#N/A</v>
      </c>
      <c r="I4743" s="8" t="n"/>
    </row>
    <row r="4744">
      <c r="A4744" s="4" t="n">
        <v>33834</v>
      </c>
      <c r="B4744" s="4" t="inlineStr">
        <is>
          <t>clstdai-sof-sdai-p30-sn0625</t>
        </is>
      </c>
      <c r="C4744" s="4" t="inlineStr">
        <is>
          <t>W00031886A</t>
        </is>
      </c>
      <c r="D4744" s="6">
        <f>IF(F4744&gt;=5, F4744-5, IF(F4744&lt;5, 0, F4744))</f>
        <v/>
      </c>
      <c r="E4744">
        <f>VLOOKUP(B4744,[1]Namshi!$A:$B,2,0)</f>
        <v/>
      </c>
      <c r="F4744" s="4">
        <f>SUMIFS('Dubai Stock'!I:I,'Dubai Stock'!H:H,Final_UAE!B:B)</f>
        <v/>
      </c>
      <c r="H4744" s="8" t="e">
        <v>#N/A</v>
      </c>
      <c r="I4744" s="8" t="n"/>
    </row>
    <row r="4745">
      <c r="A4745" s="4" t="n">
        <v>33834</v>
      </c>
      <c r="B4745" s="4" t="inlineStr">
        <is>
          <t>sm50404-30s-000223-0404-54</t>
        </is>
      </c>
      <c r="C4745" s="4" t="inlineStr">
        <is>
          <t>W00031886A</t>
        </is>
      </c>
      <c r="D4745" s="6">
        <f>IF(F4745&gt;=5, F4745-5, IF(F4745&lt;5, 0, F4745))</f>
        <v/>
      </c>
      <c r="E4745">
        <f>VLOOKUP(B4745,[1]Namshi!$A:$B,2,0)</f>
        <v/>
      </c>
      <c r="F4745" s="4">
        <f>SUMIFS('Dubai Stock'!I:I,'Dubai Stock'!H:H,Final_UAE!B:B)</f>
        <v/>
      </c>
      <c r="H4745" s="8" t="e">
        <v>#N/A</v>
      </c>
    </row>
    <row r="4746">
      <c r="A4746" s="4" t="n">
        <v>33834</v>
      </c>
      <c r="B4746" s="4" t="inlineStr">
        <is>
          <t>clstdai-btr-oned-p90-sn0025</t>
        </is>
      </c>
      <c r="C4746" s="4" t="inlineStr">
        <is>
          <t>W00031886A</t>
        </is>
      </c>
      <c r="D4746" s="6">
        <f>IF(F4746&gt;=5, F4746-5, IF(F4746&lt;5, 0, F4746))</f>
        <v/>
      </c>
      <c r="E4746">
        <f>VLOOKUP(B4746,[1]Namshi!$A:$B,2,0)</f>
        <v/>
      </c>
      <c r="F4746" s="4">
        <f>SUMIFS('Dubai Stock'!I:I,'Dubai Stock'!H:H,Final_UAE!B:B)</f>
        <v/>
      </c>
      <c r="H4746" s="8" t="e">
        <v>#N/A</v>
      </c>
      <c r="I4746" s="8" t="n"/>
    </row>
    <row r="4747">
      <c r="A4747" s="4" t="n">
        <v>33834</v>
      </c>
      <c r="B4747" s="4" t="inlineStr">
        <is>
          <t>clstbiw-acu-oasy-p06-sp0575</t>
        </is>
      </c>
      <c r="C4747" s="4" t="inlineStr">
        <is>
          <t>W00031886A</t>
        </is>
      </c>
      <c r="D4747" s="6">
        <f>IF(F4747&gt;=5, F4747-5, IF(F4747&lt;5, 0, F4747))</f>
        <v/>
      </c>
      <c r="E4747">
        <f>VLOOKUP(B4747,[1]Namshi!$A:$B,2,0)</f>
        <v/>
      </c>
      <c r="F4747" s="4">
        <f>SUMIFS('Dubai Stock'!I:I,'Dubai Stock'!H:H,Final_UAE!B:B)</f>
        <v/>
      </c>
      <c r="H4747" s="8" t="e">
        <v>#N/A</v>
      </c>
      <c r="I4747" s="8" t="n"/>
    </row>
    <row r="4748">
      <c r="A4748" s="4" t="n">
        <v>33834</v>
      </c>
      <c r="B4748" s="4" t="inlineStr">
        <is>
          <t>sw41207-bla-000275-1207-54</t>
        </is>
      </c>
      <c r="C4748" s="4" t="inlineStr">
        <is>
          <t>W00031886A</t>
        </is>
      </c>
      <c r="D4748" s="6">
        <f>IF(F4748&gt;=5, F4748-5, IF(F4748&lt;5, 0, F4748))</f>
        <v/>
      </c>
      <c r="E4748">
        <f>VLOOKUP(B4748,[1]Namshi!$A:$B,2,0)</f>
        <v/>
      </c>
      <c r="F4748" s="4">
        <f>SUMIFS('Dubai Stock'!I:I,'Dubai Stock'!H:H,Final_UAE!B:B)</f>
        <v/>
      </c>
      <c r="H4748" s="8" t="e">
        <v>#N/A</v>
      </c>
    </row>
    <row r="4749">
      <c r="A4749" s="4" t="n">
        <v>33834</v>
      </c>
      <c r="B4749" s="4" t="inlineStr">
        <is>
          <t>clstdai-acu-dfvi-p60-sn0375</t>
        </is>
      </c>
      <c r="C4749" s="4" t="inlineStr">
        <is>
          <t>W00031886A</t>
        </is>
      </c>
      <c r="D4749" s="6">
        <f>IF(F4749&gt;=5, F4749-5, IF(F4749&lt;5, 0, F4749))</f>
        <v/>
      </c>
      <c r="E4749">
        <f>VLOOKUP(B4749,[1]Namshi!$A:$B,2,0)</f>
        <v/>
      </c>
      <c r="F4749" s="4">
        <f>SUMIFS('Dubai Stock'!I:I,'Dubai Stock'!H:H,Final_UAE!B:B)</f>
        <v/>
      </c>
      <c r="H4749" s="8" t="e">
        <v>#N/A</v>
      </c>
      <c r="I4749" s="8" t="n"/>
    </row>
    <row r="4750">
      <c r="A4750" s="4" t="n">
        <v>33834</v>
      </c>
      <c r="B4750" s="4" t="inlineStr">
        <is>
          <t>clstdai-lay-cont-p90-dazzle-brown-sn0450</t>
        </is>
      </c>
      <c r="C4750" s="4" t="inlineStr">
        <is>
          <t>W00031886A</t>
        </is>
      </c>
      <c r="D4750" s="6">
        <f>IF(F4750&gt;=5, F4750-5, IF(F4750&lt;5, 0, F4750))</f>
        <v/>
      </c>
      <c r="E4750">
        <f>VLOOKUP(B4750,[1]Namshi!$A:$B,2,0)</f>
        <v/>
      </c>
      <c r="F4750" s="4">
        <f>SUMIFS('Dubai Stock'!I:I,'Dubai Stock'!H:H,Final_UAE!B:B)</f>
        <v/>
      </c>
      <c r="H4750" s="8" t="e">
        <v>#N/A</v>
      </c>
      <c r="I4750" s="8" t="n"/>
    </row>
    <row r="4751">
      <c r="A4751" s="4" t="n">
        <v>33834</v>
      </c>
      <c r="B4751" s="4" t="inlineStr">
        <is>
          <t>clstdai-acu-dfrb-p30-sn0100</t>
        </is>
      </c>
      <c r="C4751" s="4" t="inlineStr">
        <is>
          <t>W00031886A</t>
        </is>
      </c>
      <c r="D4751" s="6">
        <f>IF(F4751&gt;=5, F4751-5, IF(F4751&lt;5, 0, F4751))</f>
        <v/>
      </c>
      <c r="E4751">
        <f>VLOOKUP(B4751,[1]Namshi!$A:$B,2,0)</f>
        <v/>
      </c>
      <c r="F4751" s="4">
        <f>SUMIFS('Dubai Stock'!I:I,'Dubai Stock'!H:H,Final_UAE!B:B)</f>
        <v/>
      </c>
      <c r="H4751" s="8" t="e">
        <v>#N/A</v>
      </c>
      <c r="I4751" s="8" t="n"/>
    </row>
    <row r="4752">
      <c r="A4752" s="4" t="n">
        <v>33834</v>
      </c>
      <c r="B4752" s="4" t="inlineStr">
        <is>
          <t>sm40407-30s-000299-0407p-53</t>
        </is>
      </c>
      <c r="C4752" s="4" t="inlineStr">
        <is>
          <t>W00031886A</t>
        </is>
      </c>
      <c r="D4752" s="6">
        <f>IF(F4752&gt;=5, F4752-5, IF(F4752&lt;5, 0, F4752))</f>
        <v/>
      </c>
      <c r="E4752">
        <f>VLOOKUP(B4752,[1]Namshi!$A:$B,2,0)</f>
        <v/>
      </c>
      <c r="F4752" s="4">
        <f>SUMIFS('Dubai Stock'!I:I,'Dubai Stock'!H:H,Final_UAE!B:B)</f>
        <v/>
      </c>
      <c r="H4752" s="8" t="e">
        <v>#N/A</v>
      </c>
    </row>
    <row r="4753">
      <c r="A4753" s="4" t="n">
        <v>33834</v>
      </c>
      <c r="B4753" s="4" t="inlineStr">
        <is>
          <t>cost3mo-lay-2023-p02-selene-green-sn0400</t>
        </is>
      </c>
      <c r="C4753" s="4" t="inlineStr">
        <is>
          <t>W00031886A</t>
        </is>
      </c>
      <c r="D4753" s="6">
        <f>IF(F4753&gt;=5, F4753-5, IF(F4753&lt;5, 0, F4753))</f>
        <v/>
      </c>
      <c r="E4753">
        <f>VLOOKUP(B4753,[1]Namshi!$A:$B,2,0)</f>
        <v/>
      </c>
      <c r="F4753" s="4">
        <f>SUMIFS('Dubai Stock'!I:I,'Dubai Stock'!H:H,Final_UAE!B:B)</f>
        <v/>
      </c>
      <c r="H4753" s="8" t="e">
        <v>#N/A</v>
      </c>
      <c r="I4753" s="8" t="n"/>
    </row>
    <row r="4754">
      <c r="A4754" s="4" t="n">
        <v>33834</v>
      </c>
      <c r="B4754" s="4" t="inlineStr">
        <is>
          <t>costdai-acu-dffr-p10-honey-sn0600</t>
        </is>
      </c>
      <c r="C4754" s="4" t="inlineStr">
        <is>
          <t>W00031886A</t>
        </is>
      </c>
      <c r="D4754" s="6">
        <f>IF(F4754&gt;=5, F4754-5, IF(F4754&lt;5, 0, F4754))</f>
        <v/>
      </c>
      <c r="E4754">
        <f>VLOOKUP(B4754,[1]Namshi!$A:$B,2,0)</f>
        <v/>
      </c>
      <c r="F4754" s="4">
        <f>SUMIFS('Dubai Stock'!I:I,'Dubai Stock'!H:H,Final_UAE!B:B)</f>
        <v/>
      </c>
      <c r="H4754" s="8" t="e">
        <v>#N/A</v>
      </c>
      <c r="I4754" s="8" t="n"/>
    </row>
    <row r="4755">
      <c r="A4755" s="4" t="n">
        <v>33834</v>
      </c>
      <c r="B4755" s="4" t="inlineStr">
        <is>
          <t>sw51404-30s-000294-1404-52</t>
        </is>
      </c>
      <c r="C4755" s="4" t="inlineStr">
        <is>
          <t>W00031886A</t>
        </is>
      </c>
      <c r="D4755" s="6">
        <f>IF(F4755&gt;=5, F4755-5, IF(F4755&lt;5, 0, F4755))</f>
        <v/>
      </c>
      <c r="E4755">
        <f>VLOOKUP(B4755,[1]Namshi!$A:$B,2,0)</f>
        <v/>
      </c>
      <c r="F4755" s="4">
        <f>SUMIFS('Dubai Stock'!I:I,'Dubai Stock'!H:H,Final_UAE!B:B)</f>
        <v/>
      </c>
      <c r="H4755" s="8" t="e">
        <v>#N/A</v>
      </c>
    </row>
    <row r="4756">
      <c r="A4756" s="4" t="n">
        <v>33834</v>
      </c>
      <c r="B4756" s="4" t="inlineStr">
        <is>
          <t>clstdai-dai-tot1-p90-sp0525</t>
        </is>
      </c>
      <c r="C4756" s="4" t="inlineStr">
        <is>
          <t>W00031886A</t>
        </is>
      </c>
      <c r="D4756" s="6">
        <f>IF(F4756&gt;=5, F4756-5, IF(F4756&lt;5, 0, F4756))</f>
        <v/>
      </c>
      <c r="E4756">
        <f>VLOOKUP(B4756,[1]Namshi!$A:$B,2,0)</f>
        <v/>
      </c>
      <c r="F4756" s="4">
        <f>SUMIFS('Dubai Stock'!I:I,'Dubai Stock'!H:H,Final_UAE!B:B)</f>
        <v/>
      </c>
      <c r="H4756" s="8" t="e">
        <v>#N/A</v>
      </c>
      <c r="I4756" s="8" t="n"/>
    </row>
    <row r="4757">
      <c r="A4757" s="4" t="n">
        <v>33834</v>
      </c>
      <c r="B4757" s="4" t="inlineStr">
        <is>
          <t>clstdai-lay-cont-p10-dazzle-brown-sn0175</t>
        </is>
      </c>
      <c r="C4757" s="4" t="inlineStr">
        <is>
          <t>W00031886A</t>
        </is>
      </c>
      <c r="D4757" s="6">
        <f>IF(F4757&gt;=5, F4757-5, IF(F4757&lt;5, 0, F4757))</f>
        <v/>
      </c>
      <c r="E4757">
        <f>VLOOKUP(B4757,[1]Namshi!$A:$B,2,0)</f>
        <v/>
      </c>
      <c r="F4757" s="4">
        <f>SUMIFS('Dubai Stock'!I:I,'Dubai Stock'!H:H,Final_UAE!B:B)</f>
        <v/>
      </c>
      <c r="H4757" s="8" t="e">
        <v>#N/A</v>
      </c>
      <c r="I4757" s="8" t="n"/>
    </row>
    <row r="4758">
      <c r="A4758" s="4" t="n">
        <v>33834</v>
      </c>
      <c r="B4758" s="4" t="inlineStr">
        <is>
          <t>su10404-bla-000270-0404-55</t>
        </is>
      </c>
      <c r="C4758" s="4" t="inlineStr">
        <is>
          <t>W00031886A</t>
        </is>
      </c>
      <c r="D4758" s="6">
        <f>IF(F4758&gt;=5, F4758-5, IF(F4758&lt;5, 0, F4758))</f>
        <v/>
      </c>
      <c r="E4758">
        <f>VLOOKUP(B4758,[1]Namshi!$A:$B,2,0)</f>
        <v/>
      </c>
      <c r="F4758" s="4">
        <f>SUMIFS('Dubai Stock'!I:I,'Dubai Stock'!H:H,Final_UAE!B:B)</f>
        <v/>
      </c>
      <c r="H4758" s="8" t="e">
        <v>#N/A</v>
      </c>
    </row>
    <row r="4759">
      <c r="A4759" s="4" t="n">
        <v>33834</v>
      </c>
      <c r="B4759" s="4" t="inlineStr">
        <is>
          <t>sw30404-30s-000257-0404-52</t>
        </is>
      </c>
      <c r="C4759" s="4" t="inlineStr">
        <is>
          <t>W00031886A</t>
        </is>
      </c>
      <c r="D4759" s="6">
        <f>IF(F4759&gt;=5, F4759-5, IF(F4759&lt;5, 0, F4759))</f>
        <v/>
      </c>
      <c r="E4759">
        <f>VLOOKUP(B4759,[1]Namshi!$A:$B,2,0)</f>
        <v/>
      </c>
      <c r="F4759" s="4">
        <f>SUMIFS('Dubai Stock'!I:I,'Dubai Stock'!H:H,Final_UAE!B:B)</f>
        <v/>
      </c>
      <c r="H4759" s="8" t="e">
        <v>#N/A</v>
      </c>
    </row>
    <row r="4760">
      <c r="A4760" s="4" t="n">
        <v>33834</v>
      </c>
      <c r="B4760" s="4" t="inlineStr">
        <is>
          <t>cltodai-acu-mois-p30-sn0525-cn0075-a020</t>
        </is>
      </c>
      <c r="C4760" s="4" t="inlineStr">
        <is>
          <t>W00031886A</t>
        </is>
      </c>
      <c r="D4760" s="6">
        <f>IF(F4760&gt;=5, F4760-5, IF(F4760&lt;5, 0, F4760))</f>
        <v/>
      </c>
      <c r="E4760">
        <f>VLOOKUP(B4760,[1]Namshi!$A:$B,2,0)</f>
        <v/>
      </c>
      <c r="F4760" s="4">
        <f>SUMIFS('Dubai Stock'!I:I,'Dubai Stock'!H:H,Final_UAE!B:B)</f>
        <v/>
      </c>
      <c r="H4760" s="8" t="e">
        <v>#N/A</v>
      </c>
      <c r="I4760" s="8" t="n"/>
    </row>
    <row r="4761">
      <c r="A4761" s="4" t="n">
        <v>33834</v>
      </c>
      <c r="B4761" s="4" t="inlineStr">
        <is>
          <t>cost3mo-lay-2022-p02-crescent-gray-sn0100</t>
        </is>
      </c>
      <c r="C4761" s="4" t="inlineStr">
        <is>
          <t>W00031886A</t>
        </is>
      </c>
      <c r="D4761" s="6">
        <f>IF(F4761&gt;=5, F4761-5, IF(F4761&lt;5, 0, F4761))</f>
        <v/>
      </c>
      <c r="E4761">
        <f>VLOOKUP(B4761,[1]Namshi!$A:$B,2,0)</f>
        <v/>
      </c>
      <c r="F4761" s="4">
        <f>SUMIFS('Dubai Stock'!I:I,'Dubai Stock'!H:H,Final_UAE!B:B)</f>
        <v/>
      </c>
      <c r="H4761" s="8" t="e">
        <v>#N/A</v>
      </c>
      <c r="I4761" s="8" t="n"/>
    </row>
    <row r="4762">
      <c r="A4762" s="4" t="n">
        <v>33834</v>
      </c>
      <c r="B4762" s="4" t="inlineStr">
        <is>
          <t>clstdai-acu-dfrb-p60-sn0175</t>
        </is>
      </c>
      <c r="C4762" s="4" t="inlineStr">
        <is>
          <t>W00031886A</t>
        </is>
      </c>
      <c r="D4762" s="6">
        <f>IF(F4762&gt;=5, F4762-5, IF(F4762&lt;5, 0, F4762))</f>
        <v/>
      </c>
      <c r="E4762">
        <f>VLOOKUP(B4762,[1]Namshi!$A:$B,2,0)</f>
        <v/>
      </c>
      <c r="F4762" s="4">
        <f>SUMIFS('Dubai Stock'!I:I,'Dubai Stock'!H:H,Final_UAE!B:B)</f>
        <v/>
      </c>
      <c r="H4762" s="8" t="e">
        <v>#N/A</v>
      </c>
      <c r="I4762" s="8" t="n"/>
    </row>
    <row r="4763">
      <c r="A4763" s="4" t="n">
        <v>33834</v>
      </c>
      <c r="B4763" s="4" t="inlineStr">
        <is>
          <t>costdai-acu-dffr-p10-green-sn0225</t>
        </is>
      </c>
      <c r="C4763" s="4" t="inlineStr">
        <is>
          <t>W00031886A</t>
        </is>
      </c>
      <c r="D4763" s="6">
        <f>IF(F4763&gt;=5, F4763-5, IF(F4763&lt;5, 0, F4763))</f>
        <v/>
      </c>
      <c r="E4763">
        <f>VLOOKUP(B4763,[1]Namshi!$A:$B,2,0)</f>
        <v/>
      </c>
      <c r="F4763" s="4">
        <f>SUMIFS('Dubai Stock'!I:I,'Dubai Stock'!H:H,Final_UAE!B:B)</f>
        <v/>
      </c>
      <c r="H4763" s="8" t="e">
        <v>#N/A</v>
      </c>
      <c r="I4763" s="8" t="n"/>
    </row>
    <row r="4764">
      <c r="A4764" s="4" t="n">
        <v>33834</v>
      </c>
      <c r="B4764" s="4" t="inlineStr">
        <is>
          <t>clstdai-acu-mois-p30-sn0375</t>
        </is>
      </c>
      <c r="C4764" s="4" t="inlineStr">
        <is>
          <t>W00031886A</t>
        </is>
      </c>
      <c r="D4764" s="6">
        <f>IF(F4764&gt;=5, F4764-5, IF(F4764&lt;5, 0, F4764))</f>
        <v/>
      </c>
      <c r="E4764">
        <f>VLOOKUP(B4764,[1]Namshi!$A:$B,2,0)</f>
        <v/>
      </c>
      <c r="F4764" s="4">
        <f>SUMIFS('Dubai Stock'!I:I,'Dubai Stock'!H:H,Final_UAE!B:B)</f>
        <v/>
      </c>
      <c r="H4764" s="8" t="e">
        <v>#N/A</v>
      </c>
      <c r="I4764" s="8" t="n"/>
    </row>
    <row r="4765">
      <c r="A4765" s="4" t="n">
        <v>33834</v>
      </c>
      <c r="B4765" s="4" t="inlineStr">
        <is>
          <t>costdai-acu-dffr-p30-hazel-sn0350</t>
        </is>
      </c>
      <c r="C4765" s="4" t="inlineStr">
        <is>
          <t>W00031886A</t>
        </is>
      </c>
      <c r="D4765" s="6">
        <f>IF(F4765&gt;=5, F4765-5, IF(F4765&lt;5, 0, F4765))</f>
        <v/>
      </c>
      <c r="E4765">
        <f>VLOOKUP(B4765,[1]Namshi!$A:$B,2,0)</f>
        <v/>
      </c>
      <c r="F4765" s="4">
        <f>SUMIFS('Dubai Stock'!I:I,'Dubai Stock'!H:H,Final_UAE!B:B)</f>
        <v/>
      </c>
      <c r="H4765" s="8" t="e">
        <v>#N/A</v>
      </c>
      <c r="I4765" s="8" t="n"/>
    </row>
    <row r="4766">
      <c r="A4766" s="4" t="n">
        <v>33834</v>
      </c>
      <c r="B4766" s="4" t="inlineStr">
        <is>
          <t>clstdai-btr-oned-p30-sn0125</t>
        </is>
      </c>
      <c r="C4766" s="4" t="inlineStr">
        <is>
          <t>W00031886A</t>
        </is>
      </c>
      <c r="D4766" s="6">
        <f>IF(F4766&gt;=5, F4766-5, IF(F4766&lt;5, 0, F4766))</f>
        <v/>
      </c>
      <c r="E4766">
        <f>VLOOKUP(B4766,[1]Namshi!$A:$B,2,0)</f>
        <v/>
      </c>
      <c r="F4766" s="4">
        <f>SUMIFS('Dubai Stock'!I:I,'Dubai Stock'!H:H,Final_UAE!B:B)</f>
        <v/>
      </c>
      <c r="H4766" s="8" t="e">
        <v>#N/A</v>
      </c>
      <c r="I4766" s="8" t="n"/>
    </row>
    <row r="4767">
      <c r="A4767" s="4" t="n">
        <v>33834</v>
      </c>
      <c r="B4767" s="4" t="inlineStr">
        <is>
          <t>cost3mo-lay-2021-p02-willow-green-sn0600</t>
        </is>
      </c>
      <c r="C4767" s="4" t="inlineStr">
        <is>
          <t>W00031886A</t>
        </is>
      </c>
      <c r="D4767" s="6">
        <f>IF(F4767&gt;=5, F4767-5, IF(F4767&lt;5, 0, F4767))</f>
        <v/>
      </c>
      <c r="E4767">
        <f>VLOOKUP(B4767,[1]Namshi!$A:$B,2,0)</f>
        <v/>
      </c>
      <c r="F4767" s="4">
        <f>SUMIFS('Dubai Stock'!I:I,'Dubai Stock'!H:H,Final_UAE!B:B)</f>
        <v/>
      </c>
      <c r="H4767" s="8" t="e">
        <v>#N/A</v>
      </c>
      <c r="I4767" s="8" t="n"/>
    </row>
    <row r="4768">
      <c r="A4768" s="4" t="n">
        <v>33834</v>
      </c>
      <c r="B4768" s="4" t="inlineStr">
        <is>
          <t>cost3mo-lay-2022-p02-avena-brown-sn0100</t>
        </is>
      </c>
      <c r="C4768" s="4" t="inlineStr">
        <is>
          <t>W00031886A</t>
        </is>
      </c>
      <c r="D4768" s="6">
        <f>IF(F4768&gt;=5, F4768-5, IF(F4768&lt;5, 0, F4768))</f>
        <v/>
      </c>
      <c r="E4768">
        <f>VLOOKUP(B4768,[1]Namshi!$A:$B,2,0)</f>
        <v/>
      </c>
      <c r="F4768" s="4">
        <f>SUMIFS('Dubai Stock'!I:I,'Dubai Stock'!H:H,Final_UAE!B:B)</f>
        <v/>
      </c>
      <c r="H4768" s="8" t="e">
        <v>#N/A</v>
      </c>
      <c r="I4768" s="8" t="n"/>
    </row>
    <row r="4769">
      <c r="A4769" s="4" t="n">
        <v>33834</v>
      </c>
      <c r="B4769" s="4" t="inlineStr">
        <is>
          <t>clstdai-acu-dfvi-p60-sp0000</t>
        </is>
      </c>
      <c r="C4769" s="4" t="inlineStr">
        <is>
          <t>W00031886A</t>
        </is>
      </c>
      <c r="D4769" s="6">
        <f>IF(F4769&gt;=5, F4769-5, IF(F4769&lt;5, 0, F4769))</f>
        <v/>
      </c>
      <c r="E4769">
        <f>VLOOKUP(B4769,[1]Namshi!$A:$B,2,0)</f>
        <v/>
      </c>
      <c r="F4769" s="4">
        <f>SUMIFS('Dubai Stock'!I:I,'Dubai Stock'!H:H,Final_UAE!B:B)</f>
        <v/>
      </c>
      <c r="H4769" s="8" t="e">
        <v>#N/A</v>
      </c>
      <c r="I4769" s="8" t="n"/>
    </row>
    <row r="4770">
      <c r="A4770" s="4" t="n">
        <v>33834</v>
      </c>
      <c r="B4770" s="4" t="inlineStr">
        <is>
          <t>fw30418-spc-000810-0418-58</t>
        </is>
      </c>
      <c r="C4770" s="4" t="inlineStr">
        <is>
          <t>W00031886A</t>
        </is>
      </c>
      <c r="D4770" s="6">
        <f>IF(F4770&gt;=5, F4770-5, IF(F4770&lt;5, 0, F4770))</f>
        <v/>
      </c>
      <c r="E4770">
        <f>VLOOKUP(B4770,[1]Namshi!$A:$B,2,0)</f>
        <v/>
      </c>
      <c r="F4770" s="4">
        <f>SUMIFS('Dubai Stock'!I:I,'Dubai Stock'!H:H,Final_UAE!B:B)</f>
        <v/>
      </c>
      <c r="H4770" s="8" t="e">
        <v>#N/A</v>
      </c>
      <c r="I4770" s="8" t="n"/>
    </row>
    <row r="4771">
      <c r="A4771" s="4" t="n">
        <v>33834</v>
      </c>
      <c r="B4771" s="4" t="inlineStr">
        <is>
          <t>sacchan-30s-chain115-blu-kali-navy-blue</t>
        </is>
      </c>
      <c r="C4771" s="4" t="inlineStr">
        <is>
          <t>W00031886A</t>
        </is>
      </c>
      <c r="D4771" s="6">
        <f>IF(F4771&gt;=5, F4771-5, IF(F4771&lt;5, 0, F4771))</f>
        <v/>
      </c>
      <c r="E4771">
        <f>VLOOKUP(B4771,[1]Namshi!$A:$B,2,0)</f>
        <v/>
      </c>
      <c r="F4771" s="4">
        <f>SUMIFS('Dubai Stock'!I:I,'Dubai Stock'!H:H,Final_UAE!B:B)</f>
        <v/>
      </c>
      <c r="H4771" s="8" t="e">
        <v>#N/A</v>
      </c>
      <c r="I4771" s="8" t="n"/>
    </row>
    <row r="4772">
      <c r="A4772" s="4" t="n">
        <v>33834</v>
      </c>
      <c r="B4772" s="4" t="inlineStr">
        <is>
          <t>costmon-ama-2022-p02-tan-sn0050</t>
        </is>
      </c>
      <c r="C4772" s="4" t="inlineStr">
        <is>
          <t>W00031886A</t>
        </is>
      </c>
      <c r="D4772" s="6">
        <f>IF(F4772&gt;=5, F4772-5, IF(F4772&lt;5, 0, F4772))</f>
        <v/>
      </c>
      <c r="E4772">
        <f>VLOOKUP(B4772,[1]Namshi!$A:$B,2,0)</f>
        <v/>
      </c>
      <c r="F4772" s="4">
        <f>SUMIFS('Dubai Stock'!I:I,'Dubai Stock'!H:H,Final_UAE!B:B)</f>
        <v/>
      </c>
      <c r="H4772" s="8" t="e">
        <v>#N/A</v>
      </c>
      <c r="I4772" s="8" t="n"/>
    </row>
    <row r="4773">
      <c r="A4773" s="4" t="n">
        <v>33834</v>
      </c>
      <c r="B4773" s="4" t="inlineStr">
        <is>
          <t>clstdai-acu-oasy-p90-sn0250</t>
        </is>
      </c>
      <c r="C4773" s="4" t="inlineStr">
        <is>
          <t>W00031886A</t>
        </is>
      </c>
      <c r="D4773" s="6">
        <f>IF(F4773&gt;=5, F4773-5, IF(F4773&lt;5, 0, F4773))</f>
        <v/>
      </c>
      <c r="E4773">
        <f>VLOOKUP(B4773,[1]Namshi!$A:$B,2,0)</f>
        <v/>
      </c>
      <c r="F4773" s="4">
        <f>SUMIFS('Dubai Stock'!I:I,'Dubai Stock'!H:H,Final_UAE!B:B)</f>
        <v/>
      </c>
      <c r="H4773" s="8" t="e">
        <v>#N/A</v>
      </c>
      <c r="I4773" s="8" t="n"/>
    </row>
    <row r="4774">
      <c r="A4774" s="4" t="n">
        <v>33834</v>
      </c>
      <c r="B4774" s="4" t="inlineStr">
        <is>
          <t>sw32404-bla-000255-2404-52</t>
        </is>
      </c>
      <c r="C4774" s="4" t="inlineStr">
        <is>
          <t>W00031886A</t>
        </is>
      </c>
      <c r="D4774" s="6">
        <f>IF(F4774&gt;=5, F4774-5, IF(F4774&lt;5, 0, F4774))</f>
        <v/>
      </c>
      <c r="E4774">
        <f>VLOOKUP(B4774,[1]Namshi!$A:$B,2,0)</f>
        <v/>
      </c>
      <c r="F4774" s="4">
        <f>SUMIFS('Dubai Stock'!I:I,'Dubai Stock'!H:H,Final_UAE!B:B)</f>
        <v/>
      </c>
      <c r="H4774" s="8" t="e">
        <v>#N/A</v>
      </c>
    </row>
    <row r="4775">
      <c r="A4775" s="4" t="n">
        <v>33834</v>
      </c>
      <c r="B4775" s="4" t="inlineStr">
        <is>
          <t>cost3mo-lay-2020-p02-ash-gray-sn0600</t>
        </is>
      </c>
      <c r="C4775" s="4" t="inlineStr">
        <is>
          <t>W00031886A</t>
        </is>
      </c>
      <c r="D4775" s="6">
        <f>IF(F4775&gt;=5, F4775-5, IF(F4775&lt;5, 0, F4775))</f>
        <v/>
      </c>
      <c r="E4775">
        <f>VLOOKUP(B4775,[1]Namshi!$A:$B,2,0)</f>
        <v/>
      </c>
      <c r="F4775" s="4">
        <f>SUMIFS('Dubai Stock'!I:I,'Dubai Stock'!H:H,Final_UAE!B:B)</f>
        <v/>
      </c>
      <c r="H4775" s="8" t="e">
        <v>#N/A</v>
      </c>
      <c r="I4775" s="8" t="n"/>
    </row>
    <row r="4776">
      <c r="A4776" s="4" t="n">
        <v>33834</v>
      </c>
      <c r="B4776" s="4" t="inlineStr">
        <is>
          <t>clstmon-eve-prom-p06-sn1000</t>
        </is>
      </c>
      <c r="C4776" s="4" t="inlineStr">
        <is>
          <t>W00031886A</t>
        </is>
      </c>
      <c r="D4776" s="6">
        <f>IF(F4776&gt;=5, F4776-5, IF(F4776&lt;5, 0, F4776))</f>
        <v/>
      </c>
      <c r="E4776">
        <f>VLOOKUP(B4776,[1]Namshi!$A:$B,2,0)</f>
        <v/>
      </c>
      <c r="F4776" s="4">
        <f>SUMIFS('Dubai Stock'!I:I,'Dubai Stock'!H:H,Final_UAE!B:B)</f>
        <v/>
      </c>
      <c r="H4776" s="8" t="n">
        <v>212</v>
      </c>
      <c r="I4776" s="8" t="n">
        <v>111.3</v>
      </c>
    </row>
    <row r="4777">
      <c r="A4777" s="4" t="n">
        <v>33834</v>
      </c>
      <c r="B4777" s="4" t="inlineStr">
        <is>
          <t>clstbiw-acu-0002-p06-sp0700</t>
        </is>
      </c>
      <c r="C4777" s="4" t="inlineStr">
        <is>
          <t>W00031886A</t>
        </is>
      </c>
      <c r="D4777" s="6">
        <f>IF(F4777&gt;=5, F4777-5, IF(F4777&lt;5, 0, F4777))</f>
        <v/>
      </c>
      <c r="E4777">
        <f>VLOOKUP(B4777,[1]Namshi!$A:$B,2,0)</f>
        <v/>
      </c>
      <c r="F4777" s="4">
        <f>SUMIFS('Dubai Stock'!I:I,'Dubai Stock'!H:H,Final_UAE!B:B)</f>
        <v/>
      </c>
      <c r="H4777" s="8" t="e">
        <v>#N/A</v>
      </c>
      <c r="I4777" s="8" t="n"/>
    </row>
    <row r="4778">
      <c r="A4778" s="4" t="n">
        <v>33834</v>
      </c>
      <c r="B4778" s="4" t="inlineStr">
        <is>
          <t>sw30107-30s-000239-0101-53</t>
        </is>
      </c>
      <c r="C4778" s="4" t="inlineStr">
        <is>
          <t>W00031886A</t>
        </is>
      </c>
      <c r="D4778" s="6">
        <f>IF(F4778&gt;=5, F4778-5, IF(F4778&lt;5, 0, F4778))</f>
        <v/>
      </c>
      <c r="E4778">
        <f>VLOOKUP(B4778,[1]Namshi!$A:$B,2,0)</f>
        <v/>
      </c>
      <c r="F4778" s="4">
        <f>SUMIFS('Dubai Stock'!I:I,'Dubai Stock'!H:H,Final_UAE!B:B)</f>
        <v/>
      </c>
      <c r="H4778" s="8" t="e">
        <v>#N/A</v>
      </c>
    </row>
    <row r="4779">
      <c r="A4779" s="4" t="n">
        <v>33834</v>
      </c>
      <c r="B4779" s="4" t="inlineStr">
        <is>
          <t>su41707-rov-8203-13-14-58</t>
        </is>
      </c>
      <c r="C4779" s="4" t="inlineStr">
        <is>
          <t>W00031886A</t>
        </is>
      </c>
      <c r="D4779" s="6">
        <f>IF(F4779&gt;=5, F4779-5, IF(F4779&lt;5, 0, F4779))</f>
        <v/>
      </c>
      <c r="E4779">
        <f>VLOOKUP(B4779,[1]Namshi!$A:$B,2,0)</f>
        <v/>
      </c>
      <c r="F4779" s="4">
        <f>SUMIFS('Dubai Stock'!I:I,'Dubai Stock'!H:H,Final_UAE!B:B)</f>
        <v/>
      </c>
      <c r="H4779" s="8" t="e">
        <v>#N/A</v>
      </c>
      <c r="I4779" s="8" t="n"/>
    </row>
    <row r="4780">
      <c r="A4780" s="4" t="n">
        <v>33834</v>
      </c>
      <c r="B4780" s="4" t="inlineStr">
        <is>
          <t>clstdai-acu-omax-p90-sn0800</t>
        </is>
      </c>
      <c r="C4780" s="4" t="inlineStr">
        <is>
          <t>W00031886A</t>
        </is>
      </c>
      <c r="D4780" s="6">
        <f>IF(F4780&gt;=5, F4780-5, IF(F4780&lt;5, 0, F4780))</f>
        <v/>
      </c>
      <c r="E4780">
        <f>VLOOKUP(B4780,[1]Namshi!$A:$B,2,0)</f>
        <v/>
      </c>
      <c r="F4780" s="4">
        <f>SUMIFS('Dubai Stock'!I:I,'Dubai Stock'!H:H,Final_UAE!B:B)</f>
        <v/>
      </c>
      <c r="H4780" s="8" t="e">
        <v>#N/A</v>
      </c>
      <c r="I4780" s="8" t="n"/>
    </row>
    <row r="4781">
      <c r="A4781" s="4" t="n">
        <v>33834</v>
      </c>
      <c r="B4781" s="4" t="inlineStr">
        <is>
          <t>clstdai-eve-pure-p30-sn0250</t>
        </is>
      </c>
      <c r="C4781" s="4" t="inlineStr">
        <is>
          <t>W00031886A</t>
        </is>
      </c>
      <c r="D4781" s="6">
        <f>IF(F4781&gt;=5, F4781-5, IF(F4781&lt;5, 0, F4781))</f>
        <v/>
      </c>
      <c r="E4781">
        <f>VLOOKUP(B4781,[1]Namshi!$A:$B,2,0)</f>
        <v/>
      </c>
      <c r="F4781" s="4">
        <f>SUMIFS('Dubai Stock'!I:I,'Dubai Stock'!H:H,Final_UAE!B:B)</f>
        <v/>
      </c>
      <c r="H4781" s="8" t="n">
        <v>186</v>
      </c>
      <c r="I4781" s="8" t="n">
        <v>104.3</v>
      </c>
    </row>
    <row r="4782">
      <c r="A4782" s="4" t="n">
        <v>33834</v>
      </c>
      <c r="B4782" s="4" t="inlineStr">
        <is>
          <t>fw72318-spc-000506-2300-50</t>
        </is>
      </c>
      <c r="C4782" s="4" t="inlineStr">
        <is>
          <t>W00031886A</t>
        </is>
      </c>
      <c r="D4782" s="6">
        <f>IF(F4782&gt;=5, F4782-5, IF(F4782&lt;5, 0, F4782))</f>
        <v/>
      </c>
      <c r="E4782">
        <f>VLOOKUP(B4782,[1]Namshi!$A:$B,2,0)</f>
        <v/>
      </c>
      <c r="F4782" s="4">
        <f>SUMIFS('Dubai Stock'!I:I,'Dubai Stock'!H:H,Final_UAE!B:B)</f>
        <v/>
      </c>
      <c r="H4782" s="8" t="e">
        <v>#N/A</v>
      </c>
      <c r="I4782" s="8" t="n"/>
    </row>
    <row r="4783">
      <c r="A4783" s="4" t="n">
        <v>33834</v>
      </c>
      <c r="B4783" s="4" t="inlineStr">
        <is>
          <t>su50504-bla-000103-2904-58</t>
        </is>
      </c>
      <c r="C4783" s="4" t="inlineStr">
        <is>
          <t>W00031886A</t>
        </is>
      </c>
      <c r="D4783" s="6">
        <f>IF(F4783&gt;=5, F4783-5, IF(F4783&lt;5, 0, F4783))</f>
        <v/>
      </c>
      <c r="E4783">
        <f>VLOOKUP(B4783,[1]Namshi!$A:$B,2,0)</f>
        <v/>
      </c>
      <c r="F4783" s="4">
        <f>SUMIFS('Dubai Stock'!I:I,'Dubai Stock'!H:H,Final_UAE!B:B)</f>
        <v/>
      </c>
      <c r="H4783" s="8" t="e">
        <v>#N/A</v>
      </c>
    </row>
    <row r="4784">
      <c r="A4784" s="4" t="n">
        <v>33834</v>
      </c>
      <c r="B4784" s="4" t="inlineStr">
        <is>
          <t>cost3mo-lay-lens-p02-crystal-brown-sn0225</t>
        </is>
      </c>
      <c r="C4784" s="4" t="inlineStr">
        <is>
          <t>W00031886A</t>
        </is>
      </c>
      <c r="D4784" s="6">
        <f>IF(F4784&gt;=5, F4784-5, IF(F4784&lt;5, 0, F4784))</f>
        <v/>
      </c>
      <c r="E4784">
        <f>VLOOKUP(B4784,[1]Namshi!$A:$B,2,0)</f>
        <v/>
      </c>
      <c r="F4784" s="4">
        <f>SUMIFS('Dubai Stock'!I:I,'Dubai Stock'!H:H,Final_UAE!B:B)</f>
        <v/>
      </c>
      <c r="H4784" s="8" t="e">
        <v>#N/A</v>
      </c>
      <c r="I4784" s="8" t="n"/>
    </row>
    <row r="4785">
      <c r="A4785" s="4" t="n">
        <v>33834</v>
      </c>
      <c r="B4785" s="4" t="inlineStr">
        <is>
          <t>costdai-ama-dail-p10-honey-sn0525</t>
        </is>
      </c>
      <c r="C4785" s="4" t="inlineStr">
        <is>
          <t>W00031886A</t>
        </is>
      </c>
      <c r="D4785" s="6">
        <f>IF(F4785&gt;=5, F4785-5, IF(F4785&lt;5, 0, F4785))</f>
        <v/>
      </c>
      <c r="E4785">
        <f>VLOOKUP(B4785,[1]Namshi!$A:$B,2,0)</f>
        <v/>
      </c>
      <c r="F4785" s="4">
        <f>SUMIFS('Dubai Stock'!I:I,'Dubai Stock'!H:H,Final_UAE!B:B)</f>
        <v/>
      </c>
      <c r="H4785" s="8" t="e">
        <v>#N/A</v>
      </c>
      <c r="I4785" s="8" t="n"/>
    </row>
    <row r="4786">
      <c r="A4786" s="4" t="n">
        <v>33834</v>
      </c>
      <c r="B4786" s="4" t="inlineStr">
        <is>
          <t>clstdai-acu-dfvi-p60-sn0650</t>
        </is>
      </c>
      <c r="C4786" s="4" t="inlineStr">
        <is>
          <t>W00031886A</t>
        </is>
      </c>
      <c r="D4786" s="6">
        <f>IF(F4786&gt;=5, F4786-5, IF(F4786&lt;5, 0, F4786))</f>
        <v/>
      </c>
      <c r="E4786">
        <f>VLOOKUP(B4786,[1]Namshi!$A:$B,2,0)</f>
        <v/>
      </c>
      <c r="F4786" s="4">
        <f>SUMIFS('Dubai Stock'!I:I,'Dubai Stock'!H:H,Final_UAE!B:B)</f>
        <v/>
      </c>
      <c r="H4786" s="8" t="e">
        <v>#N/A</v>
      </c>
      <c r="I4786" s="8" t="n"/>
    </row>
    <row r="4787">
      <c r="A4787" s="4" t="n">
        <v>33834</v>
      </c>
      <c r="B4787" s="4" t="inlineStr">
        <is>
          <t>clstdai-dai-tot1-p30-sn0525</t>
        </is>
      </c>
      <c r="C4787" s="4" t="inlineStr">
        <is>
          <t>W00031886A</t>
        </is>
      </c>
      <c r="D4787" s="6">
        <f>IF(F4787&gt;=5, F4787-5, IF(F4787&lt;5, 0, F4787))</f>
        <v/>
      </c>
      <c r="E4787">
        <f>VLOOKUP(B4787,[1]Namshi!$A:$B,2,0)</f>
        <v/>
      </c>
      <c r="F4787" s="4">
        <f>SUMIFS('Dubai Stock'!I:I,'Dubai Stock'!H:H,Final_UAE!B:B)</f>
        <v/>
      </c>
      <c r="H4787" s="8" t="e">
        <v>#N/A</v>
      </c>
      <c r="I4787" s="8" t="n"/>
    </row>
    <row r="4788">
      <c r="A4788" s="4" t="n">
        <v>33834</v>
      </c>
      <c r="B4788" s="4" t="inlineStr">
        <is>
          <t>cost3mo-lay-lens-p02-ocean-blue-sn0500</t>
        </is>
      </c>
      <c r="C4788" s="4" t="inlineStr">
        <is>
          <t>W00031886A</t>
        </is>
      </c>
      <c r="D4788" s="6">
        <f>IF(F4788&gt;=5, F4788-5, IF(F4788&lt;5, 0, F4788))</f>
        <v/>
      </c>
      <c r="E4788">
        <f>VLOOKUP(B4788,[1]Namshi!$A:$B,2,0)</f>
        <v/>
      </c>
      <c r="F4788" s="4">
        <f>SUMIFS('Dubai Stock'!I:I,'Dubai Stock'!H:H,Final_UAE!B:B)</f>
        <v/>
      </c>
      <c r="H4788" s="8" t="e">
        <v>#N/A</v>
      </c>
      <c r="I4788" s="8" t="n"/>
    </row>
    <row r="4789">
      <c r="A4789" s="4" t="n">
        <v>33834</v>
      </c>
      <c r="B4789" s="4" t="inlineStr">
        <is>
          <t>costmon-ama-2024-p02-nmr-sn0200</t>
        </is>
      </c>
      <c r="C4789" s="4" t="inlineStr">
        <is>
          <t>W00031886A</t>
        </is>
      </c>
      <c r="D4789" s="6">
        <f>IF(F4789&gt;=5, F4789-5, IF(F4789&lt;5, 0, F4789))</f>
        <v/>
      </c>
      <c r="E4789">
        <f>VLOOKUP(B4789,[1]Namshi!$A:$B,2,0)</f>
        <v/>
      </c>
      <c r="F4789" s="4">
        <f>SUMIFS('Dubai Stock'!I:I,'Dubai Stock'!H:H,Final_UAE!B:B)</f>
        <v/>
      </c>
      <c r="H4789" s="8" t="e">
        <v>#N/A</v>
      </c>
      <c r="I4789" s="8" t="n"/>
    </row>
    <row r="4790">
      <c r="A4790" s="4" t="n">
        <v>33834</v>
      </c>
      <c r="B4790" s="4" t="inlineStr">
        <is>
          <t>cost3mo-lay-2024-p02-terra-brown-sn0300</t>
        </is>
      </c>
      <c r="C4790" s="4" t="inlineStr">
        <is>
          <t>W00031886A</t>
        </is>
      </c>
      <c r="D4790" s="6">
        <f>IF(F4790&gt;=5, F4790-5, IF(F4790&lt;5, 0, F4790))</f>
        <v/>
      </c>
      <c r="E4790">
        <f>VLOOKUP(B4790,[1]Namshi!$A:$B,2,0)</f>
        <v/>
      </c>
      <c r="F4790" s="4">
        <f>SUMIFS('Dubai Stock'!I:I,'Dubai Stock'!H:H,Final_UAE!B:B)</f>
        <v/>
      </c>
      <c r="H4790" s="8" t="e">
        <v>#N/A</v>
      </c>
      <c r="I4790" s="8" t="n"/>
    </row>
    <row r="4791">
      <c r="A4791" s="4" t="n">
        <v>33834</v>
      </c>
      <c r="B4791" s="4" t="inlineStr">
        <is>
          <t>clstdai-dai-aqua-p90-sn0750</t>
        </is>
      </c>
      <c r="C4791" s="4" t="inlineStr">
        <is>
          <t>W00031886A</t>
        </is>
      </c>
      <c r="D4791" s="6">
        <f>IF(F4791&gt;=5, F4791-5, IF(F4791&lt;5, 0, F4791))</f>
        <v/>
      </c>
      <c r="E4791">
        <f>VLOOKUP(B4791,[1]Namshi!$A:$B,2,0)</f>
        <v/>
      </c>
      <c r="F4791" s="4">
        <f>SUMIFS('Dubai Stock'!I:I,'Dubai Stock'!H:H,Final_UAE!B:B)</f>
        <v/>
      </c>
      <c r="H4791" s="8" t="e">
        <v>#N/A</v>
      </c>
      <c r="I4791" s="8" t="n"/>
    </row>
    <row r="4792">
      <c r="A4792" s="4" t="n">
        <v>33834</v>
      </c>
      <c r="B4792" s="4" t="inlineStr">
        <is>
          <t>sw50707-bla-000100-0707-62</t>
        </is>
      </c>
      <c r="C4792" s="4" t="inlineStr">
        <is>
          <t>W00031886A</t>
        </is>
      </c>
      <c r="D4792" s="6">
        <f>IF(F4792&gt;=5, F4792-5, IF(F4792&lt;5, 0, F4792))</f>
        <v/>
      </c>
      <c r="E4792">
        <f>VLOOKUP(B4792,[1]Namshi!$A:$B,2,0)</f>
        <v/>
      </c>
      <c r="F4792" s="4">
        <f>SUMIFS('Dubai Stock'!I:I,'Dubai Stock'!H:H,Final_UAE!B:B)</f>
        <v/>
      </c>
      <c r="H4792" s="8" t="e">
        <v>#N/A</v>
      </c>
    </row>
    <row r="4793">
      <c r="A4793" s="4" t="n">
        <v>33834</v>
      </c>
      <c r="B4793" s="4" t="inlineStr">
        <is>
          <t>clstdai-acu-omax-p90-sn1150</t>
        </is>
      </c>
      <c r="C4793" s="4" t="inlineStr">
        <is>
          <t>W00031886A</t>
        </is>
      </c>
      <c r="D4793" s="6">
        <f>IF(F4793&gt;=5, F4793-5, IF(F4793&lt;5, 0, F4793))</f>
        <v/>
      </c>
      <c r="E4793">
        <f>VLOOKUP(B4793,[1]Namshi!$A:$B,2,0)</f>
        <v/>
      </c>
      <c r="F4793" s="4">
        <f>SUMIFS('Dubai Stock'!I:I,'Dubai Stock'!H:H,Final_UAE!B:B)</f>
        <v/>
      </c>
      <c r="H4793" s="8" t="e">
        <v>#N/A</v>
      </c>
      <c r="I4793" s="8" t="n"/>
    </row>
    <row r="4794">
      <c r="A4794" s="4" t="n">
        <v>33834</v>
      </c>
      <c r="B4794" s="4" t="inlineStr">
        <is>
          <t>costdai-ama-dail-p10-sugar-sn0225</t>
        </is>
      </c>
      <c r="C4794" s="4" t="inlineStr">
        <is>
          <t>W00031886A</t>
        </is>
      </c>
      <c r="D4794" s="6">
        <f>IF(F4794&gt;=5, F4794-5, IF(F4794&lt;5, 0, F4794))</f>
        <v/>
      </c>
      <c r="E4794">
        <f>VLOOKUP(B4794,[1]Namshi!$A:$B,2,0)</f>
        <v/>
      </c>
      <c r="F4794" s="4">
        <f>SUMIFS('Dubai Stock'!I:I,'Dubai Stock'!H:H,Final_UAE!B:B)</f>
        <v/>
      </c>
      <c r="H4794" s="8" t="e">
        <v>#N/A</v>
      </c>
      <c r="I4794" s="8" t="n"/>
    </row>
    <row r="4795">
      <c r="A4795" s="4" t="n">
        <v>33834</v>
      </c>
      <c r="B4795" s="4" t="inlineStr">
        <is>
          <t>clstdai-lay-cont-p30-dazzle-black-sn0075</t>
        </is>
      </c>
      <c r="C4795" s="4" t="inlineStr">
        <is>
          <t>W00031886A</t>
        </is>
      </c>
      <c r="D4795" s="6">
        <f>IF(F4795&gt;=5, F4795-5, IF(F4795&lt;5, 0, F4795))</f>
        <v/>
      </c>
      <c r="E4795">
        <f>VLOOKUP(B4795,[1]Namshi!$A:$B,2,0)</f>
        <v/>
      </c>
      <c r="F4795" s="4">
        <f>SUMIFS('Dubai Stock'!I:I,'Dubai Stock'!H:H,Final_UAE!B:B)</f>
        <v/>
      </c>
      <c r="H4795" s="8" t="e">
        <v>#N/A</v>
      </c>
      <c r="I4795" s="8" t="n"/>
    </row>
    <row r="4796">
      <c r="A4796" s="4" t="n">
        <v>33834</v>
      </c>
      <c r="B4796" s="4" t="inlineStr">
        <is>
          <t>clstmon-ava-avai-p06-sn0175</t>
        </is>
      </c>
      <c r="C4796" s="4" t="inlineStr">
        <is>
          <t>W00031886A</t>
        </is>
      </c>
      <c r="D4796" s="6">
        <f>IF(F4796&gt;=5, F4796-5, IF(F4796&lt;5, 0, F4796))</f>
        <v/>
      </c>
      <c r="E4796">
        <f>VLOOKUP(B4796,[1]Namshi!$A:$B,2,0)</f>
        <v/>
      </c>
      <c r="F4796" s="4">
        <f>SUMIFS('Dubai Stock'!I:I,'Dubai Stock'!H:H,Final_UAE!B:B)</f>
        <v/>
      </c>
      <c r="H4796" s="8" t="e">
        <v>#N/A</v>
      </c>
      <c r="I4796" s="8" t="n"/>
    </row>
    <row r="4797">
      <c r="A4797" s="4" t="n">
        <v>33834</v>
      </c>
      <c r="B4797" s="4" t="inlineStr">
        <is>
          <t>clstdai-acu-omax-p90-sp0100</t>
        </is>
      </c>
      <c r="C4797" s="4" t="inlineStr">
        <is>
          <t>W00031886A</t>
        </is>
      </c>
      <c r="D4797" s="6">
        <f>IF(F4797&gt;=5, F4797-5, IF(F4797&lt;5, 0, F4797))</f>
        <v/>
      </c>
      <c r="E4797">
        <f>VLOOKUP(B4797,[1]Namshi!$A:$B,2,0)</f>
        <v/>
      </c>
      <c r="F4797" s="4">
        <f>SUMIFS('Dubai Stock'!I:I,'Dubai Stock'!H:H,Final_UAE!B:B)</f>
        <v/>
      </c>
      <c r="H4797" s="8" t="e">
        <v>#N/A</v>
      </c>
      <c r="I4797" s="8" t="n"/>
    </row>
    <row r="4798">
      <c r="A4798" s="4" t="n">
        <v>33834</v>
      </c>
      <c r="B4798" s="4" t="inlineStr">
        <is>
          <t>sw50107-30s-000276-0101-53</t>
        </is>
      </c>
      <c r="C4798" s="4" t="inlineStr">
        <is>
          <t>W00031886A</t>
        </is>
      </c>
      <c r="D4798" s="6">
        <f>IF(F4798&gt;=5, F4798-5, IF(F4798&lt;5, 0, F4798))</f>
        <v/>
      </c>
      <c r="E4798">
        <f>VLOOKUP(B4798,[1]Namshi!$A:$B,2,0)</f>
        <v/>
      </c>
      <c r="F4798" s="4">
        <f>SUMIFS('Dubai Stock'!I:I,'Dubai Stock'!H:H,Final_UAE!B:B)</f>
        <v/>
      </c>
      <c r="H4798" s="8" t="e">
        <v>#N/A</v>
      </c>
    </row>
    <row r="4799">
      <c r="A4799" s="4" t="n">
        <v>33834</v>
      </c>
      <c r="B4799" s="4" t="inlineStr">
        <is>
          <t>sm12906-30s-000256-2906-57</t>
        </is>
      </c>
      <c r="C4799" s="4" t="inlineStr">
        <is>
          <t>W00031886A</t>
        </is>
      </c>
      <c r="D4799" s="6">
        <f>IF(F4799&gt;=5, F4799-5, IF(F4799&lt;5, 0, F4799))</f>
        <v/>
      </c>
      <c r="E4799">
        <f>VLOOKUP(B4799,[1]Namshi!$A:$B,2,0)</f>
        <v/>
      </c>
      <c r="F4799" s="4">
        <f>SUMIFS('Dubai Stock'!I:I,'Dubai Stock'!H:H,Final_UAE!B:B)</f>
        <v/>
      </c>
      <c r="H4799" s="8" t="e">
        <v>#N/A</v>
      </c>
    </row>
    <row r="4800">
      <c r="A4800" s="4" t="n">
        <v>33834</v>
      </c>
      <c r="B4800" s="4" t="inlineStr">
        <is>
          <t>sw30202-30s-000270-0202-53</t>
        </is>
      </c>
      <c r="C4800" s="4" t="inlineStr">
        <is>
          <t>W00031886A</t>
        </is>
      </c>
      <c r="D4800" s="6">
        <f>IF(F4800&gt;=5, F4800-5, IF(F4800&lt;5, 0, F4800))</f>
        <v/>
      </c>
      <c r="E4800">
        <f>VLOOKUP(B4800,[1]Namshi!$A:$B,2,0)</f>
        <v/>
      </c>
      <c r="F4800" s="4">
        <f>SUMIFS('Dubai Stock'!I:I,'Dubai Stock'!H:H,Final_UAE!B:B)</f>
        <v/>
      </c>
      <c r="H4800" s="8" t="e">
        <v>#N/A</v>
      </c>
    </row>
    <row r="4801">
      <c r="A4801" s="4" t="n">
        <v>33834</v>
      </c>
      <c r="B4801" s="4" t="inlineStr">
        <is>
          <t>sm21406-30s-000293-1406p-52</t>
        </is>
      </c>
      <c r="C4801" s="4" t="inlineStr">
        <is>
          <t>W00031886A</t>
        </is>
      </c>
      <c r="D4801" s="6">
        <f>IF(F4801&gt;=5, F4801-5, IF(F4801&lt;5, 0, F4801))</f>
        <v/>
      </c>
      <c r="E4801">
        <f>VLOOKUP(B4801,[1]Namshi!$A:$B,2,0)</f>
        <v/>
      </c>
      <c r="F4801" s="4">
        <f>SUMIFS('Dubai Stock'!I:I,'Dubai Stock'!H:H,Final_UAE!B:B)</f>
        <v/>
      </c>
      <c r="H4801" s="8" t="e">
        <v>#N/A</v>
      </c>
    </row>
    <row r="4802">
      <c r="A4802" s="4" t="n">
        <v>33834</v>
      </c>
      <c r="B4802" s="4" t="inlineStr">
        <is>
          <t>clstbiw-acu-0002-p12-sn0450</t>
        </is>
      </c>
      <c r="C4802" s="4" t="inlineStr">
        <is>
          <t>W00031886A</t>
        </is>
      </c>
      <c r="D4802" s="6">
        <f>IF(F4802&gt;=5, F4802-5, IF(F4802&lt;5, 0, F4802))</f>
        <v/>
      </c>
      <c r="E4802">
        <f>VLOOKUP(B4802,[1]Namshi!$A:$B,2,0)</f>
        <v/>
      </c>
      <c r="F4802" s="4">
        <f>SUMIFS('Dubai Stock'!I:I,'Dubai Stock'!H:H,Final_UAE!B:B)</f>
        <v/>
      </c>
      <c r="H4802" s="8" t="e">
        <v>#N/A</v>
      </c>
      <c r="I4802" s="8" t="n"/>
    </row>
    <row r="4803">
      <c r="A4803" s="4" t="n">
        <v>33834</v>
      </c>
      <c r="B4803" s="4" t="inlineStr">
        <is>
          <t>clstdai-eve-elit-p30-sp0450</t>
        </is>
      </c>
      <c r="C4803" s="4" t="inlineStr">
        <is>
          <t>W00031886A</t>
        </is>
      </c>
      <c r="D4803" s="6">
        <f>IF(F4803&gt;=5, F4803-5, IF(F4803&lt;5, 0, F4803))</f>
        <v/>
      </c>
      <c r="E4803">
        <f>VLOOKUP(B4803,[1]Namshi!$A:$B,2,0)</f>
        <v/>
      </c>
      <c r="F4803" s="4">
        <f>SUMIFS('Dubai Stock'!I:I,'Dubai Stock'!H:H,Final_UAE!B:B)</f>
        <v/>
      </c>
      <c r="H4803" s="8" t="n">
        <v>261</v>
      </c>
      <c r="I4803" s="8" t="n">
        <v>146.3</v>
      </c>
    </row>
    <row r="4804">
      <c r="A4804" s="4" t="n">
        <v>33834</v>
      </c>
      <c r="B4804" s="4" t="inlineStr">
        <is>
          <t>clstdai-lay-cont-p30-dazzle-black-sn0850</t>
        </is>
      </c>
      <c r="C4804" s="4" t="inlineStr">
        <is>
          <t>W00031886A</t>
        </is>
      </c>
      <c r="D4804" s="6">
        <f>IF(F4804&gt;=5, F4804-5, IF(F4804&lt;5, 0, F4804))</f>
        <v/>
      </c>
      <c r="E4804">
        <f>VLOOKUP(B4804,[1]Namshi!$A:$B,2,0)</f>
        <v/>
      </c>
      <c r="F4804" s="4">
        <f>SUMIFS('Dubai Stock'!I:I,'Dubai Stock'!H:H,Final_UAE!B:B)</f>
        <v/>
      </c>
      <c r="H4804" s="8" t="e">
        <v>#N/A</v>
      </c>
      <c r="I4804" s="8" t="n"/>
    </row>
    <row r="4805">
      <c r="A4805" s="4" t="n">
        <v>33834</v>
      </c>
      <c r="B4805" s="4" t="inlineStr">
        <is>
          <t>cost3mo-lay-2022-p02-crescent-gray-sn0125</t>
        </is>
      </c>
      <c r="C4805" s="4" t="inlineStr">
        <is>
          <t>W00031886A</t>
        </is>
      </c>
      <c r="D4805" s="6">
        <f>IF(F4805&gt;=5, F4805-5, IF(F4805&lt;5, 0, F4805))</f>
        <v/>
      </c>
      <c r="E4805">
        <f>VLOOKUP(B4805,[1]Namshi!$A:$B,2,0)</f>
        <v/>
      </c>
      <c r="F4805" s="4">
        <f>SUMIFS('Dubai Stock'!I:I,'Dubai Stock'!H:H,Final_UAE!B:B)</f>
        <v/>
      </c>
      <c r="H4805" s="8" t="e">
        <v>#N/A</v>
      </c>
      <c r="I4805" s="8" t="n"/>
    </row>
    <row r="4806">
      <c r="A4806" s="4" t="n">
        <v>33834</v>
      </c>
      <c r="B4806" s="4" t="inlineStr">
        <is>
          <t>sm50104-30s-000278-0104-54</t>
        </is>
      </c>
      <c r="C4806" s="4" t="inlineStr">
        <is>
          <t>W00031886A</t>
        </is>
      </c>
      <c r="D4806" s="6">
        <f>IF(F4806&gt;=5, F4806-5, IF(F4806&lt;5, 0, F4806))</f>
        <v/>
      </c>
      <c r="E4806">
        <f>VLOOKUP(B4806,[1]Namshi!$A:$B,2,0)</f>
        <v/>
      </c>
      <c r="F4806" s="4">
        <f>SUMIFS('Dubai Stock'!I:I,'Dubai Stock'!H:H,Final_UAE!B:B)</f>
        <v/>
      </c>
      <c r="H4806" s="8" t="e">
        <v>#N/A</v>
      </c>
    </row>
    <row r="4807">
      <c r="A4807" s="4" t="n">
        <v>33834</v>
      </c>
      <c r="B4807" s="4" t="inlineStr">
        <is>
          <t>su40707-rov-8203-12-41-58</t>
        </is>
      </c>
      <c r="C4807" s="4" t="inlineStr">
        <is>
          <t>W00031886A</t>
        </is>
      </c>
      <c r="D4807" s="6">
        <f>IF(F4807&gt;=5, F4807-5, IF(F4807&lt;5, 0, F4807))</f>
        <v/>
      </c>
      <c r="E4807">
        <f>VLOOKUP(B4807,[1]Namshi!$A:$B,2,0)</f>
        <v/>
      </c>
      <c r="F4807" s="4">
        <f>SUMIFS('Dubai Stock'!I:I,'Dubai Stock'!H:H,Final_UAE!B:B)</f>
        <v/>
      </c>
      <c r="H4807" s="8" t="e">
        <v>#N/A</v>
      </c>
      <c r="I4807" s="8" t="n"/>
    </row>
    <row r="4808">
      <c r="A4808" s="4" t="n">
        <v>33834</v>
      </c>
      <c r="B4808" s="4" t="inlineStr">
        <is>
          <t>clstdai-eve-elit-p90-sn0575</t>
        </is>
      </c>
      <c r="C4808" s="4" t="inlineStr">
        <is>
          <t>W00031886A</t>
        </is>
      </c>
      <c r="D4808" s="6">
        <f>IF(F4808&gt;=5, F4808-5, IF(F4808&lt;5, 0, F4808))</f>
        <v/>
      </c>
      <c r="E4808">
        <f>VLOOKUP(B4808,[1]Namshi!$A:$B,2,0)</f>
        <v/>
      </c>
      <c r="F4808" s="4">
        <f>SUMIFS('Dubai Stock'!I:I,'Dubai Stock'!H:H,Final_UAE!B:B)</f>
        <v/>
      </c>
      <c r="H4808" s="8" t="n">
        <v>729</v>
      </c>
      <c r="I4808" s="8" t="n">
        <v>357</v>
      </c>
    </row>
    <row r="4809">
      <c r="A4809" s="4" t="n">
        <v>33834</v>
      </c>
      <c r="B4809" s="4" t="inlineStr">
        <is>
          <t>clstmon-eve-prom-p06-sn0550</t>
        </is>
      </c>
      <c r="C4809" s="4" t="inlineStr">
        <is>
          <t>W00031886A</t>
        </is>
      </c>
      <c r="D4809" s="6">
        <f>IF(F4809&gt;=5, F4809-5, IF(F4809&lt;5, 0, F4809))</f>
        <v/>
      </c>
      <c r="E4809">
        <f>VLOOKUP(B4809,[1]Namshi!$A:$B,2,0)</f>
        <v/>
      </c>
      <c r="F4809" s="4">
        <f>SUMIFS('Dubai Stock'!I:I,'Dubai Stock'!H:H,Final_UAE!B:B)</f>
        <v/>
      </c>
      <c r="H4809" s="8" t="n">
        <v>212</v>
      </c>
      <c r="I4809" s="8" t="n">
        <v>111.3</v>
      </c>
    </row>
    <row r="4810">
      <c r="A4810" s="4" t="n">
        <v>33834</v>
      </c>
      <c r="B4810" s="4" t="inlineStr">
        <is>
          <t>clstmon-eve-prom-p06-sn0300</t>
        </is>
      </c>
      <c r="C4810" s="4" t="inlineStr">
        <is>
          <t>W00031886A</t>
        </is>
      </c>
      <c r="D4810" s="6">
        <f>IF(F4810&gt;=5, F4810-5, IF(F4810&lt;5, 0, F4810))</f>
        <v/>
      </c>
      <c r="E4810">
        <f>VLOOKUP(B4810,[1]Namshi!$A:$B,2,0)</f>
        <v/>
      </c>
      <c r="F4810" s="4">
        <f>SUMIFS('Dubai Stock'!I:I,'Dubai Stock'!H:H,Final_UAE!B:B)</f>
        <v/>
      </c>
      <c r="H4810" s="8" t="n">
        <v>212</v>
      </c>
      <c r="I4810" s="8" t="n">
        <v>111.3</v>
      </c>
    </row>
    <row r="4811">
      <c r="A4811" s="4" t="n">
        <v>33834</v>
      </c>
      <c r="B4811" s="4" t="inlineStr">
        <is>
          <t>cost3mo-lay-lens-p02-golden-brown-sn0100</t>
        </is>
      </c>
      <c r="C4811" s="4" t="inlineStr">
        <is>
          <t>W00031886A</t>
        </is>
      </c>
      <c r="D4811" s="6">
        <f>IF(F4811&gt;=5, F4811-5, IF(F4811&lt;5, 0, F4811))</f>
        <v/>
      </c>
      <c r="E4811">
        <f>VLOOKUP(B4811,[1]Namshi!$A:$B,2,0)</f>
        <v/>
      </c>
      <c r="F4811" s="4">
        <f>SUMIFS('Dubai Stock'!I:I,'Dubai Stock'!H:H,Final_UAE!B:B)</f>
        <v/>
      </c>
      <c r="H4811" s="8" t="e">
        <v>#N/A</v>
      </c>
      <c r="I4811" s="8" t="n"/>
    </row>
    <row r="4812">
      <c r="A4812" s="4" t="n">
        <v>33834</v>
      </c>
      <c r="B4812" s="4" t="inlineStr">
        <is>
          <t>clstdai-acu-dfrb-p30-sn0700</t>
        </is>
      </c>
      <c r="C4812" s="4" t="inlineStr">
        <is>
          <t>W00031886A</t>
        </is>
      </c>
      <c r="D4812" s="6">
        <f>IF(F4812&gt;=5, F4812-5, IF(F4812&lt;5, 0, F4812))</f>
        <v/>
      </c>
      <c r="E4812">
        <f>VLOOKUP(B4812,[1]Namshi!$A:$B,2,0)</f>
        <v/>
      </c>
      <c r="F4812" s="4">
        <f>SUMIFS('Dubai Stock'!I:I,'Dubai Stock'!H:H,Final_UAE!B:B)</f>
        <v/>
      </c>
      <c r="H4812" s="8" t="e">
        <v>#N/A</v>
      </c>
      <c r="I4812" s="8" t="n"/>
    </row>
    <row r="4813">
      <c r="A4813" s="4" t="n">
        <v>33834</v>
      </c>
      <c r="B4813" s="4" t="inlineStr">
        <is>
          <t>clstdai-sof-sdai-p90-sp0300</t>
        </is>
      </c>
      <c r="C4813" s="4" t="inlineStr">
        <is>
          <t>W00031886A</t>
        </is>
      </c>
      <c r="D4813" s="6">
        <f>IF(F4813&gt;=5, F4813-5, IF(F4813&lt;5, 0, F4813))</f>
        <v/>
      </c>
      <c r="E4813">
        <f>VLOOKUP(B4813,[1]Namshi!$A:$B,2,0)</f>
        <v/>
      </c>
      <c r="F4813" s="4">
        <f>SUMIFS('Dubai Stock'!I:I,'Dubai Stock'!H:H,Final_UAE!B:B)</f>
        <v/>
      </c>
      <c r="H4813" s="8" t="e">
        <v>#N/A</v>
      </c>
      <c r="I4813" s="8" t="n"/>
    </row>
    <row r="4814">
      <c r="A4814" s="4" t="n">
        <v>33834</v>
      </c>
      <c r="B4814" s="4" t="inlineStr">
        <is>
          <t>cost3mo-cel-natu-p01-light-grey-sp0300</t>
        </is>
      </c>
      <c r="C4814" s="4" t="inlineStr">
        <is>
          <t>W00031886A</t>
        </is>
      </c>
      <c r="D4814" s="6">
        <f>IF(F4814&gt;=5, F4814-5, IF(F4814&lt;5, 0, F4814))</f>
        <v/>
      </c>
      <c r="E4814">
        <f>VLOOKUP(B4814,[1]Namshi!$A:$B,2,0)</f>
        <v/>
      </c>
      <c r="F4814" s="4">
        <f>SUMIFS('Dubai Stock'!I:I,'Dubai Stock'!H:H,Final_UAE!B:B)</f>
        <v/>
      </c>
      <c r="H4814" s="8" t="e">
        <v>#N/A</v>
      </c>
      <c r="I4814" s="8" t="n"/>
    </row>
    <row r="4815">
      <c r="A4815" s="4" t="n">
        <v>33834</v>
      </c>
      <c r="B4815" s="4" t="inlineStr">
        <is>
          <t>cost3mo-lay-lens-p02-ocean-blue-sn0225</t>
        </is>
      </c>
      <c r="C4815" s="4" t="inlineStr">
        <is>
          <t>W00031886A</t>
        </is>
      </c>
      <c r="D4815" s="6">
        <f>IF(F4815&gt;=5, F4815-5, IF(F4815&lt;5, 0, F4815))</f>
        <v/>
      </c>
      <c r="E4815">
        <f>VLOOKUP(B4815,[1]Namshi!$A:$B,2,0)</f>
        <v/>
      </c>
      <c r="F4815" s="4">
        <f>SUMIFS('Dubai Stock'!I:I,'Dubai Stock'!H:H,Final_UAE!B:B)</f>
        <v/>
      </c>
      <c r="H4815" s="8" t="e">
        <v>#N/A</v>
      </c>
      <c r="I4815" s="8" t="n"/>
    </row>
    <row r="4816">
      <c r="A4816" s="4" t="n">
        <v>33834</v>
      </c>
      <c r="B4816" s="4" t="inlineStr">
        <is>
          <t>cost3mo-lay-2022-p02-sage-gray-sn0250</t>
        </is>
      </c>
      <c r="C4816" s="4" t="inlineStr">
        <is>
          <t>W00031886A</t>
        </is>
      </c>
      <c r="D4816" s="6">
        <f>IF(F4816&gt;=5, F4816-5, IF(F4816&lt;5, 0, F4816))</f>
        <v/>
      </c>
      <c r="E4816">
        <f>VLOOKUP(B4816,[1]Namshi!$A:$B,2,0)</f>
        <v/>
      </c>
      <c r="F4816" s="4">
        <f>SUMIFS('Dubai Stock'!I:I,'Dubai Stock'!H:H,Final_UAE!B:B)</f>
        <v/>
      </c>
      <c r="H4816" s="8" t="e">
        <v>#N/A</v>
      </c>
      <c r="I4816" s="8" t="n"/>
    </row>
    <row r="4817">
      <c r="A4817" s="4" t="n">
        <v>33834</v>
      </c>
      <c r="B4817" s="4" t="inlineStr">
        <is>
          <t>clstdai-eve-elit-p90-sn0600</t>
        </is>
      </c>
      <c r="C4817" s="4" t="inlineStr">
        <is>
          <t>W00031886A</t>
        </is>
      </c>
      <c r="D4817" s="6">
        <f>IF(F4817&gt;=5, F4817-5, IF(F4817&lt;5, 0, F4817))</f>
        <v/>
      </c>
      <c r="E4817">
        <f>VLOOKUP(B4817,[1]Namshi!$A:$B,2,0)</f>
        <v/>
      </c>
      <c r="F4817" s="4">
        <f>SUMIFS('Dubai Stock'!I:I,'Dubai Stock'!H:H,Final_UAE!B:B)</f>
        <v/>
      </c>
      <c r="H4817" s="8" t="n">
        <v>729</v>
      </c>
      <c r="I4817" s="8" t="n">
        <v>357</v>
      </c>
    </row>
    <row r="4818">
      <c r="A4818" s="4" t="n">
        <v>33834</v>
      </c>
      <c r="B4818" s="4" t="inlineStr">
        <is>
          <t>clstdai-acu-omax-p30-sp0100</t>
        </is>
      </c>
      <c r="C4818" s="4" t="inlineStr">
        <is>
          <t>W00031886A</t>
        </is>
      </c>
      <c r="D4818" s="6">
        <f>IF(F4818&gt;=5, F4818-5, IF(F4818&lt;5, 0, F4818))</f>
        <v/>
      </c>
      <c r="E4818">
        <f>VLOOKUP(B4818,[1]Namshi!$A:$B,2,0)</f>
        <v/>
      </c>
      <c r="F4818" s="4">
        <f>SUMIFS('Dubai Stock'!I:I,'Dubai Stock'!H:H,Final_UAE!B:B)</f>
        <v/>
      </c>
      <c r="H4818" s="8" t="e">
        <v>#N/A</v>
      </c>
      <c r="I4818" s="8" t="n"/>
    </row>
    <row r="4819">
      <c r="A4819" s="4" t="n">
        <v>33834</v>
      </c>
      <c r="B4819" s="4" t="inlineStr">
        <is>
          <t>sm12906-30s-000254-2906-54</t>
        </is>
      </c>
      <c r="C4819" s="4" t="inlineStr">
        <is>
          <t>W00031886A</t>
        </is>
      </c>
      <c r="D4819" s="6">
        <f>IF(F4819&gt;=5, F4819-5, IF(F4819&lt;5, 0, F4819))</f>
        <v/>
      </c>
      <c r="E4819">
        <f>VLOOKUP(B4819,[1]Namshi!$A:$B,2,0)</f>
        <v/>
      </c>
      <c r="F4819" s="4">
        <f>SUMIFS('Dubai Stock'!I:I,'Dubai Stock'!H:H,Final_UAE!B:B)</f>
        <v/>
      </c>
      <c r="H4819" s="8" t="e">
        <v>#N/A</v>
      </c>
    </row>
    <row r="4820">
      <c r="A4820" s="4" t="n">
        <v>33834</v>
      </c>
      <c r="B4820" s="4" t="inlineStr">
        <is>
          <t>clstbiw-acu-oasy-p18-sn0600</t>
        </is>
      </c>
      <c r="C4820" s="4" t="inlineStr">
        <is>
          <t>W00031886A</t>
        </is>
      </c>
      <c r="D4820" s="6">
        <f>IF(F4820&gt;=5, F4820-5, IF(F4820&lt;5, 0, F4820))</f>
        <v/>
      </c>
      <c r="E4820">
        <f>VLOOKUP(B4820,[1]Namshi!$A:$B,2,0)</f>
        <v/>
      </c>
      <c r="F4820" s="4">
        <f>SUMIFS('Dubai Stock'!I:I,'Dubai Stock'!H:H,Final_UAE!B:B)</f>
        <v/>
      </c>
      <c r="H4820" s="8" t="e">
        <v>#N/A</v>
      </c>
      <c r="I4820" s="8" t="n"/>
    </row>
    <row r="4821">
      <c r="A4821" s="4" t="n">
        <v>33834</v>
      </c>
      <c r="B4821" s="4" t="inlineStr">
        <is>
          <t>cltobiw-acu-oasy-p06-sn0250-cn0075-a060</t>
        </is>
      </c>
      <c r="C4821" s="4" t="inlineStr">
        <is>
          <t>W00031886A</t>
        </is>
      </c>
      <c r="D4821" s="6">
        <f>IF(F4821&gt;=5, F4821-5, IF(F4821&lt;5, 0, F4821))</f>
        <v/>
      </c>
      <c r="E4821">
        <f>VLOOKUP(B4821,[1]Namshi!$A:$B,2,0)</f>
        <v/>
      </c>
      <c r="F4821" s="4">
        <f>SUMIFS('Dubai Stock'!I:I,'Dubai Stock'!H:H,Final_UAE!B:B)</f>
        <v/>
      </c>
      <c r="H4821" s="8" t="e">
        <v>#N/A</v>
      </c>
      <c r="I4821" s="8" t="n"/>
    </row>
    <row r="4822">
      <c r="A4822" s="4" t="n">
        <v>33834</v>
      </c>
      <c r="B4822" s="4" t="inlineStr">
        <is>
          <t>bc51418-bab-000503-1418-46</t>
        </is>
      </c>
      <c r="C4822" s="4" t="inlineStr">
        <is>
          <t>W00031886A</t>
        </is>
      </c>
      <c r="D4822" s="6">
        <f>IF(F4822&gt;=5, F4822-5, IF(F4822&lt;5, 0, F4822))</f>
        <v/>
      </c>
      <c r="E4822">
        <f>VLOOKUP(B4822,[1]Namshi!$A:$B,2,0)</f>
        <v/>
      </c>
      <c r="F4822" s="4">
        <f>SUMIFS('Dubai Stock'!I:I,'Dubai Stock'!H:H,Final_UAE!B:B)</f>
        <v/>
      </c>
      <c r="H4822" s="8" t="e">
        <v>#N/A</v>
      </c>
    </row>
    <row r="4823">
      <c r="A4823" s="4" t="n">
        <v>33834</v>
      </c>
      <c r="B4823" s="4" t="inlineStr">
        <is>
          <t>costdai-ama-dail-p10-shadow-sn0175</t>
        </is>
      </c>
      <c r="C4823" s="4" t="inlineStr">
        <is>
          <t>W00031886A</t>
        </is>
      </c>
      <c r="D4823" s="6">
        <f>IF(F4823&gt;=5, F4823-5, IF(F4823&lt;5, 0, F4823))</f>
        <v/>
      </c>
      <c r="E4823">
        <f>VLOOKUP(B4823,[1]Namshi!$A:$B,2,0)</f>
        <v/>
      </c>
      <c r="F4823" s="4">
        <f>SUMIFS('Dubai Stock'!I:I,'Dubai Stock'!H:H,Final_UAE!B:B)</f>
        <v/>
      </c>
      <c r="H4823" s="8" t="e">
        <v>#N/A</v>
      </c>
      <c r="I4823" s="8" t="n"/>
    </row>
    <row r="4824">
      <c r="A4824" s="4" t="n">
        <v>33834</v>
      </c>
      <c r="B4824" s="4" t="inlineStr">
        <is>
          <t>clstdai-sof-sdai-p30-sn0225</t>
        </is>
      </c>
      <c r="C4824" s="4" t="inlineStr">
        <is>
          <t>W00031886A</t>
        </is>
      </c>
      <c r="D4824" s="6">
        <f>IF(F4824&gt;=5, F4824-5, IF(F4824&lt;5, 0, F4824))</f>
        <v/>
      </c>
      <c r="E4824">
        <f>VLOOKUP(B4824,[1]Namshi!$A:$B,2,0)</f>
        <v/>
      </c>
      <c r="F4824" s="4">
        <f>SUMIFS('Dubai Stock'!I:I,'Dubai Stock'!H:H,Final_UAE!B:B)</f>
        <v/>
      </c>
      <c r="H4824" s="8" t="e">
        <v>#N/A</v>
      </c>
      <c r="I4824" s="8" t="n"/>
    </row>
    <row r="4825">
      <c r="A4825" s="4" t="n">
        <v>33834</v>
      </c>
      <c r="B4825" s="4" t="inlineStr">
        <is>
          <t>clstdai-eve-pure-p90-Sn0550</t>
        </is>
      </c>
      <c r="C4825" s="4" t="inlineStr">
        <is>
          <t>W00031886A</t>
        </is>
      </c>
      <c r="D4825" s="6">
        <f>IF(F4825&gt;=5, F4825-5, IF(F4825&lt;5, 0, F4825))</f>
        <v/>
      </c>
      <c r="E4825">
        <f>VLOOKUP(B4825,[1]Namshi!$A:$B,2,0)</f>
        <v/>
      </c>
      <c r="F4825" s="4">
        <f>SUMIFS('Dubai Stock'!I:I,'Dubai Stock'!H:H,Final_UAE!B:B)</f>
        <v/>
      </c>
      <c r="H4825" s="8" t="n">
        <v>529</v>
      </c>
      <c r="I4825" s="8" t="n">
        <v>259</v>
      </c>
    </row>
    <row r="4826">
      <c r="A4826" s="4" t="n">
        <v>33834</v>
      </c>
      <c r="B4826" s="4" t="inlineStr">
        <is>
          <t>cost3mo-lay-2021-p02-skye-blue-sn0275</t>
        </is>
      </c>
      <c r="C4826" s="4" t="inlineStr">
        <is>
          <t>W00031886A</t>
        </is>
      </c>
      <c r="D4826" s="6">
        <f>IF(F4826&gt;=5, F4826-5, IF(F4826&lt;5, 0, F4826))</f>
        <v/>
      </c>
      <c r="E4826">
        <f>VLOOKUP(B4826,[1]Namshi!$A:$B,2,0)</f>
        <v/>
      </c>
      <c r="F4826" s="4">
        <f>SUMIFS('Dubai Stock'!I:I,'Dubai Stock'!H:H,Final_UAE!B:B)</f>
        <v/>
      </c>
      <c r="H4826" s="8" t="e">
        <v>#N/A</v>
      </c>
      <c r="I4826" s="8" t="n"/>
    </row>
    <row r="4827">
      <c r="A4827" s="4" t="n">
        <v>33834</v>
      </c>
      <c r="B4827" s="4" t="inlineStr">
        <is>
          <t>cltobiw-acu-oasy-p06-sn0700-cn0075-a020</t>
        </is>
      </c>
      <c r="C4827" s="4" t="inlineStr">
        <is>
          <t>W00031886A</t>
        </is>
      </c>
      <c r="D4827" s="6">
        <f>IF(F4827&gt;=5, F4827-5, IF(F4827&lt;5, 0, F4827))</f>
        <v/>
      </c>
      <c r="E4827">
        <f>VLOOKUP(B4827,[1]Namshi!$A:$B,2,0)</f>
        <v/>
      </c>
      <c r="F4827" s="4">
        <f>SUMIFS('Dubai Stock'!I:I,'Dubai Stock'!H:H,Final_UAE!B:B)</f>
        <v/>
      </c>
      <c r="H4827" s="8" t="e">
        <v>#N/A</v>
      </c>
      <c r="I4827" s="8" t="n"/>
    </row>
    <row r="4828">
      <c r="A4828" s="4" t="n">
        <v>33834</v>
      </c>
      <c r="B4828" s="4" t="inlineStr">
        <is>
          <t>cost3mo-lay-lens-p02-forest-green-sn0400</t>
        </is>
      </c>
      <c r="C4828" s="4" t="inlineStr">
        <is>
          <t>W00031886A</t>
        </is>
      </c>
      <c r="D4828" s="6">
        <f>IF(F4828&gt;=5, F4828-5, IF(F4828&lt;5, 0, F4828))</f>
        <v/>
      </c>
      <c r="E4828">
        <f>VLOOKUP(B4828,[1]Namshi!$A:$B,2,0)</f>
        <v/>
      </c>
      <c r="F4828" s="4">
        <f>SUMIFS('Dubai Stock'!I:I,'Dubai Stock'!H:H,Final_UAE!B:B)</f>
        <v/>
      </c>
      <c r="H4828" s="8" t="e">
        <v>#N/A</v>
      </c>
      <c r="I4828" s="8" t="n"/>
    </row>
    <row r="4829">
      <c r="A4829" s="4" t="n">
        <v>33834</v>
      </c>
      <c r="B4829" s="4" t="inlineStr">
        <is>
          <t>sw30202-30s-000122-0202-54</t>
        </is>
      </c>
      <c r="C4829" s="4" t="inlineStr">
        <is>
          <t>W00031886A</t>
        </is>
      </c>
      <c r="D4829" s="6">
        <f>IF(F4829&gt;=5, F4829-5, IF(F4829&lt;5, 0, F4829))</f>
        <v/>
      </c>
      <c r="E4829">
        <f>VLOOKUP(B4829,[1]Namshi!$A:$B,2,0)</f>
        <v/>
      </c>
      <c r="F4829" s="4">
        <f>SUMIFS('Dubai Stock'!I:I,'Dubai Stock'!H:H,Final_UAE!B:B)</f>
        <v/>
      </c>
      <c r="H4829" s="8" t="e">
        <v>#N/A</v>
      </c>
    </row>
    <row r="4830">
      <c r="A4830" s="4" t="n">
        <v>33834</v>
      </c>
      <c r="B4830" s="4" t="inlineStr">
        <is>
          <t>sw50102-30s-000244-0102-57</t>
        </is>
      </c>
      <c r="C4830" s="4" t="inlineStr">
        <is>
          <t>W00031886A</t>
        </is>
      </c>
      <c r="D4830" s="6">
        <f>IF(F4830&gt;=5, F4830-5, IF(F4830&lt;5, 0, F4830))</f>
        <v/>
      </c>
      <c r="E4830">
        <f>VLOOKUP(B4830,[1]Namshi!$A:$B,2,0)</f>
        <v/>
      </c>
      <c r="F4830" s="4">
        <f>SUMIFS('Dubai Stock'!I:I,'Dubai Stock'!H:H,Final_UAE!B:B)</f>
        <v/>
      </c>
      <c r="H4830" s="8" t="e">
        <v>#N/A</v>
      </c>
    </row>
    <row r="4831">
      <c r="A4831" s="4" t="n">
        <v>33834</v>
      </c>
      <c r="B4831" s="4" t="inlineStr">
        <is>
          <t>fu60518-spc-000528-0500-51</t>
        </is>
      </c>
      <c r="C4831" s="4" t="inlineStr">
        <is>
          <t>W00031886A</t>
        </is>
      </c>
      <c r="D4831" s="6">
        <f>IF(F4831&gt;=5, F4831-5, IF(F4831&lt;5, 0, F4831))</f>
        <v/>
      </c>
      <c r="E4831">
        <f>VLOOKUP(B4831,[1]Namshi!$A:$B,2,0)</f>
        <v/>
      </c>
      <c r="F4831" s="4">
        <f>SUMIFS('Dubai Stock'!I:I,'Dubai Stock'!H:H,Final_UAE!B:B)</f>
        <v/>
      </c>
      <c r="H4831" s="8" t="e">
        <v>#N/A</v>
      </c>
      <c r="I4831" s="8" t="n"/>
    </row>
    <row r="4832">
      <c r="A4832" s="4" t="n">
        <v>33834</v>
      </c>
      <c r="B4832" s="4" t="inlineStr">
        <is>
          <t>cost3mo-lay-2023-p02-sable-brown-sn0125</t>
        </is>
      </c>
      <c r="C4832" s="4" t="inlineStr">
        <is>
          <t>W00031886A</t>
        </is>
      </c>
      <c r="D4832" s="6">
        <f>IF(F4832&gt;=5, F4832-5, IF(F4832&lt;5, 0, F4832))</f>
        <v/>
      </c>
      <c r="E4832">
        <f>VLOOKUP(B4832,[1]Namshi!$A:$B,2,0)</f>
        <v/>
      </c>
      <c r="F4832" s="4">
        <f>SUMIFS('Dubai Stock'!I:I,'Dubai Stock'!H:H,Final_UAE!B:B)</f>
        <v/>
      </c>
      <c r="H4832" s="8" t="e">
        <v>#N/A</v>
      </c>
      <c r="I4832" s="8" t="n"/>
    </row>
    <row r="4833">
      <c r="A4833" s="4" t="n">
        <v>33834</v>
      </c>
      <c r="B4833" s="4" t="inlineStr">
        <is>
          <t>sw102904-30s-000454-2904-54</t>
        </is>
      </c>
      <c r="C4833" s="4" t="inlineStr">
        <is>
          <t>W00031886A</t>
        </is>
      </c>
      <c r="D4833" s="6">
        <f>IF(F4833&gt;=5, F4833-5, IF(F4833&lt;5, 0, F4833))</f>
        <v/>
      </c>
      <c r="E4833">
        <f>VLOOKUP(B4833,[1]Namshi!$A:$B,2,0)</f>
        <v/>
      </c>
      <c r="F4833" s="4">
        <f>SUMIFS('Dubai Stock'!I:I,'Dubai Stock'!H:H,Final_UAE!B:B)</f>
        <v/>
      </c>
      <c r="H4833" s="8" t="e">
        <v>#N/A</v>
      </c>
    </row>
    <row r="4834">
      <c r="A4834" s="4" t="n">
        <v>33834</v>
      </c>
      <c r="B4834" s="4" t="inlineStr">
        <is>
          <t>sw51304-bla-000234-1304-51</t>
        </is>
      </c>
      <c r="C4834" s="4" t="inlineStr">
        <is>
          <t>W00031886A</t>
        </is>
      </c>
      <c r="D4834" s="6">
        <f>IF(F4834&gt;=5, F4834-5, IF(F4834&lt;5, 0, F4834))</f>
        <v/>
      </c>
      <c r="E4834">
        <f>VLOOKUP(B4834,[1]Namshi!$A:$B,2,0)</f>
        <v/>
      </c>
      <c r="F4834" s="4">
        <f>SUMIFS('Dubai Stock'!I:I,'Dubai Stock'!H:H,Final_UAE!B:B)</f>
        <v/>
      </c>
      <c r="H4834" s="8" t="e">
        <v>#N/A</v>
      </c>
    </row>
    <row r="4835">
      <c r="A4835" s="4" t="n">
        <v>33834</v>
      </c>
      <c r="B4835" s="4" t="inlineStr">
        <is>
          <t>costdai-ama-dail-p10-honey-sn0225</t>
        </is>
      </c>
      <c r="C4835" s="4" t="inlineStr">
        <is>
          <t>W00031886A</t>
        </is>
      </c>
      <c r="D4835" s="6">
        <f>IF(F4835&gt;=5, F4835-5, IF(F4835&lt;5, 0, F4835))</f>
        <v/>
      </c>
      <c r="E4835">
        <f>VLOOKUP(B4835,[1]Namshi!$A:$B,2,0)</f>
        <v/>
      </c>
      <c r="F4835" s="4">
        <f>SUMIFS('Dubai Stock'!I:I,'Dubai Stock'!H:H,Final_UAE!B:B)</f>
        <v/>
      </c>
      <c r="H4835" s="8" t="e">
        <v>#N/A</v>
      </c>
      <c r="I4835" s="8" t="n"/>
    </row>
    <row r="4836">
      <c r="A4836" s="4" t="n">
        <v>33834</v>
      </c>
      <c r="B4836" s="4" t="inlineStr">
        <is>
          <t>sunglasses-30Sundays-30s-000451-0202</t>
        </is>
      </c>
      <c r="C4836" s="4" t="inlineStr">
        <is>
          <t>W00031886A</t>
        </is>
      </c>
      <c r="D4836" s="6">
        <f>IF(F4836&gt;=5, F4836-5, IF(F4836&lt;5, 0, F4836))</f>
        <v/>
      </c>
      <c r="E4836">
        <f>VLOOKUP(B4836,[1]Namshi!$A:$B,2,0)</f>
        <v/>
      </c>
      <c r="F4836" s="4">
        <f>SUMIFS('Dubai Stock'!I:I,'Dubai Stock'!H:H,Final_UAE!B:B)</f>
        <v/>
      </c>
      <c r="H4836" s="8" t="e">
        <v>#N/A</v>
      </c>
      <c r="I4836" s="8" t="n"/>
    </row>
    <row r="4837">
      <c r="A4837" s="4" t="n">
        <v>33834</v>
      </c>
      <c r="B4837" s="4" t="inlineStr">
        <is>
          <t>cost3mo-lay-2022-p02-royal-green-sn0175</t>
        </is>
      </c>
      <c r="C4837" s="4" t="inlineStr">
        <is>
          <t>W00031886A</t>
        </is>
      </c>
      <c r="D4837" s="6">
        <f>IF(F4837&gt;=5, F4837-5, IF(F4837&lt;5, 0, F4837))</f>
        <v/>
      </c>
      <c r="E4837">
        <f>VLOOKUP(B4837,[1]Namshi!$A:$B,2,0)</f>
        <v/>
      </c>
      <c r="F4837" s="4">
        <f>SUMIFS('Dubai Stock'!I:I,'Dubai Stock'!H:H,Final_UAE!B:B)</f>
        <v/>
      </c>
      <c r="H4837" s="8" t="e">
        <v>#N/A</v>
      </c>
      <c r="I4837" s="8" t="n"/>
    </row>
    <row r="4838">
      <c r="A4838" s="4" t="n">
        <v>33834</v>
      </c>
      <c r="B4838" s="4" t="inlineStr">
        <is>
          <t>fm100718-spc-000859-0718-52</t>
        </is>
      </c>
      <c r="C4838" s="4" t="inlineStr">
        <is>
          <t>W00031886A</t>
        </is>
      </c>
      <c r="D4838" s="6">
        <f>IF(F4838&gt;=5, F4838-5, IF(F4838&lt;5, 0, F4838))</f>
        <v/>
      </c>
      <c r="E4838">
        <f>VLOOKUP(B4838,[1]Namshi!$A:$B,2,0)</f>
        <v/>
      </c>
      <c r="F4838" s="4">
        <f>SUMIFS('Dubai Stock'!I:I,'Dubai Stock'!H:H,Final_UAE!B:B)</f>
        <v/>
      </c>
      <c r="H4838" s="8" t="e">
        <v>#N/A</v>
      </c>
      <c r="I4838" s="8" t="n"/>
    </row>
    <row r="4839">
      <c r="A4839" s="4" t="n">
        <v>33834</v>
      </c>
      <c r="B4839" s="4" t="inlineStr">
        <is>
          <t>clstmon-eve-prom-p06-sn0150</t>
        </is>
      </c>
      <c r="C4839" s="4" t="inlineStr">
        <is>
          <t>W00031886A</t>
        </is>
      </c>
      <c r="D4839" s="6">
        <f>IF(F4839&gt;=5, F4839-5, IF(F4839&lt;5, 0, F4839))</f>
        <v/>
      </c>
      <c r="E4839">
        <f>VLOOKUP(B4839,[1]Namshi!$A:$B,2,0)</f>
        <v/>
      </c>
      <c r="F4839" s="4">
        <f>SUMIFS('Dubai Stock'!I:I,'Dubai Stock'!H:H,Final_UAE!B:B)</f>
        <v/>
      </c>
      <c r="H4839" s="8" t="n">
        <v>212</v>
      </c>
      <c r="I4839" s="8" t="n">
        <v>111.3</v>
      </c>
    </row>
    <row r="4840">
      <c r="A4840" s="4" t="n">
        <v>33834</v>
      </c>
      <c r="B4840" s="4" t="inlineStr">
        <is>
          <t>costmon-ama-lens-p02-dark-sepia-sn0275</t>
        </is>
      </c>
      <c r="C4840" s="4" t="inlineStr">
        <is>
          <t>W00031886A</t>
        </is>
      </c>
      <c r="D4840" s="6">
        <f>IF(F4840&gt;=5, F4840-5, IF(F4840&lt;5, 0, F4840))</f>
        <v/>
      </c>
      <c r="E4840">
        <f>VLOOKUP(B4840,[1]Namshi!$A:$B,2,0)</f>
        <v/>
      </c>
      <c r="F4840" s="4">
        <f>SUMIFS('Dubai Stock'!I:I,'Dubai Stock'!H:H,Final_UAE!B:B)</f>
        <v/>
      </c>
      <c r="H4840" s="8" t="e">
        <v>#N/A</v>
      </c>
      <c r="I4840" s="8" t="n"/>
    </row>
    <row r="4841">
      <c r="A4841" s="4" t="n">
        <v>33834</v>
      </c>
      <c r="B4841" s="4" t="inlineStr">
        <is>
          <t>cost3mo-lay-lens-p02-chestnut-brown-sn0350</t>
        </is>
      </c>
      <c r="C4841" s="4" t="inlineStr">
        <is>
          <t>W00031886A</t>
        </is>
      </c>
      <c r="D4841" s="6">
        <f>IF(F4841&gt;=5, F4841-5, IF(F4841&lt;5, 0, F4841))</f>
        <v/>
      </c>
      <c r="E4841">
        <f>VLOOKUP(B4841,[1]Namshi!$A:$B,2,0)</f>
        <v/>
      </c>
      <c r="F4841" s="4">
        <f>SUMIFS('Dubai Stock'!I:I,'Dubai Stock'!H:H,Final_UAE!B:B)</f>
        <v/>
      </c>
      <c r="H4841" s="8" t="e">
        <v>#N/A</v>
      </c>
      <c r="I4841" s="8" t="n"/>
    </row>
    <row r="4842">
      <c r="A4842" s="4" t="n">
        <v>33834</v>
      </c>
      <c r="B4842" s="4" t="inlineStr">
        <is>
          <t>sw70107-bla-000240-0101-42</t>
        </is>
      </c>
      <c r="C4842" s="4" t="inlineStr">
        <is>
          <t>W00031886A</t>
        </is>
      </c>
      <c r="D4842" s="6">
        <f>IF(F4842&gt;=5, F4842-5, IF(F4842&lt;5, 0, F4842))</f>
        <v/>
      </c>
      <c r="E4842">
        <f>VLOOKUP(B4842,[1]Namshi!$A:$B,2,0)</f>
        <v/>
      </c>
      <c r="F4842" s="4">
        <f>SUMIFS('Dubai Stock'!I:I,'Dubai Stock'!H:H,Final_UAE!B:B)</f>
        <v/>
      </c>
      <c r="H4842" s="8" t="e">
        <v>#N/A</v>
      </c>
    </row>
    <row r="4843">
      <c r="A4843" s="4" t="n">
        <v>33834</v>
      </c>
      <c r="B4843" s="4" t="inlineStr">
        <is>
          <t>clstdai-eve-elit-p30-sp0025</t>
        </is>
      </c>
      <c r="C4843" s="4" t="inlineStr">
        <is>
          <t>W00031886A</t>
        </is>
      </c>
      <c r="D4843" s="6">
        <f>IF(F4843&gt;=5, F4843-5, IF(F4843&lt;5, 0, F4843))</f>
        <v/>
      </c>
      <c r="E4843">
        <f>VLOOKUP(B4843,[1]Namshi!$A:$B,2,0)</f>
        <v/>
      </c>
      <c r="F4843" s="4">
        <f>SUMIFS('Dubai Stock'!I:I,'Dubai Stock'!H:H,Final_UAE!B:B)</f>
        <v/>
      </c>
      <c r="H4843" s="8" t="n">
        <v>261</v>
      </c>
      <c r="I4843" s="8" t="n">
        <v>146.3</v>
      </c>
    </row>
    <row r="4844">
      <c r="A4844" s="4" t="n">
        <v>33834</v>
      </c>
      <c r="B4844" s="4" t="inlineStr">
        <is>
          <t>clstdai-dai-tot1-p30-sn0950</t>
        </is>
      </c>
      <c r="C4844" s="4" t="inlineStr">
        <is>
          <t>W00031886A</t>
        </is>
      </c>
      <c r="D4844" s="6">
        <f>IF(F4844&gt;=5, F4844-5, IF(F4844&lt;5, 0, F4844))</f>
        <v/>
      </c>
      <c r="E4844">
        <f>VLOOKUP(B4844,[1]Namshi!$A:$B,2,0)</f>
        <v/>
      </c>
      <c r="F4844" s="4">
        <f>SUMIFS('Dubai Stock'!I:I,'Dubai Stock'!H:H,Final_UAE!B:B)</f>
        <v/>
      </c>
      <c r="H4844" s="8" t="e">
        <v>#N/A</v>
      </c>
      <c r="I4844" s="8" t="n"/>
    </row>
    <row r="4845">
      <c r="A4845" s="4" t="n">
        <v>33834</v>
      </c>
      <c r="B4845" s="4" t="inlineStr">
        <is>
          <t>sw30506-bla-000230-2906-54</t>
        </is>
      </c>
      <c r="C4845" s="4" t="inlineStr">
        <is>
          <t>W00031886A</t>
        </is>
      </c>
      <c r="D4845" s="6">
        <f>IF(F4845&gt;=5, F4845-5, IF(F4845&lt;5, 0, F4845))</f>
        <v/>
      </c>
      <c r="E4845">
        <f>VLOOKUP(B4845,[1]Namshi!$A:$B,2,0)</f>
        <v/>
      </c>
      <c r="F4845" s="4">
        <f>SUMIFS('Dubai Stock'!I:I,'Dubai Stock'!H:H,Final_UAE!B:B)</f>
        <v/>
      </c>
      <c r="H4845" s="8" t="e">
        <v>#N/A</v>
      </c>
    </row>
    <row r="4846">
      <c r="A4846" s="4" t="n">
        <v>33834</v>
      </c>
      <c r="B4846" s="4" t="inlineStr">
        <is>
          <t>clstmon-eve-prom-p06-sn0400</t>
        </is>
      </c>
      <c r="C4846" s="4" t="inlineStr">
        <is>
          <t>W00031886A</t>
        </is>
      </c>
      <c r="D4846" s="6">
        <f>IF(F4846&gt;=5, F4846-5, IF(F4846&lt;5, 0, F4846))</f>
        <v/>
      </c>
      <c r="E4846">
        <f>VLOOKUP(B4846,[1]Namshi!$A:$B,2,0)</f>
        <v/>
      </c>
      <c r="F4846" s="4">
        <f>SUMIFS('Dubai Stock'!I:I,'Dubai Stock'!H:H,Final_UAE!B:B)</f>
        <v/>
      </c>
      <c r="H4846" s="8" t="n">
        <v>212</v>
      </c>
      <c r="I4846" s="8" t="n">
        <v>111.3</v>
      </c>
    </row>
    <row r="4847">
      <c r="A4847" s="4" t="n">
        <v>33834</v>
      </c>
      <c r="B4847" s="4" t="inlineStr">
        <is>
          <t>sm50107-30s-000217-0107-54</t>
        </is>
      </c>
      <c r="C4847" s="4" t="inlineStr">
        <is>
          <t>W00031886A</t>
        </is>
      </c>
      <c r="D4847" s="6">
        <f>IF(F4847&gt;=5, F4847-5, IF(F4847&lt;5, 0, F4847))</f>
        <v/>
      </c>
      <c r="E4847">
        <f>VLOOKUP(B4847,[1]Namshi!$A:$B,2,0)</f>
        <v/>
      </c>
      <c r="F4847" s="4">
        <f>SUMIFS('Dubai Stock'!I:I,'Dubai Stock'!H:H,Final_UAE!B:B)</f>
        <v/>
      </c>
      <c r="H4847" s="8" t="e">
        <v>#N/A</v>
      </c>
    </row>
    <row r="4848">
      <c r="A4848" s="4" t="n">
        <v>33834</v>
      </c>
      <c r="B4848" s="4" t="inlineStr">
        <is>
          <t>cost3mo-lay-2021-p02-golden-gray-sn0250</t>
        </is>
      </c>
      <c r="C4848" s="4" t="inlineStr">
        <is>
          <t>W00031886A</t>
        </is>
      </c>
      <c r="D4848" s="6">
        <f>IF(F4848&gt;=5, F4848-5, IF(F4848&lt;5, 0, F4848))</f>
        <v/>
      </c>
      <c r="E4848">
        <f>VLOOKUP(B4848,[1]Namshi!$A:$B,2,0)</f>
        <v/>
      </c>
      <c r="F4848" s="4">
        <f>SUMIFS('Dubai Stock'!I:I,'Dubai Stock'!H:H,Final_UAE!B:B)</f>
        <v/>
      </c>
      <c r="H4848" s="8" t="e">
        <v>#N/A</v>
      </c>
      <c r="I4848" s="8" t="n"/>
    </row>
    <row r="4849">
      <c r="A4849" s="4" t="n">
        <v>33834</v>
      </c>
      <c r="B4849" s="4" t="inlineStr">
        <is>
          <t>clstmon-eve-prom-p06-sn0425</t>
        </is>
      </c>
      <c r="C4849" s="4" t="inlineStr">
        <is>
          <t>W00031886A</t>
        </is>
      </c>
      <c r="D4849" s="6">
        <f>IF(F4849&gt;=5, F4849-5, IF(F4849&lt;5, 0, F4849))</f>
        <v/>
      </c>
      <c r="E4849">
        <f>VLOOKUP(B4849,[1]Namshi!$A:$B,2,0)</f>
        <v/>
      </c>
      <c r="F4849" s="4">
        <f>SUMIFS('Dubai Stock'!I:I,'Dubai Stock'!H:H,Final_UAE!B:B)</f>
        <v/>
      </c>
      <c r="H4849" s="8" t="n">
        <v>212</v>
      </c>
      <c r="I4849" s="8" t="n">
        <v>111.3</v>
      </c>
    </row>
    <row r="4850">
      <c r="A4850" s="4" t="n">
        <v>33834</v>
      </c>
      <c r="B4850" s="4" t="inlineStr">
        <is>
          <t>sw32302-bla-000227-2302-57</t>
        </is>
      </c>
      <c r="C4850" s="4" t="inlineStr">
        <is>
          <t>W00031886A</t>
        </is>
      </c>
      <c r="D4850" s="6">
        <f>IF(F4850&gt;=5, F4850-5, IF(F4850&lt;5, 0, F4850))</f>
        <v/>
      </c>
      <c r="E4850">
        <f>VLOOKUP(B4850,[1]Namshi!$A:$B,2,0)</f>
        <v/>
      </c>
      <c r="F4850" s="4">
        <f>SUMIFS('Dubai Stock'!I:I,'Dubai Stock'!H:H,Final_UAE!B:B)</f>
        <v/>
      </c>
      <c r="H4850" s="8" t="e">
        <v>#N/A</v>
      </c>
    </row>
    <row r="4851">
      <c r="A4851" s="4" t="n">
        <v>33834</v>
      </c>
      <c r="B4851" s="4" t="inlineStr">
        <is>
          <t>sw41504-bla-000271-1504-49</t>
        </is>
      </c>
      <c r="C4851" s="4" t="inlineStr">
        <is>
          <t>W00031886A</t>
        </is>
      </c>
      <c r="D4851" s="6">
        <f>IF(F4851&gt;=5, F4851-5, IF(F4851&lt;5, 0, F4851))</f>
        <v/>
      </c>
      <c r="E4851">
        <f>VLOOKUP(B4851,[1]Namshi!$A:$B,2,0)</f>
        <v/>
      </c>
      <c r="F4851" s="4">
        <f>SUMIFS('Dubai Stock'!I:I,'Dubai Stock'!H:H,Final_UAE!B:B)</f>
        <v/>
      </c>
      <c r="H4851" s="8" t="e">
        <v>#N/A</v>
      </c>
    </row>
    <row r="4852">
      <c r="A4852" s="4" t="n">
        <v>33834</v>
      </c>
      <c r="B4852" s="4" t="inlineStr">
        <is>
          <t>sw30404-30s-000258-0404-54</t>
        </is>
      </c>
      <c r="C4852" s="4" t="inlineStr">
        <is>
          <t>W00031886A</t>
        </is>
      </c>
      <c r="D4852" s="6">
        <f>IF(F4852&gt;=5, F4852-5, IF(F4852&lt;5, 0, F4852))</f>
        <v/>
      </c>
      <c r="E4852">
        <f>VLOOKUP(B4852,[1]Namshi!$A:$B,2,0)</f>
        <v/>
      </c>
      <c r="F4852" s="4">
        <f>SUMIFS('Dubai Stock'!I:I,'Dubai Stock'!H:H,Final_UAE!B:B)</f>
        <v/>
      </c>
      <c r="H4852" s="8" t="e">
        <v>#N/A</v>
      </c>
    </row>
    <row r="4853">
      <c r="A4853" s="4" t="n">
        <v>33834</v>
      </c>
      <c r="B4853" s="4" t="inlineStr">
        <is>
          <t>clstdai-acu-dfna-p30-sn0525</t>
        </is>
      </c>
      <c r="C4853" s="4" t="inlineStr">
        <is>
          <t>W00031886A</t>
        </is>
      </c>
      <c r="D4853" s="6">
        <f>IF(F4853&gt;=5, F4853-5, IF(F4853&lt;5, 0, F4853))</f>
        <v/>
      </c>
      <c r="E4853">
        <f>VLOOKUP(B4853,[1]Namshi!$A:$B,2,0)</f>
        <v/>
      </c>
      <c r="F4853" s="4">
        <f>SUMIFS('Dubai Stock'!I:I,'Dubai Stock'!H:H,Final_UAE!B:B)</f>
        <v/>
      </c>
      <c r="H4853" s="8" t="e">
        <v>#N/A</v>
      </c>
      <c r="I4853" s="8" t="n"/>
    </row>
    <row r="4854">
      <c r="A4854" s="4" t="n">
        <v>33834</v>
      </c>
      <c r="B4854" s="4" t="inlineStr">
        <is>
          <t>costdai-ama-dail-p10-shadow-sn0500</t>
        </is>
      </c>
      <c r="C4854" s="4" t="inlineStr">
        <is>
          <t>W00031886A</t>
        </is>
      </c>
      <c r="D4854" s="6">
        <f>IF(F4854&gt;=5, F4854-5, IF(F4854&lt;5, 0, F4854))</f>
        <v/>
      </c>
      <c r="E4854">
        <f>VLOOKUP(B4854,[1]Namshi!$A:$B,2,0)</f>
        <v/>
      </c>
      <c r="F4854" s="4">
        <f>SUMIFS('Dubai Stock'!I:I,'Dubai Stock'!H:H,Final_UAE!B:B)</f>
        <v/>
      </c>
      <c r="H4854" s="8" t="e">
        <v>#N/A</v>
      </c>
      <c r="I4854" s="8" t="n"/>
    </row>
    <row r="4855">
      <c r="A4855" s="4" t="n">
        <v>33834</v>
      </c>
      <c r="B4855" s="4" t="inlineStr">
        <is>
          <t>sw102307-bla-000325-2307-56</t>
        </is>
      </c>
      <c r="C4855" s="4" t="inlineStr">
        <is>
          <t>W00031886A</t>
        </is>
      </c>
      <c r="D4855" s="6">
        <f>IF(F4855&gt;=5, F4855-5, IF(F4855&lt;5, 0, F4855))</f>
        <v/>
      </c>
      <c r="E4855">
        <f>VLOOKUP(B4855,[1]Namshi!$A:$B,2,0)</f>
        <v/>
      </c>
      <c r="F4855" s="4">
        <f>SUMIFS('Dubai Stock'!I:I,'Dubai Stock'!H:H,Final_UAE!B:B)</f>
        <v/>
      </c>
      <c r="H4855" s="8" t="e">
        <v>#N/A</v>
      </c>
    </row>
    <row r="4856">
      <c r="A4856" s="4" t="n">
        <v>33834</v>
      </c>
      <c r="B4856" s="4" t="inlineStr">
        <is>
          <t>sw100707-bla-000274-0701-55</t>
        </is>
      </c>
      <c r="C4856" s="4" t="inlineStr">
        <is>
          <t>W00031886A</t>
        </is>
      </c>
      <c r="D4856" s="6">
        <f>IF(F4856&gt;=5, F4856-5, IF(F4856&lt;5, 0, F4856))</f>
        <v/>
      </c>
      <c r="E4856">
        <f>VLOOKUP(B4856,[1]Namshi!$A:$B,2,0)</f>
        <v/>
      </c>
      <c r="F4856" s="4">
        <f>SUMIFS('Dubai Stock'!I:I,'Dubai Stock'!H:H,Final_UAE!B:B)</f>
        <v/>
      </c>
      <c r="H4856" s="8" t="e">
        <v>#N/A</v>
      </c>
      <c r="I4856" s="8" t="n"/>
    </row>
    <row r="4857">
      <c r="A4857" s="4" t="n">
        <v>33834</v>
      </c>
      <c r="B4857" s="4" t="inlineStr">
        <is>
          <t>sw30106-30s-000272-0106-49</t>
        </is>
      </c>
      <c r="C4857" s="4" t="inlineStr">
        <is>
          <t>W00031886A</t>
        </is>
      </c>
      <c r="D4857" s="6">
        <f>IF(F4857&gt;=5, F4857-5, IF(F4857&lt;5, 0, F4857))</f>
        <v/>
      </c>
      <c r="E4857">
        <f>VLOOKUP(B4857,[1]Namshi!$A:$B,2,0)</f>
        <v/>
      </c>
      <c r="F4857" s="4">
        <f>SUMIFS('Dubai Stock'!I:I,'Dubai Stock'!H:H,Final_UAE!B:B)</f>
        <v/>
      </c>
      <c r="H4857" s="8" t="e">
        <v>#N/A</v>
      </c>
    </row>
    <row r="4858">
      <c r="A4858" s="4" t="n">
        <v>33834</v>
      </c>
      <c r="B4858" s="4" t="inlineStr">
        <is>
          <t>sm10702-30s-000460-0702-58</t>
        </is>
      </c>
      <c r="C4858" s="4" t="inlineStr">
        <is>
          <t>W00031886A</t>
        </is>
      </c>
      <c r="D4858" s="6">
        <f>IF(F4858&gt;=5, F4858-5, IF(F4858&lt;5, 0, F4858))</f>
        <v/>
      </c>
      <c r="E4858">
        <f>VLOOKUP(B4858,[1]Namshi!$A:$B,2,0)</f>
        <v/>
      </c>
      <c r="F4858" s="4">
        <f>SUMIFS('Dubai Stock'!I:I,'Dubai Stock'!H:H,Final_UAE!B:B)</f>
        <v/>
      </c>
      <c r="H4858" s="8" t="e">
        <v>#N/A</v>
      </c>
    </row>
  </sheetData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Apoorva S</dc:creator>
  <dcterms:created xmlns:dcterms="http://purl.org/dc/terms/" xmlns:xsi="http://www.w3.org/2001/XMLSchema-instance" xsi:type="dcterms:W3CDTF">2025-06-27T05:29:03Z</dcterms:created>
  <dcterms:modified xmlns:dcterms="http://purl.org/dc/terms/" xmlns:xsi="http://www.w3.org/2001/XMLSchema-instance" xsi:type="dcterms:W3CDTF">2026-09-21T06:52:59Z</dcterms:modified>
  <cp:lastModifiedBy>Apoorva S</cp:lastModifiedBy>
</cp:coreProperties>
</file>